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nsorciocua-my.sharepoint.com/personal/j_lista_c-wrt_com/Documents/JCL/"/>
    </mc:Choice>
  </mc:AlternateContent>
  <xr:revisionPtr revIDLastSave="2429" documentId="8_{6BE79C6D-3748-40D1-AE5D-48E32AB446D4}" xr6:coauthVersionLast="47" xr6:coauthVersionMax="47" xr10:uidLastSave="{AAE54E9E-D423-40CE-880A-47B555E023D2}"/>
  <bookViews>
    <workbookView xWindow="-120" yWindow="-120" windowWidth="20730" windowHeight="11040" tabRatio="926" firstSheet="10" activeTab="10" xr2:uid="{00000000-000D-0000-FFFF-FFFF00000000}"/>
  </bookViews>
  <sheets>
    <sheet name="CAMPAÑA 2014" sheetId="87" r:id="rId1"/>
    <sheet name="CAMPAÑA 2015" sheetId="88" r:id="rId2"/>
    <sheet name="CAMPAÑA 2016" sheetId="89" r:id="rId3"/>
    <sheet name="CAMPAÑA 2017" sheetId="90" r:id="rId4"/>
    <sheet name="CAMPAÑA 2018" sheetId="91" r:id="rId5"/>
    <sheet name="CAMPAÑA 2019" sheetId="92" r:id="rId6"/>
    <sheet name="CAMPAÑA 2021" sheetId="32" r:id="rId7"/>
    <sheet name="CAMPAÑA 2022" sheetId="94" r:id="rId8"/>
    <sheet name="CAMPAÑA 2023" sheetId="96" r:id="rId9"/>
    <sheet name="CAMPAÑA 2024" sheetId="98" r:id="rId10"/>
    <sheet name="CAMPAÑA 2026" sheetId="99" r:id="rId11"/>
    <sheet name=" SCORERS 2026" sheetId="75" r:id="rId12"/>
    <sheet name="HISTORIAL " sheetId="81" r:id="rId13"/>
    <sheet name="PRESENCIAS V" sheetId="80" r:id="rId14"/>
    <sheet name="TARJETAS" sheetId="77" r:id="rId15"/>
    <sheet name="RANKING URBA" sheetId="86" r:id="rId16"/>
    <sheet name="SCORERS HISTORICO" sheetId="83" r:id="rId17"/>
    <sheet name="REFEREES" sheetId="85" r:id="rId18"/>
    <sheet name="CAMADAS" sheetId="100" r:id="rId19"/>
  </sheets>
  <definedNames>
    <definedName name="_xlnm._FilterDatabase" localSheetId="18" hidden="1">CAMADAS!$B$3:$D$86</definedName>
    <definedName name="_xlnm._FilterDatabase" localSheetId="17" hidden="1">REFEREES!$C$3:$O$93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85" l="1"/>
  <c r="F107" i="85"/>
  <c r="G107" i="85"/>
  <c r="H107" i="85"/>
  <c r="L107" i="85"/>
  <c r="H69" i="83"/>
  <c r="L106" i="85"/>
  <c r="H106" i="85"/>
  <c r="D106" i="85" s="1"/>
  <c r="G106" i="85"/>
  <c r="F106" i="85"/>
  <c r="E106" i="85"/>
  <c r="H30" i="75"/>
  <c r="C98" i="80"/>
  <c r="G78" i="83"/>
  <c r="G77" i="83"/>
  <c r="E65" i="81"/>
  <c r="F65" i="81"/>
  <c r="G65" i="81"/>
  <c r="H65" i="81"/>
  <c r="L65" i="81"/>
  <c r="I66" i="81"/>
  <c r="J66" i="81"/>
  <c r="K66" i="81"/>
  <c r="M66" i="81"/>
  <c r="N66" i="81"/>
  <c r="O66" i="81"/>
  <c r="E64" i="81"/>
  <c r="F64" i="81"/>
  <c r="G64" i="81"/>
  <c r="H64" i="81"/>
  <c r="L64" i="81"/>
  <c r="J80" i="83"/>
  <c r="G66" i="83"/>
  <c r="E52" i="81"/>
  <c r="F52" i="81"/>
  <c r="G52" i="81"/>
  <c r="H52" i="81"/>
  <c r="L52" i="81"/>
  <c r="G76" i="83"/>
  <c r="D107" i="85" l="1"/>
  <c r="D65" i="81"/>
  <c r="D64" i="81"/>
  <c r="D52" i="81"/>
  <c r="E105" i="85" l="1"/>
  <c r="F105" i="85"/>
  <c r="G105" i="85"/>
  <c r="H105" i="85"/>
  <c r="L105" i="85"/>
  <c r="F127" i="80"/>
  <c r="F128" i="80" s="1"/>
  <c r="D105" i="85" l="1"/>
  <c r="AR97" i="86" l="1"/>
  <c r="BJ97" i="86"/>
  <c r="AC18" i="77"/>
  <c r="AC19" i="77"/>
  <c r="AC20" i="77"/>
  <c r="AC21" i="77"/>
  <c r="AC22" i="77"/>
  <c r="AC23" i="77"/>
  <c r="AC24" i="77"/>
  <c r="AC25" i="77"/>
  <c r="AC26" i="77"/>
  <c r="BJ99" i="86"/>
  <c r="L35" i="85" l="1"/>
  <c r="H35" i="85"/>
  <c r="G35" i="85"/>
  <c r="F35" i="85"/>
  <c r="E35" i="85"/>
  <c r="D35" i="85" l="1"/>
  <c r="Q14" i="98"/>
  <c r="N14" i="98"/>
  <c r="P14" i="98"/>
  <c r="M14" i="98"/>
  <c r="N16" i="98"/>
  <c r="M16" i="98"/>
  <c r="P16" i="98" s="1"/>
  <c r="Q16" i="98"/>
  <c r="G9" i="85" l="1"/>
  <c r="L9" i="85"/>
  <c r="F9" i="85"/>
  <c r="E9" i="85"/>
  <c r="H9" i="85"/>
  <c r="O30" i="98"/>
  <c r="F44" i="85"/>
  <c r="H44" i="85"/>
  <c r="G44" i="85"/>
  <c r="E44" i="85"/>
  <c r="L44" i="85"/>
  <c r="D9" i="85" l="1"/>
  <c r="D44" i="85"/>
  <c r="E19" i="85"/>
  <c r="F19" i="85"/>
  <c r="G19" i="85"/>
  <c r="F63" i="85"/>
  <c r="G63" i="85"/>
  <c r="G51" i="81"/>
  <c r="L51" i="81"/>
  <c r="F51" i="81"/>
  <c r="E51" i="81"/>
  <c r="H51" i="81"/>
  <c r="E97" i="85"/>
  <c r="F97" i="85"/>
  <c r="G97" i="85"/>
  <c r="H97" i="85"/>
  <c r="L97" i="85"/>
  <c r="D97" i="85" l="1"/>
  <c r="D51" i="81"/>
  <c r="G35" i="83"/>
  <c r="E120" i="100"/>
  <c r="AR99" i="86" l="1"/>
  <c r="AC9" i="77"/>
  <c r="AC10" i="77"/>
  <c r="AC11" i="77"/>
  <c r="AC12" i="77"/>
  <c r="AC13" i="77"/>
  <c r="AC14" i="77"/>
  <c r="AC15" i="77"/>
  <c r="AC16" i="77"/>
  <c r="AC17" i="77"/>
  <c r="AC30" i="77"/>
  <c r="G29" i="83" l="1"/>
  <c r="L19" i="85"/>
  <c r="H19" i="85"/>
  <c r="D19" i="85" s="1"/>
  <c r="E27" i="85"/>
  <c r="F27" i="85"/>
  <c r="G27" i="85"/>
  <c r="H27" i="85"/>
  <c r="L27" i="85"/>
  <c r="D27" i="85" l="1"/>
  <c r="G75" i="83"/>
  <c r="L50" i="81" l="1"/>
  <c r="H50" i="81"/>
  <c r="G50" i="81"/>
  <c r="F50" i="81"/>
  <c r="E50" i="81"/>
  <c r="D50" i="81" l="1"/>
  <c r="E43" i="85" l="1"/>
  <c r="F43" i="85"/>
  <c r="G43" i="85"/>
  <c r="H43" i="85"/>
  <c r="L43" i="85"/>
  <c r="C41" i="75"/>
  <c r="E17" i="85"/>
  <c r="F17" i="85"/>
  <c r="G17" i="85"/>
  <c r="H17" i="85"/>
  <c r="L17" i="85"/>
  <c r="G38" i="83"/>
  <c r="E69" i="85"/>
  <c r="F69" i="85"/>
  <c r="G69" i="85"/>
  <c r="H69" i="85"/>
  <c r="L69" i="85"/>
  <c r="AN99" i="86"/>
  <c r="AC8" i="77"/>
  <c r="AC7" i="77"/>
  <c r="AN97" i="86"/>
  <c r="E18" i="85"/>
  <c r="F18" i="85"/>
  <c r="G18" i="85"/>
  <c r="H18" i="85"/>
  <c r="L18" i="85"/>
  <c r="D43" i="85" l="1"/>
  <c r="D17" i="85"/>
  <c r="D18" i="85"/>
  <c r="D69" i="85"/>
  <c r="E51" i="85"/>
  <c r="F51" i="85"/>
  <c r="G51" i="85"/>
  <c r="H51" i="85"/>
  <c r="L51" i="85"/>
  <c r="E95" i="85"/>
  <c r="H95" i="85"/>
  <c r="F95" i="85"/>
  <c r="G95" i="85"/>
  <c r="L95" i="85"/>
  <c r="G57" i="83"/>
  <c r="L723" i="96"/>
  <c r="L724" i="96" s="1"/>
  <c r="K723" i="96"/>
  <c r="K724" i="96" s="1"/>
  <c r="E38" i="85"/>
  <c r="F38" i="85"/>
  <c r="G38" i="85"/>
  <c r="H38" i="85"/>
  <c r="L38" i="85"/>
  <c r="G45" i="83"/>
  <c r="J504" i="96"/>
  <c r="J505" i="96" s="1"/>
  <c r="G49" i="83"/>
  <c r="L21" i="85"/>
  <c r="H21" i="85"/>
  <c r="G21" i="85"/>
  <c r="F21" i="85"/>
  <c r="E21" i="85"/>
  <c r="G74" i="83"/>
  <c r="G54" i="83"/>
  <c r="G62" i="83"/>
  <c r="D21" i="85" l="1"/>
  <c r="D95" i="85"/>
  <c r="D51" i="85"/>
  <c r="D38" i="85"/>
  <c r="E13" i="85"/>
  <c r="F13" i="85"/>
  <c r="G13" i="85"/>
  <c r="H13" i="85"/>
  <c r="L13" i="85"/>
  <c r="E66" i="85"/>
  <c r="F66" i="85"/>
  <c r="G66" i="85"/>
  <c r="H66" i="85"/>
  <c r="L66" i="85"/>
  <c r="G22" i="75"/>
  <c r="AJ97" i="86"/>
  <c r="G27" i="75"/>
  <c r="E54" i="85"/>
  <c r="F54" i="85"/>
  <c r="G54" i="85"/>
  <c r="H54" i="85"/>
  <c r="L54" i="85"/>
  <c r="E82" i="85"/>
  <c r="F82" i="85"/>
  <c r="G82" i="85"/>
  <c r="H82" i="85"/>
  <c r="L82" i="85"/>
  <c r="AJ99" i="86"/>
  <c r="C100" i="80"/>
  <c r="E22" i="85"/>
  <c r="F22" i="85"/>
  <c r="G22" i="85"/>
  <c r="H22" i="85"/>
  <c r="L22" i="85"/>
  <c r="G50" i="83"/>
  <c r="D13" i="85" l="1"/>
  <c r="D66" i="85"/>
  <c r="D22" i="85"/>
  <c r="D54" i="85"/>
  <c r="D82" i="85"/>
  <c r="G73" i="83"/>
  <c r="G65" i="83" l="1"/>
  <c r="K92" i="80"/>
  <c r="E19" i="81"/>
  <c r="F19" i="81"/>
  <c r="G19" i="81"/>
  <c r="H19" i="81"/>
  <c r="L19" i="81"/>
  <c r="F82" i="83"/>
  <c r="E37" i="81"/>
  <c r="F37" i="81"/>
  <c r="G37" i="81"/>
  <c r="H37" i="81"/>
  <c r="L37" i="81"/>
  <c r="L67" i="85"/>
  <c r="H67" i="85"/>
  <c r="G67" i="85"/>
  <c r="F67" i="85"/>
  <c r="E67" i="85"/>
  <c r="L38" i="81"/>
  <c r="H38" i="81"/>
  <c r="G38" i="81"/>
  <c r="F38" i="81"/>
  <c r="E38" i="81"/>
  <c r="L47" i="85"/>
  <c r="H47" i="85"/>
  <c r="G47" i="85"/>
  <c r="F47" i="85"/>
  <c r="E47" i="85"/>
  <c r="E49" i="81"/>
  <c r="F49" i="81"/>
  <c r="G49" i="81"/>
  <c r="H49" i="81"/>
  <c r="L49" i="81"/>
  <c r="E48" i="81"/>
  <c r="F48" i="81"/>
  <c r="G48" i="81"/>
  <c r="H48" i="81"/>
  <c r="L48" i="81"/>
  <c r="E68" i="85"/>
  <c r="F68" i="85"/>
  <c r="G68" i="85"/>
  <c r="H68" i="85"/>
  <c r="L68" i="85"/>
  <c r="E47" i="81"/>
  <c r="F47" i="81"/>
  <c r="G47" i="81"/>
  <c r="H47" i="81"/>
  <c r="L47" i="81"/>
  <c r="D19" i="81" l="1"/>
  <c r="D37" i="81"/>
  <c r="D67" i="85"/>
  <c r="D49" i="81"/>
  <c r="D47" i="85"/>
  <c r="D38" i="81"/>
  <c r="D68" i="85"/>
  <c r="D48" i="81"/>
  <c r="D47" i="81"/>
  <c r="E8" i="85" l="1"/>
  <c r="F8" i="85"/>
  <c r="G8" i="85"/>
  <c r="H8" i="85"/>
  <c r="L8" i="85"/>
  <c r="E31" i="81"/>
  <c r="F31" i="81"/>
  <c r="G31" i="81"/>
  <c r="H31" i="81"/>
  <c r="L31" i="81"/>
  <c r="D8" i="85" l="1"/>
  <c r="D31" i="81"/>
  <c r="E20" i="81"/>
  <c r="H20" i="81"/>
  <c r="F20" i="81"/>
  <c r="G20" i="81"/>
  <c r="L20" i="81"/>
  <c r="G9" i="75"/>
  <c r="G6" i="75"/>
  <c r="G23" i="75"/>
  <c r="G24" i="75"/>
  <c r="G25" i="75"/>
  <c r="G7" i="75"/>
  <c r="G20" i="75"/>
  <c r="G12" i="75"/>
  <c r="G19" i="75"/>
  <c r="G11" i="75"/>
  <c r="G10" i="75"/>
  <c r="G26" i="75"/>
  <c r="G8" i="75"/>
  <c r="G17" i="75"/>
  <c r="G16" i="75"/>
  <c r="G15" i="75"/>
  <c r="G13" i="75"/>
  <c r="G5" i="75"/>
  <c r="G14" i="75"/>
  <c r="G21" i="75"/>
  <c r="G28" i="75"/>
  <c r="G18" i="75"/>
  <c r="G29" i="75"/>
  <c r="Z521" i="32"/>
  <c r="Z520" i="32"/>
  <c r="Y521" i="32"/>
  <c r="Y520" i="32"/>
  <c r="Z518" i="32"/>
  <c r="Z517" i="32"/>
  <c r="Y518" i="32"/>
  <c r="Y517" i="32"/>
  <c r="AF99" i="86"/>
  <c r="M640" i="32"/>
  <c r="E104" i="85"/>
  <c r="F104" i="85"/>
  <c r="G104" i="85"/>
  <c r="H104" i="85"/>
  <c r="L104" i="85"/>
  <c r="G22" i="83"/>
  <c r="AF97" i="86"/>
  <c r="E7" i="85"/>
  <c r="F7" i="85"/>
  <c r="G7" i="85"/>
  <c r="H7" i="85"/>
  <c r="L7" i="85"/>
  <c r="E30" i="81"/>
  <c r="F30" i="81"/>
  <c r="G30" i="81"/>
  <c r="H30" i="81"/>
  <c r="L30" i="81"/>
  <c r="K66" i="80"/>
  <c r="G56" i="80"/>
  <c r="K71" i="80"/>
  <c r="G63" i="80"/>
  <c r="K73" i="80"/>
  <c r="G77" i="80"/>
  <c r="K37" i="80"/>
  <c r="G76" i="80"/>
  <c r="K84" i="80"/>
  <c r="G70" i="80"/>
  <c r="K55" i="80"/>
  <c r="G52" i="80"/>
  <c r="G81" i="80"/>
  <c r="K39" i="80"/>
  <c r="G18" i="80"/>
  <c r="K50" i="80"/>
  <c r="G69" i="80"/>
  <c r="K59" i="80"/>
  <c r="G46" i="80"/>
  <c r="K106" i="80"/>
  <c r="K57" i="80"/>
  <c r="G62" i="80"/>
  <c r="K88" i="80"/>
  <c r="K99" i="80"/>
  <c r="G88" i="80"/>
  <c r="K48" i="80"/>
  <c r="G25" i="80"/>
  <c r="K61" i="80"/>
  <c r="G30" i="80"/>
  <c r="K81" i="80"/>
  <c r="K98" i="80"/>
  <c r="K76" i="80"/>
  <c r="G55" i="80"/>
  <c r="K35" i="80"/>
  <c r="G38" i="80"/>
  <c r="K78" i="80"/>
  <c r="K45" i="80"/>
  <c r="G45" i="80"/>
  <c r="K86" i="80"/>
  <c r="G68" i="80"/>
  <c r="K51" i="80"/>
  <c r="G93" i="80"/>
  <c r="K75" i="80"/>
  <c r="G37" i="80"/>
  <c r="D20" i="81" l="1"/>
  <c r="D7" i="85"/>
  <c r="D104" i="85"/>
  <c r="D30" i="81"/>
  <c r="K85" i="80"/>
  <c r="K83" i="80"/>
  <c r="K117" i="80" s="1"/>
  <c r="G74" i="80"/>
  <c r="G73" i="80"/>
  <c r="G114" i="80" s="1"/>
  <c r="K118" i="80" s="1"/>
  <c r="I185" i="92"/>
  <c r="I202" i="91" l="1"/>
  <c r="K120" i="80" l="1"/>
  <c r="I832" i="90"/>
  <c r="I831" i="90"/>
  <c r="I830" i="90"/>
  <c r="I191" i="90"/>
  <c r="M22" i="90"/>
  <c r="M20" i="90"/>
  <c r="K13" i="90"/>
  <c r="J13" i="90"/>
  <c r="I833" i="90" l="1"/>
  <c r="H521" i="89"/>
  <c r="H520" i="89"/>
  <c r="K463" i="89"/>
  <c r="J356" i="89"/>
  <c r="L356" i="89" s="1"/>
  <c r="H312" i="89"/>
  <c r="H308" i="89"/>
  <c r="H541" i="88" l="1"/>
  <c r="H540" i="88"/>
  <c r="K488" i="88"/>
  <c r="I478" i="88"/>
  <c r="I479" i="88" s="1"/>
  <c r="I477" i="88"/>
  <c r="H417" i="88"/>
  <c r="H416" i="88"/>
  <c r="I360" i="88"/>
  <c r="I361" i="88" s="1"/>
  <c r="I359" i="88"/>
  <c r="J345" i="88"/>
  <c r="L345" i="88" s="1"/>
  <c r="H301" i="88"/>
  <c r="H297" i="88"/>
  <c r="I614" i="87"/>
  <c r="I615" i="87" s="1"/>
  <c r="I616" i="87" s="1"/>
  <c r="H536" i="87"/>
  <c r="H535" i="87"/>
  <c r="H408" i="87"/>
  <c r="H407" i="87"/>
  <c r="G28" i="85" l="1"/>
  <c r="L28" i="85"/>
  <c r="F28" i="85"/>
  <c r="E28" i="85"/>
  <c r="H28" i="85"/>
  <c r="G55" i="83"/>
  <c r="G72" i="83"/>
  <c r="D82" i="83"/>
  <c r="D28" i="85" l="1"/>
  <c r="E30" i="85" l="1"/>
  <c r="F30" i="85"/>
  <c r="G30" i="85"/>
  <c r="H30" i="85"/>
  <c r="L30" i="85"/>
  <c r="G28" i="83"/>
  <c r="X99" i="86"/>
  <c r="T98" i="86"/>
  <c r="X97" i="86"/>
  <c r="P97" i="86"/>
  <c r="T96" i="86"/>
  <c r="L96" i="86"/>
  <c r="D96" i="86"/>
  <c r="P95" i="86"/>
  <c r="H95" i="86"/>
  <c r="L94" i="86"/>
  <c r="D30" i="85" l="1"/>
  <c r="E20" i="85" l="1"/>
  <c r="F20" i="85"/>
  <c r="G20" i="85"/>
  <c r="H20" i="85"/>
  <c r="L20" i="85"/>
  <c r="E31" i="85"/>
  <c r="F31" i="85"/>
  <c r="G31" i="85"/>
  <c r="H31" i="85"/>
  <c r="L31" i="85"/>
  <c r="E4" i="85"/>
  <c r="F4" i="85"/>
  <c r="G4" i="85"/>
  <c r="H4" i="85"/>
  <c r="L4" i="85"/>
  <c r="E80" i="85"/>
  <c r="F80" i="85"/>
  <c r="G80" i="85"/>
  <c r="H80" i="85"/>
  <c r="L80" i="85"/>
  <c r="E64" i="85"/>
  <c r="F64" i="85"/>
  <c r="G64" i="85"/>
  <c r="H64" i="85"/>
  <c r="L64" i="85"/>
  <c r="E78" i="85"/>
  <c r="F78" i="85"/>
  <c r="G78" i="85"/>
  <c r="H78" i="85"/>
  <c r="L78" i="85"/>
  <c r="E52" i="85"/>
  <c r="F52" i="85"/>
  <c r="G52" i="85"/>
  <c r="H52" i="85"/>
  <c r="L52" i="85"/>
  <c r="E60" i="85"/>
  <c r="F60" i="85"/>
  <c r="G60" i="85"/>
  <c r="H60" i="85"/>
  <c r="L60" i="85"/>
  <c r="E103" i="85"/>
  <c r="F103" i="85"/>
  <c r="G103" i="85"/>
  <c r="H103" i="85"/>
  <c r="L103" i="85"/>
  <c r="E90" i="85"/>
  <c r="F90" i="85"/>
  <c r="G90" i="85"/>
  <c r="H90" i="85"/>
  <c r="L90" i="85"/>
  <c r="E88" i="85"/>
  <c r="F88" i="85"/>
  <c r="G88" i="85"/>
  <c r="H88" i="85"/>
  <c r="L88" i="85"/>
  <c r="D88" i="85" l="1"/>
  <c r="D64" i="85"/>
  <c r="D52" i="85"/>
  <c r="D60" i="85"/>
  <c r="D90" i="85"/>
  <c r="D103" i="85"/>
  <c r="D78" i="85"/>
  <c r="D20" i="85"/>
  <c r="D80" i="85"/>
  <c r="D4" i="85"/>
  <c r="D31" i="85"/>
  <c r="E79" i="85" l="1"/>
  <c r="F79" i="85"/>
  <c r="G79" i="85"/>
  <c r="H79" i="85"/>
  <c r="L79" i="85"/>
  <c r="E75" i="85"/>
  <c r="F75" i="85"/>
  <c r="G75" i="85"/>
  <c r="H75" i="85"/>
  <c r="L75" i="85"/>
  <c r="E58" i="85"/>
  <c r="F58" i="85"/>
  <c r="G58" i="85"/>
  <c r="H58" i="85"/>
  <c r="L58" i="85"/>
  <c r="E40" i="85"/>
  <c r="F40" i="85"/>
  <c r="G40" i="85"/>
  <c r="H40" i="85"/>
  <c r="L40" i="85"/>
  <c r="E11" i="85"/>
  <c r="F11" i="85"/>
  <c r="G11" i="85"/>
  <c r="H11" i="85"/>
  <c r="L11" i="85"/>
  <c r="E39" i="85"/>
  <c r="F39" i="85"/>
  <c r="G39" i="85"/>
  <c r="H39" i="85"/>
  <c r="L39" i="85"/>
  <c r="E93" i="85"/>
  <c r="F93" i="85"/>
  <c r="G93" i="85"/>
  <c r="H93" i="85"/>
  <c r="L93" i="85"/>
  <c r="E25" i="85"/>
  <c r="F25" i="85"/>
  <c r="G25" i="85"/>
  <c r="H25" i="85"/>
  <c r="L25" i="85"/>
  <c r="E61" i="85"/>
  <c r="F61" i="85"/>
  <c r="G61" i="85"/>
  <c r="H61" i="85"/>
  <c r="L61" i="85"/>
  <c r="E33" i="85"/>
  <c r="F33" i="85"/>
  <c r="G33" i="85"/>
  <c r="H33" i="85"/>
  <c r="L33" i="85"/>
  <c r="E36" i="85"/>
  <c r="F36" i="85"/>
  <c r="G36" i="85"/>
  <c r="H36" i="85"/>
  <c r="L36" i="85"/>
  <c r="E91" i="85"/>
  <c r="F91" i="85"/>
  <c r="G91" i="85"/>
  <c r="H91" i="85"/>
  <c r="L91" i="85"/>
  <c r="E50" i="85"/>
  <c r="F50" i="85"/>
  <c r="G50" i="85"/>
  <c r="H50" i="85"/>
  <c r="L50" i="85"/>
  <c r="E49" i="85"/>
  <c r="F49" i="85"/>
  <c r="G49" i="85"/>
  <c r="H49" i="85"/>
  <c r="L49" i="85"/>
  <c r="E45" i="85"/>
  <c r="F45" i="85"/>
  <c r="G45" i="85"/>
  <c r="H45" i="85"/>
  <c r="L45" i="85"/>
  <c r="E48" i="85"/>
  <c r="F48" i="85"/>
  <c r="G48" i="85"/>
  <c r="H48" i="85"/>
  <c r="L48" i="85"/>
  <c r="E89" i="85"/>
  <c r="F89" i="85"/>
  <c r="G89" i="85"/>
  <c r="H89" i="85"/>
  <c r="L89" i="85"/>
  <c r="E73" i="85"/>
  <c r="F73" i="85"/>
  <c r="G73" i="85"/>
  <c r="H73" i="85"/>
  <c r="L73" i="85"/>
  <c r="E70" i="85"/>
  <c r="F70" i="85"/>
  <c r="G70" i="85"/>
  <c r="H70" i="85"/>
  <c r="L70" i="85"/>
  <c r="E72" i="85"/>
  <c r="F72" i="85"/>
  <c r="G72" i="85"/>
  <c r="H72" i="85"/>
  <c r="L72" i="85"/>
  <c r="E62" i="85"/>
  <c r="E59" i="85"/>
  <c r="L5" i="85"/>
  <c r="L56" i="85"/>
  <c r="L37" i="85"/>
  <c r="L77" i="85"/>
  <c r="L83" i="85"/>
  <c r="L34" i="85"/>
  <c r="L74" i="85"/>
  <c r="L63" i="85"/>
  <c r="L62" i="85"/>
  <c r="L59" i="85"/>
  <c r="L55" i="85"/>
  <c r="L6" i="85"/>
  <c r="L14" i="85"/>
  <c r="L65" i="85"/>
  <c r="L24" i="85"/>
  <c r="L102" i="85"/>
  <c r="L29" i="85"/>
  <c r="L101" i="85"/>
  <c r="L10" i="85"/>
  <c r="L12" i="85"/>
  <c r="L85" i="85"/>
  <c r="L42" i="85"/>
  <c r="L41" i="85"/>
  <c r="L15" i="85"/>
  <c r="L98" i="85"/>
  <c r="L99" i="85"/>
  <c r="L16" i="85"/>
  <c r="L96" i="85"/>
  <c r="L57" i="85"/>
  <c r="L92" i="85"/>
  <c r="L108" i="85"/>
  <c r="L84" i="85"/>
  <c r="L87" i="85"/>
  <c r="L86" i="85"/>
  <c r="L26" i="85"/>
  <c r="L71" i="85"/>
  <c r="L76" i="85"/>
  <c r="L23" i="85"/>
  <c r="L94" i="85"/>
  <c r="L81" i="85"/>
  <c r="L53" i="85"/>
  <c r="L46" i="85"/>
  <c r="L100" i="85"/>
  <c r="L32" i="85"/>
  <c r="O110" i="85"/>
  <c r="N110" i="85"/>
  <c r="M110" i="85"/>
  <c r="K110" i="85"/>
  <c r="J110" i="85"/>
  <c r="I110" i="85"/>
  <c r="H100" i="85"/>
  <c r="D100" i="85" s="1"/>
  <c r="G100" i="85"/>
  <c r="F100" i="85"/>
  <c r="E100" i="85"/>
  <c r="H46" i="85"/>
  <c r="G46" i="85"/>
  <c r="F46" i="85"/>
  <c r="E46" i="85"/>
  <c r="H53" i="85"/>
  <c r="G53" i="85"/>
  <c r="F53" i="85"/>
  <c r="E53" i="85"/>
  <c r="H81" i="85"/>
  <c r="G81" i="85"/>
  <c r="F81" i="85"/>
  <c r="E81" i="85"/>
  <c r="H94" i="85"/>
  <c r="G94" i="85"/>
  <c r="F94" i="85"/>
  <c r="E94" i="85"/>
  <c r="H23" i="85"/>
  <c r="G23" i="85"/>
  <c r="F23" i="85"/>
  <c r="E23" i="85"/>
  <c r="H76" i="85"/>
  <c r="G76" i="85"/>
  <c r="F76" i="85"/>
  <c r="E76" i="85"/>
  <c r="H71" i="85"/>
  <c r="G71" i="85"/>
  <c r="F71" i="85"/>
  <c r="E71" i="85"/>
  <c r="H26" i="85"/>
  <c r="G26" i="85"/>
  <c r="F26" i="85"/>
  <c r="E26" i="85"/>
  <c r="H86" i="85"/>
  <c r="G86" i="85"/>
  <c r="F86" i="85"/>
  <c r="E86" i="85"/>
  <c r="H87" i="85"/>
  <c r="G87" i="85"/>
  <c r="F87" i="85"/>
  <c r="E87" i="85"/>
  <c r="H84" i="85"/>
  <c r="G84" i="85"/>
  <c r="F84" i="85"/>
  <c r="E84" i="85"/>
  <c r="H108" i="85"/>
  <c r="G108" i="85"/>
  <c r="F108" i="85"/>
  <c r="E108" i="85"/>
  <c r="H92" i="85"/>
  <c r="G92" i="85"/>
  <c r="F92" i="85"/>
  <c r="E92" i="85"/>
  <c r="H57" i="85"/>
  <c r="G57" i="85"/>
  <c r="F57" i="85"/>
  <c r="E57" i="85"/>
  <c r="H96" i="85"/>
  <c r="G96" i="85"/>
  <c r="F96" i="85"/>
  <c r="E96" i="85"/>
  <c r="H16" i="85"/>
  <c r="G16" i="85"/>
  <c r="F16" i="85"/>
  <c r="E16" i="85"/>
  <c r="H99" i="85"/>
  <c r="G99" i="85"/>
  <c r="F99" i="85"/>
  <c r="E99" i="85"/>
  <c r="H98" i="85"/>
  <c r="G98" i="85"/>
  <c r="F98" i="85"/>
  <c r="E98" i="85"/>
  <c r="H15" i="85"/>
  <c r="G15" i="85"/>
  <c r="F15" i="85"/>
  <c r="E15" i="85"/>
  <c r="H41" i="85"/>
  <c r="G41" i="85"/>
  <c r="F41" i="85"/>
  <c r="E41" i="85"/>
  <c r="H42" i="85"/>
  <c r="G42" i="85"/>
  <c r="F42" i="85"/>
  <c r="E42" i="85"/>
  <c r="H85" i="85"/>
  <c r="G85" i="85"/>
  <c r="F85" i="85"/>
  <c r="E85" i="85"/>
  <c r="H12" i="85"/>
  <c r="G12" i="85"/>
  <c r="F12" i="85"/>
  <c r="E12" i="85"/>
  <c r="H10" i="85"/>
  <c r="G10" i="85"/>
  <c r="F10" i="85"/>
  <c r="E10" i="85"/>
  <c r="H101" i="85"/>
  <c r="G101" i="85"/>
  <c r="F101" i="85"/>
  <c r="E101" i="85"/>
  <c r="H29" i="85"/>
  <c r="G29" i="85"/>
  <c r="F29" i="85"/>
  <c r="E29" i="85"/>
  <c r="H102" i="85"/>
  <c r="G102" i="85"/>
  <c r="F102" i="85"/>
  <c r="E102" i="85"/>
  <c r="H24" i="85"/>
  <c r="G24" i="85"/>
  <c r="F24" i="85"/>
  <c r="E24" i="85"/>
  <c r="H65" i="85"/>
  <c r="G65" i="85"/>
  <c r="F65" i="85"/>
  <c r="E65" i="85"/>
  <c r="H14" i="85"/>
  <c r="G14" i="85"/>
  <c r="F14" i="85"/>
  <c r="E14" i="85"/>
  <c r="H6" i="85"/>
  <c r="G6" i="85"/>
  <c r="F6" i="85"/>
  <c r="E6" i="85"/>
  <c r="H55" i="85"/>
  <c r="G55" i="85"/>
  <c r="F55" i="85"/>
  <c r="E55" i="85"/>
  <c r="H59" i="85"/>
  <c r="G59" i="85"/>
  <c r="F59" i="85"/>
  <c r="H62" i="85"/>
  <c r="G62" i="85"/>
  <c r="F62" i="85"/>
  <c r="H63" i="85"/>
  <c r="E63" i="85"/>
  <c r="H74" i="85"/>
  <c r="G74" i="85"/>
  <c r="F74" i="85"/>
  <c r="E74" i="85"/>
  <c r="H34" i="85"/>
  <c r="G34" i="85"/>
  <c r="F34" i="85"/>
  <c r="E34" i="85"/>
  <c r="H83" i="85"/>
  <c r="G83" i="85"/>
  <c r="F83" i="85"/>
  <c r="E83" i="85"/>
  <c r="H77" i="85"/>
  <c r="G77" i="85"/>
  <c r="F77" i="85"/>
  <c r="E77" i="85"/>
  <c r="H37" i="85"/>
  <c r="G37" i="85"/>
  <c r="F37" i="85"/>
  <c r="E37" i="85"/>
  <c r="H56" i="85"/>
  <c r="G56" i="85"/>
  <c r="F56" i="85"/>
  <c r="E56" i="85"/>
  <c r="H5" i="85"/>
  <c r="G5" i="85"/>
  <c r="F5" i="85"/>
  <c r="E5" i="85"/>
  <c r="H32" i="85"/>
  <c r="G32" i="85"/>
  <c r="F32" i="85"/>
  <c r="E32" i="85"/>
  <c r="D55" i="85" l="1"/>
  <c r="D108" i="85"/>
  <c r="D6" i="85"/>
  <c r="D96" i="85"/>
  <c r="D77" i="85"/>
  <c r="D37" i="85"/>
  <c r="D85" i="85"/>
  <c r="D76" i="85"/>
  <c r="D93" i="85"/>
  <c r="D24" i="85"/>
  <c r="D94" i="85"/>
  <c r="D58" i="85"/>
  <c r="D75" i="85"/>
  <c r="D83" i="85"/>
  <c r="D5" i="85"/>
  <c r="D74" i="85"/>
  <c r="D72" i="85"/>
  <c r="D91" i="85"/>
  <c r="D40" i="85"/>
  <c r="D73" i="85"/>
  <c r="D59" i="85"/>
  <c r="D49" i="85"/>
  <c r="D98" i="85"/>
  <c r="D32" i="85"/>
  <c r="D10" i="85"/>
  <c r="D45" i="85"/>
  <c r="D61" i="85"/>
  <c r="D70" i="85"/>
  <c r="D33" i="85"/>
  <c r="D50" i="85"/>
  <c r="D36" i="85"/>
  <c r="D62" i="85"/>
  <c r="D29" i="85"/>
  <c r="D87" i="85"/>
  <c r="D53" i="85"/>
  <c r="D23" i="85"/>
  <c r="D57" i="85"/>
  <c r="D101" i="85"/>
  <c r="D99" i="85"/>
  <c r="D86" i="85"/>
  <c r="D46" i="85"/>
  <c r="D56" i="85"/>
  <c r="D39" i="85"/>
  <c r="D89" i="85"/>
  <c r="D48" i="85"/>
  <c r="D11" i="85"/>
  <c r="D25" i="85"/>
  <c r="D42" i="85"/>
  <c r="D79" i="85"/>
  <c r="D16" i="85"/>
  <c r="D71" i="85"/>
  <c r="D26" i="85"/>
  <c r="D41" i="85"/>
  <c r="D12" i="85"/>
  <c r="D14" i="85"/>
  <c r="D92" i="85"/>
  <c r="D84" i="85"/>
  <c r="D34" i="85"/>
  <c r="D63" i="85"/>
  <c r="D81" i="85"/>
  <c r="D65" i="85"/>
  <c r="D102" i="85"/>
  <c r="D15" i="85"/>
  <c r="H110" i="85"/>
  <c r="L110" i="85"/>
  <c r="F110" i="85"/>
  <c r="E110" i="85"/>
  <c r="G110" i="85"/>
  <c r="D110" i="85" l="1"/>
  <c r="G61" i="83" l="1"/>
  <c r="E25" i="81" l="1"/>
  <c r="F25" i="81"/>
  <c r="G25" i="81"/>
  <c r="H25" i="81"/>
  <c r="L25" i="81"/>
  <c r="E57" i="81"/>
  <c r="F57" i="81"/>
  <c r="G57" i="81"/>
  <c r="H57" i="81"/>
  <c r="L57" i="81"/>
  <c r="D57" i="81" l="1"/>
  <c r="D25" i="81"/>
  <c r="G5" i="83" l="1"/>
  <c r="G16" i="83" l="1"/>
  <c r="E28" i="81"/>
  <c r="F28" i="81"/>
  <c r="G28" i="81"/>
  <c r="H28" i="81"/>
  <c r="L28" i="81"/>
  <c r="G37" i="83"/>
  <c r="G46" i="83"/>
  <c r="E36" i="81"/>
  <c r="F36" i="81"/>
  <c r="G36" i="81"/>
  <c r="H36" i="81"/>
  <c r="L36" i="81"/>
  <c r="G10" i="83"/>
  <c r="D36" i="81" l="1"/>
  <c r="D28" i="81"/>
  <c r="G79" i="83"/>
  <c r="G40" i="83" l="1"/>
  <c r="G9" i="83"/>
  <c r="L11" i="81"/>
  <c r="E8" i="81"/>
  <c r="F8" i="81"/>
  <c r="G8" i="81"/>
  <c r="H8" i="81"/>
  <c r="E11" i="81"/>
  <c r="F11" i="81"/>
  <c r="G11" i="81"/>
  <c r="H11" i="81"/>
  <c r="L14" i="81"/>
  <c r="H14" i="81"/>
  <c r="E14" i="81"/>
  <c r="F14" i="81"/>
  <c r="G14" i="81"/>
  <c r="G64" i="83"/>
  <c r="D11" i="81" l="1"/>
  <c r="D14" i="81"/>
  <c r="G24" i="83"/>
  <c r="G80" i="83"/>
  <c r="G21" i="83"/>
  <c r="G53" i="83"/>
  <c r="E15" i="81" l="1"/>
  <c r="F15" i="81"/>
  <c r="G15" i="81"/>
  <c r="E43" i="81"/>
  <c r="F43" i="81"/>
  <c r="G43" i="81"/>
  <c r="E45" i="81"/>
  <c r="F45" i="81"/>
  <c r="G45" i="81"/>
  <c r="E41" i="81"/>
  <c r="F41" i="81"/>
  <c r="G41" i="81"/>
  <c r="E56" i="81"/>
  <c r="F56" i="81"/>
  <c r="G56" i="81"/>
  <c r="E59" i="81"/>
  <c r="F59" i="81"/>
  <c r="G59" i="81"/>
  <c r="E60" i="81"/>
  <c r="F60" i="81"/>
  <c r="G60" i="81"/>
  <c r="E9" i="81"/>
  <c r="F9" i="81"/>
  <c r="G9" i="81"/>
  <c r="E29" i="81"/>
  <c r="F29" i="81"/>
  <c r="G29" i="81"/>
  <c r="E35" i="81"/>
  <c r="F35" i="81"/>
  <c r="G35" i="81"/>
  <c r="E34" i="81"/>
  <c r="F34" i="81"/>
  <c r="G34" i="81"/>
  <c r="E7" i="81"/>
  <c r="F7" i="81"/>
  <c r="G7" i="81"/>
  <c r="E46" i="81"/>
  <c r="F46" i="81"/>
  <c r="G46" i="81"/>
  <c r="E12" i="81"/>
  <c r="F12" i="81"/>
  <c r="G12" i="81"/>
  <c r="E33" i="81"/>
  <c r="F33" i="81"/>
  <c r="G33" i="81"/>
  <c r="E39" i="81"/>
  <c r="F39" i="81"/>
  <c r="G39" i="81"/>
  <c r="E5" i="81"/>
  <c r="F5" i="81"/>
  <c r="G5" i="81"/>
  <c r="E53" i="81"/>
  <c r="F53" i="81"/>
  <c r="G53" i="81"/>
  <c r="E55" i="81"/>
  <c r="F55" i="81"/>
  <c r="G55" i="81"/>
  <c r="E58" i="81"/>
  <c r="F58" i="81"/>
  <c r="G58" i="81"/>
  <c r="E54" i="81"/>
  <c r="F54" i="81"/>
  <c r="G54" i="81"/>
  <c r="E26" i="81"/>
  <c r="F26" i="81"/>
  <c r="G26" i="81"/>
  <c r="E61" i="81"/>
  <c r="F61" i="81"/>
  <c r="G61" i="81"/>
  <c r="E40" i="81"/>
  <c r="F40" i="81"/>
  <c r="G40" i="81"/>
  <c r="E42" i="81"/>
  <c r="F42" i="81"/>
  <c r="G42" i="81"/>
  <c r="E24" i="81"/>
  <c r="F24" i="81"/>
  <c r="G24" i="81"/>
  <c r="E63" i="81"/>
  <c r="F63" i="81"/>
  <c r="G63" i="81"/>
  <c r="E62" i="81"/>
  <c r="F62" i="81"/>
  <c r="G62" i="81"/>
  <c r="E27" i="81"/>
  <c r="F27" i="81"/>
  <c r="G27" i="81"/>
  <c r="E18" i="81"/>
  <c r="F18" i="81"/>
  <c r="G18" i="81"/>
  <c r="E4" i="81"/>
  <c r="F4" i="81"/>
  <c r="G4" i="81"/>
  <c r="E32" i="81"/>
  <c r="F32" i="81"/>
  <c r="G32" i="81"/>
  <c r="E6" i="81"/>
  <c r="F6" i="81"/>
  <c r="G6" i="81"/>
  <c r="E23" i="81"/>
  <c r="F23" i="81"/>
  <c r="G23" i="81"/>
  <c r="E13" i="81"/>
  <c r="F13" i="81"/>
  <c r="G13" i="81"/>
  <c r="E10" i="81"/>
  <c r="F10" i="81"/>
  <c r="G10" i="81"/>
  <c r="E22" i="81"/>
  <c r="F22" i="81"/>
  <c r="G22" i="81"/>
  <c r="E16" i="81"/>
  <c r="F16" i="81"/>
  <c r="G16" i="81"/>
  <c r="E21" i="81"/>
  <c r="F21" i="81"/>
  <c r="G21" i="81"/>
  <c r="E17" i="81"/>
  <c r="F17" i="81"/>
  <c r="G17" i="81"/>
  <c r="H15" i="81"/>
  <c r="H43" i="81"/>
  <c r="H45" i="81"/>
  <c r="H41" i="81"/>
  <c r="H56" i="81"/>
  <c r="H59" i="81"/>
  <c r="H60" i="81"/>
  <c r="H9" i="81"/>
  <c r="H29" i="81"/>
  <c r="H35" i="81"/>
  <c r="H34" i="81"/>
  <c r="H7" i="81"/>
  <c r="H46" i="81"/>
  <c r="H12" i="81"/>
  <c r="H33" i="81"/>
  <c r="H39" i="81"/>
  <c r="H5" i="81"/>
  <c r="H53" i="81"/>
  <c r="H55" i="81"/>
  <c r="H58" i="81"/>
  <c r="H54" i="81"/>
  <c r="H26" i="81"/>
  <c r="H61" i="81"/>
  <c r="H40" i="81"/>
  <c r="H42" i="81"/>
  <c r="H24" i="81"/>
  <c r="H63" i="81"/>
  <c r="H62" i="81"/>
  <c r="H27" i="81"/>
  <c r="H18" i="81"/>
  <c r="H4" i="81"/>
  <c r="H32" i="81"/>
  <c r="H6" i="81"/>
  <c r="H23" i="81"/>
  <c r="H13" i="81"/>
  <c r="H10" i="81"/>
  <c r="H22" i="81"/>
  <c r="H16" i="81"/>
  <c r="H21" i="81"/>
  <c r="H17" i="81"/>
  <c r="H44" i="81"/>
  <c r="L15" i="81"/>
  <c r="L43" i="81"/>
  <c r="L45" i="81"/>
  <c r="L41" i="81"/>
  <c r="L56" i="81"/>
  <c r="L59" i="81"/>
  <c r="L60" i="81"/>
  <c r="L9" i="81"/>
  <c r="L29" i="81"/>
  <c r="L35" i="81"/>
  <c r="L34" i="81"/>
  <c r="L7" i="81"/>
  <c r="L46" i="81"/>
  <c r="L12" i="81"/>
  <c r="L33" i="81"/>
  <c r="L39" i="81"/>
  <c r="L5" i="81"/>
  <c r="L53" i="81"/>
  <c r="L55" i="81"/>
  <c r="L58" i="81"/>
  <c r="L54" i="81"/>
  <c r="L26" i="81"/>
  <c r="L61" i="81"/>
  <c r="L40" i="81"/>
  <c r="L42" i="81"/>
  <c r="L24" i="81"/>
  <c r="L63" i="81"/>
  <c r="L62" i="81"/>
  <c r="L27" i="81"/>
  <c r="L18" i="81"/>
  <c r="L4" i="81"/>
  <c r="L32" i="81"/>
  <c r="L6" i="81"/>
  <c r="L23" i="81"/>
  <c r="L8" i="81"/>
  <c r="D8" i="81" s="1"/>
  <c r="L13" i="81"/>
  <c r="L10" i="81"/>
  <c r="L22" i="81"/>
  <c r="L16" i="81"/>
  <c r="L21" i="81"/>
  <c r="L17" i="81"/>
  <c r="L44" i="81"/>
  <c r="E44" i="81"/>
  <c r="F44" i="81"/>
  <c r="G44" i="81"/>
  <c r="G41" i="83"/>
  <c r="G71" i="83"/>
  <c r="G56" i="83"/>
  <c r="G43" i="83"/>
  <c r="G63" i="83"/>
  <c r="G70" i="83"/>
  <c r="G69" i="83"/>
  <c r="Y5" i="83"/>
  <c r="G11" i="83"/>
  <c r="E82" i="83"/>
  <c r="G59" i="83"/>
  <c r="G12" i="83"/>
  <c r="C82" i="83"/>
  <c r="G42" i="83"/>
  <c r="G8" i="83"/>
  <c r="G17" i="83"/>
  <c r="G31" i="83"/>
  <c r="G60" i="83"/>
  <c r="G23" i="83"/>
  <c r="G33" i="83"/>
  <c r="G48" i="83"/>
  <c r="G67" i="83"/>
  <c r="G51" i="83"/>
  <c r="G6" i="83"/>
  <c r="G68" i="83"/>
  <c r="G52" i="83"/>
  <c r="G39" i="83"/>
  <c r="G36" i="83"/>
  <c r="G58" i="83"/>
  <c r="G44" i="83"/>
  <c r="G13" i="83"/>
  <c r="G27" i="83"/>
  <c r="G34" i="83"/>
  <c r="G30" i="83"/>
  <c r="G32" i="83"/>
  <c r="G47" i="83"/>
  <c r="G14" i="83"/>
  <c r="G20" i="83"/>
  <c r="G18" i="83"/>
  <c r="G19" i="83"/>
  <c r="G26" i="83"/>
  <c r="G7" i="83"/>
  <c r="G25" i="83"/>
  <c r="G15" i="83"/>
  <c r="AC31" i="77"/>
  <c r="E66" i="81" l="1"/>
  <c r="H66" i="81"/>
  <c r="L66" i="81"/>
  <c r="G66" i="81"/>
  <c r="F66" i="81"/>
  <c r="G81" i="83"/>
  <c r="D44" i="81"/>
  <c r="D53" i="81"/>
  <c r="D45" i="81"/>
  <c r="D40" i="81"/>
  <c r="D58" i="81"/>
  <c r="D46" i="81"/>
  <c r="D56" i="81"/>
  <c r="D6" i="81"/>
  <c r="D4" i="81"/>
  <c r="D42" i="81"/>
  <c r="D54" i="81"/>
  <c r="D7" i="81"/>
  <c r="D41" i="81"/>
  <c r="D27" i="81"/>
  <c r="D17" i="81"/>
  <c r="D21" i="81"/>
  <c r="D16" i="81"/>
  <c r="D22" i="81"/>
  <c r="D10" i="81"/>
  <c r="D13" i="81"/>
  <c r="D23" i="81"/>
  <c r="D32" i="81"/>
  <c r="D18" i="81"/>
  <c r="D62" i="81"/>
  <c r="D63" i="81"/>
  <c r="D24" i="81"/>
  <c r="D61" i="81"/>
  <c r="D26" i="81"/>
  <c r="D55" i="81"/>
  <c r="D5" i="81"/>
  <c r="D39" i="81"/>
  <c r="D33" i="81"/>
  <c r="D12" i="81"/>
  <c r="D34" i="81"/>
  <c r="D35" i="81"/>
  <c r="D9" i="81"/>
  <c r="D29" i="81"/>
  <c r="D59" i="81"/>
  <c r="D60" i="81"/>
  <c r="D43" i="81"/>
  <c r="D15" i="81"/>
  <c r="D84" i="83"/>
  <c r="G30" i="75"/>
  <c r="D66" i="8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tc={22CCD9BC-D386-4D1A-9212-BAA6C36FDC46}</author>
  </authors>
  <commentList>
    <comment ref="H1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2014 JUGADO EN LOS MATREROS
</t>
        </r>
      </text>
    </comment>
    <comment ref="H1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Jugado en Los Matreros
</t>
        </r>
      </text>
    </comment>
    <comment ref="H29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
JUGADO EN LOS MATREROS
</t>
        </r>
      </text>
    </comment>
    <comment ref="H3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H34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 EN 2014 JUGADO EN LOS MATREROS
</t>
        </r>
      </text>
    </comment>
    <comment ref="H3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1ro de 2015 JUGADO EN VILO
</t>
        </r>
      </text>
    </comment>
    <comment ref="H39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JUGADO EN LOS MATREROS
</t>
        </r>
      </text>
    </comment>
    <comment ref="L4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2014 JUGADO EN LOS MATREROS
2015 JUGADO EN BEROMAMA
</t>
        </r>
      </text>
    </comment>
    <comment ref="H4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H46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K50" authorId="1" shapeId="0" xr:uid="{00000000-0006-0000-0B00-00000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Pérdida de localía 17-8-24, Jugado en Del Sur</t>
      </text>
    </comment>
    <comment ref="H56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  <comment ref="L57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ITALIANO
</t>
        </r>
      </text>
    </comment>
    <comment ref="H60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JUGADO EN LOS MATREROS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tc={AF55B69F-E7CF-4AD0-A2EB-C00088C0A8FF}</author>
  </authors>
  <commentList>
    <comment ref="B13" authorId="0" shapeId="0" xr:uid="{00000000-0006-0000-0F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2017 se consideran 7 puntos porque no se patea más la conversión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tc={DB65B287-D1CF-4E81-9AB6-235BD4BC64DC}</author>
    <author>tc={BC035EB6-8C76-4122-8B38-95C1F1076183}</author>
    <author>tc={566B3ED4-1188-46B3-9F52-624FC0840EBD}</author>
    <author>tc={D1897F1D-1B5D-42EE-ADBE-A9478C525699}</author>
    <author>Juan Carlos Lista</author>
    <author>tc={6009A890-0915-4582-8A43-8706E61A2960}</author>
    <author>tc={412FCCA0-E62E-4872-B482-43D9FCDCC148}</author>
    <author>tc={8FF8FCB6-23FA-4510-90B9-1DB5AE0028EA}</author>
  </authors>
  <commentList>
    <comment ref="U8" authorId="0" shapeId="0" xr:uid="{00000000-0006-0000-1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AGUSTIN DOMINGUEZ (2)</t>
      </text>
    </comment>
    <comment ref="U9" authorId="1" shapeId="0" xr:uid="{00000000-0006-0000-10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TOBIAS LUCERO</t>
      </text>
    </comment>
    <comment ref="U11" authorId="2" shapeId="0" xr:uid="{00000000-0006-0000-10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IGNACIO TORTORELLA
TOBIAS LUCERO
RAMIRO OCCHIUZZI
PABLO FERREIRA</t>
      </text>
    </comment>
    <comment ref="K19" authorId="3" shapeId="0" xr:uid="{00000000-0006-0000-10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17-8-24 vs. Del Sur jugado en Del Sur</t>
      </text>
    </comment>
    <comment ref="I76" authorId="4" shapeId="0" xr:uid="{00000000-0006-0000-1000-000005000000}">
      <text>
        <r>
          <rPr>
            <b/>
            <sz val="9"/>
            <color indexed="81"/>
            <rFont val="Tahoma"/>
            <family val="2"/>
          </rPr>
          <t>Juan Carlos Lista:</t>
        </r>
        <r>
          <rPr>
            <sz val="9"/>
            <color indexed="81"/>
            <rFont val="Tahoma"/>
            <family val="2"/>
          </rPr>
          <t xml:space="preserve">
CON VILO JUGADO EN VILO POR SANCION
</t>
        </r>
      </text>
    </comment>
    <comment ref="O77" authorId="4" shapeId="0" xr:uid="{00000000-0006-0000-1000-000006000000}">
      <text>
        <r>
          <rPr>
            <b/>
            <sz val="9"/>
            <color indexed="81"/>
            <rFont val="Tahoma"/>
            <family val="2"/>
          </rPr>
          <t>Juan Carlos Lista:</t>
        </r>
        <r>
          <rPr>
            <sz val="9"/>
            <color indexed="81"/>
            <rFont val="Tahoma"/>
            <family val="2"/>
          </rPr>
          <t xml:space="preserve">
REEMPLAZO A ACHAVAL (designado) EN AT.Y PROGRESO
</t>
        </r>
      </text>
    </comment>
    <comment ref="U120" authorId="5" shapeId="0" xr:uid="{00000000-0006-0000-1000-00000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AGUSTIN DOMINGUEZ (2)</t>
      </text>
    </comment>
    <comment ref="U121" authorId="6" shapeId="0" xr:uid="{00000000-0006-0000-1000-00000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TOBIAS LUCERO</t>
      </text>
    </comment>
    <comment ref="U123" authorId="7" shapeId="0" xr:uid="{00000000-0006-0000-1000-00000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IGNACIO TORTORELLA
TOBIAS LUCERO
RAMIRO OCCHIUZZI
PABLO FERREIRA</t>
      </text>
    </comment>
    <comment ref="I179" authorId="4" shapeId="0" xr:uid="{00000000-0006-0000-1000-00000A000000}">
      <text>
        <r>
          <rPr>
            <b/>
            <sz val="9"/>
            <color indexed="81"/>
            <rFont val="Tahoma"/>
            <family val="2"/>
          </rPr>
          <t>Juan Carlos Lista:</t>
        </r>
        <r>
          <rPr>
            <sz val="9"/>
            <color indexed="81"/>
            <rFont val="Tahoma"/>
            <family val="2"/>
          </rPr>
          <t xml:space="preserve">
CON VILO JUGADO EN VILO POR SANCION
</t>
        </r>
      </text>
    </comment>
  </commentList>
</comments>
</file>

<file path=xl/sharedStrings.xml><?xml version="1.0" encoding="utf-8"?>
<sst xmlns="http://schemas.openxmlformats.org/spreadsheetml/2006/main" count="15241" uniqueCount="1568">
  <si>
    <t>SAN JOSE</t>
  </si>
  <si>
    <t>VICENTINOS</t>
  </si>
  <si>
    <t>CLIMA</t>
  </si>
  <si>
    <t>CAMPO DE JUEGO</t>
  </si>
  <si>
    <t>CANCHA</t>
  </si>
  <si>
    <t>FORMACION</t>
  </si>
  <si>
    <t>RODRIGO GOMEZ</t>
  </si>
  <si>
    <t>MATIAS BOCO</t>
  </si>
  <si>
    <t>PABLO FERREIRA ©</t>
  </si>
  <si>
    <t>MARTIN APOLO</t>
  </si>
  <si>
    <t>OCTAVIO TALLARICO</t>
  </si>
  <si>
    <t>EZEQUIEL BALESTRA</t>
  </si>
  <si>
    <t>NICOLAS ALTAMIRANO</t>
  </si>
  <si>
    <t>AGUSTIN DOMINGUEZ</t>
  </si>
  <si>
    <t>MARIANO CETTOUR</t>
  </si>
  <si>
    <t>NICOLAS MARZIALI</t>
  </si>
  <si>
    <t>MANUEL ALTAMIRANO</t>
  </si>
  <si>
    <t>SANTIAGO DOMINGUEZ</t>
  </si>
  <si>
    <t>MARIANO LIVACHOFF</t>
  </si>
  <si>
    <t>AGUSTIN MARZIALI</t>
  </si>
  <si>
    <t>GUIDO LIVACHOFF</t>
  </si>
  <si>
    <t>TRIES</t>
  </si>
  <si>
    <t>PENALES</t>
  </si>
  <si>
    <t>AMARILLAS</t>
  </si>
  <si>
    <t>DROPS</t>
  </si>
  <si>
    <t>PUNTOS</t>
  </si>
  <si>
    <t>CONV.</t>
  </si>
  <si>
    <t>RESULTADO FINAL</t>
  </si>
  <si>
    <t>LOS MATREROS</t>
  </si>
  <si>
    <t>REFEREE:</t>
  </si>
  <si>
    <t>PORTEÑO</t>
  </si>
  <si>
    <t>JUAN JOSE MONEA</t>
  </si>
  <si>
    <t>SANTIAGO DIAZ</t>
  </si>
  <si>
    <t>IGNACIO TORTORELLA</t>
  </si>
  <si>
    <t>JOSE GRUBER</t>
  </si>
  <si>
    <t>PABLO FERREIRA</t>
  </si>
  <si>
    <t>ZARATE</t>
  </si>
  <si>
    <t>CHASCOMUS</t>
  </si>
  <si>
    <t>BARADERO</t>
  </si>
  <si>
    <t>BEROMAMA</t>
  </si>
  <si>
    <t>MERCEDES</t>
  </si>
  <si>
    <t>SAN PEDRO</t>
  </si>
  <si>
    <t>MAXIMILIANO SOLIVELLAS</t>
  </si>
  <si>
    <t>TARJETAS AMARILLAS</t>
  </si>
  <si>
    <t>TOTAL</t>
  </si>
  <si>
    <t>EZEIZA</t>
  </si>
  <si>
    <t>NICOLAS CUPO</t>
  </si>
  <si>
    <t>RETIRO</t>
  </si>
  <si>
    <t>GLEW</t>
  </si>
  <si>
    <t>ARECO</t>
  </si>
  <si>
    <t>FLORESTA</t>
  </si>
  <si>
    <t>CLUB ITALIANO</t>
  </si>
  <si>
    <t>LUCIANO JAR</t>
  </si>
  <si>
    <t>MATIAS TRAYNOR</t>
  </si>
  <si>
    <t>BERAZATEGUI</t>
  </si>
  <si>
    <t>LOS PINOS</t>
  </si>
  <si>
    <t>TRY PENAL</t>
  </si>
  <si>
    <t>OBRAS SANITARIAS</t>
  </si>
  <si>
    <t>LUJAN</t>
  </si>
  <si>
    <t>TRY SCRUM</t>
  </si>
  <si>
    <t>VICENTE LOPEZ</t>
  </si>
  <si>
    <t>SAN FERNANDO</t>
  </si>
  <si>
    <t>MONTE GRANDE</t>
  </si>
  <si>
    <t>VARELA</t>
  </si>
  <si>
    <t>LA SALLE</t>
  </si>
  <si>
    <t>TIGRE</t>
  </si>
  <si>
    <t>LAS CAÑAS</t>
  </si>
  <si>
    <t>LOS CEDROS</t>
  </si>
  <si>
    <t>VIRREYES</t>
  </si>
  <si>
    <t>SAN MARCOS</t>
  </si>
  <si>
    <t>CAMPANA</t>
  </si>
  <si>
    <t>SAN MIGUEL</t>
  </si>
  <si>
    <t>BERISSO</t>
  </si>
  <si>
    <t>ALBATROS</t>
  </si>
  <si>
    <t>CENTRO NAVAL</t>
  </si>
  <si>
    <t>ANDRES BIRELLO</t>
  </si>
  <si>
    <t>ST BRENDANS</t>
  </si>
  <si>
    <t>ALMAFUERTE</t>
  </si>
  <si>
    <t>SAPA</t>
  </si>
  <si>
    <t>A</t>
  </si>
  <si>
    <t>B</t>
  </si>
  <si>
    <t>NACIONAL</t>
  </si>
  <si>
    <t>GRUPO 1</t>
  </si>
  <si>
    <t>GRUPO 2</t>
  </si>
  <si>
    <t>GRUPO 3</t>
  </si>
  <si>
    <t>GRUPO 4</t>
  </si>
  <si>
    <t>SAN LUIS</t>
  </si>
  <si>
    <t>REGATAS BV</t>
  </si>
  <si>
    <t>LOMAS</t>
  </si>
  <si>
    <t>PUEYRREDON</t>
  </si>
  <si>
    <t>SAN ANDRES</t>
  </si>
  <si>
    <t>DON BOSCO</t>
  </si>
  <si>
    <t>DAOM</t>
  </si>
  <si>
    <t>GEI</t>
  </si>
  <si>
    <t>BANCO HIPOTECARIO</t>
  </si>
  <si>
    <t>CUQ</t>
  </si>
  <si>
    <t>CHAMPAGNAT</t>
  </si>
  <si>
    <t>CIUDAD DE BS AS</t>
  </si>
  <si>
    <t>LAS HERAS</t>
  </si>
  <si>
    <t>CLASIFICADOS</t>
  </si>
  <si>
    <t>POR CLASIFICAR</t>
  </si>
  <si>
    <t>ATLETICO SAN ANDRES</t>
  </si>
  <si>
    <t>LANUS</t>
  </si>
  <si>
    <t>SITAS</t>
  </si>
  <si>
    <t>CASA DE PADUA</t>
  </si>
  <si>
    <t>PUCARA</t>
  </si>
  <si>
    <t>MARIANO MORENO</t>
  </si>
  <si>
    <t>CIUDAD DE BS.AS.</t>
  </si>
  <si>
    <t>SIC</t>
  </si>
  <si>
    <t>ALUMNI</t>
  </si>
  <si>
    <t>NEWMAN</t>
  </si>
  <si>
    <t>BELGRANO</t>
  </si>
  <si>
    <t>BUENOS AIRES</t>
  </si>
  <si>
    <t>SAN MARTIN</t>
  </si>
  <si>
    <t>LICEO NAVAL</t>
  </si>
  <si>
    <t>HURLING</t>
  </si>
  <si>
    <t>U.DE LA PLATA</t>
  </si>
  <si>
    <t>SAN CIRANO</t>
  </si>
  <si>
    <t>LICEO MILITAR</t>
  </si>
  <si>
    <t>LOS TILOS</t>
  </si>
  <si>
    <t>SAN ALBANO</t>
  </si>
  <si>
    <t>BANCO NACION</t>
  </si>
  <si>
    <t>OLIVOS</t>
  </si>
  <si>
    <t>GEBA</t>
  </si>
  <si>
    <t>DEPORTIVA FRANCESA</t>
  </si>
  <si>
    <t>MANUEL BELGRANO</t>
  </si>
  <si>
    <t>DELTA</t>
  </si>
  <si>
    <t>SAN PATRICIO</t>
  </si>
  <si>
    <t>SAN CARLOS</t>
  </si>
  <si>
    <t>HEBRAICA</t>
  </si>
  <si>
    <t>ARGENTINO</t>
  </si>
  <si>
    <t>U DE LA PLATA</t>
  </si>
  <si>
    <t>CURUPAYTI</t>
  </si>
  <si>
    <t>LA PLATA</t>
  </si>
  <si>
    <t>CASI</t>
  </si>
  <si>
    <t>ATLETICO DEL ROSARIO</t>
  </si>
  <si>
    <t>HINDU</t>
  </si>
  <si>
    <t>CUBA</t>
  </si>
  <si>
    <t>AT.Y PROGRESO</t>
  </si>
  <si>
    <t>IVAN IBAÑEZ</t>
  </si>
  <si>
    <t>FEDERICO PITTALA</t>
  </si>
  <si>
    <t>PATRICIO TRAYNOR</t>
  </si>
  <si>
    <t>IGNACIO TORRES CIUTAT</t>
  </si>
  <si>
    <t>FRANCO CORSI</t>
  </si>
  <si>
    <t>GONZALO GREGORIO</t>
  </si>
  <si>
    <t>NICOLAS DOMINGUEZ</t>
  </si>
  <si>
    <t>MATIAS AGUERRONDO</t>
  </si>
  <si>
    <t>JORGE SEIB</t>
  </si>
  <si>
    <t>JUAN I GONZALEZ</t>
  </si>
  <si>
    <t>JUAN P.OCCHIUZZI</t>
  </si>
  <si>
    <t>LISTADO HISTORICO DE PRESENCIAS EN EL 1er EQUIPO DE VICENTINOS (solo cuenta ingreso como titular)</t>
  </si>
  <si>
    <t>JUGADOR</t>
  </si>
  <si>
    <t>PARTIDOS</t>
  </si>
  <si>
    <t>PARTIDOS DISPUTADOS</t>
  </si>
  <si>
    <t>JUAN P OCCHIUZZI</t>
  </si>
  <si>
    <t>EZEQUIEL VAZQUEZ</t>
  </si>
  <si>
    <t>TOMAS MURACA</t>
  </si>
  <si>
    <t>GONZALO MARTINEZ</t>
  </si>
  <si>
    <t>ENSENADA</t>
  </si>
  <si>
    <t>AT,SAN ANDRES</t>
  </si>
  <si>
    <t>HUGO PEDEMONTE</t>
  </si>
  <si>
    <t>ST,BRENDANS</t>
  </si>
  <si>
    <t>JUGADORES QUE PARTICIPARON EN 2015</t>
  </si>
  <si>
    <t>CRISTIAN PAREDES</t>
  </si>
  <si>
    <t>RODRIGO RIOS</t>
  </si>
  <si>
    <t>JUAN GONZALEZ</t>
  </si>
  <si>
    <t>MARIANO GONZALEZ</t>
  </si>
  <si>
    <t>ALEJO VELAZQUEZ</t>
  </si>
  <si>
    <t>JUAN GARGANO</t>
  </si>
  <si>
    <t>JUAN CANTEROS</t>
  </si>
  <si>
    <t>ITALIANO</t>
  </si>
  <si>
    <t>R2 AL 30-4</t>
  </si>
  <si>
    <t>R1 AL 30-4</t>
  </si>
  <si>
    <t>DEPORTIVA</t>
  </si>
  <si>
    <t>U LA PLATA</t>
  </si>
  <si>
    <t>CIUDAD</t>
  </si>
  <si>
    <t>MORENO</t>
  </si>
  <si>
    <t xml:space="preserve">REGATAS </t>
  </si>
  <si>
    <t>TOP 14 AL 30-4</t>
  </si>
  <si>
    <t>AT ROSARIO</t>
  </si>
  <si>
    <t xml:space="preserve">CASI </t>
  </si>
  <si>
    <t>EZEQUIEL ARIAS</t>
  </si>
  <si>
    <t>JORGE BENITEZ</t>
  </si>
  <si>
    <t>CHRISTIAN MONZON</t>
  </si>
  <si>
    <t>OLD GEORGIAN</t>
  </si>
  <si>
    <t>CAR</t>
  </si>
  <si>
    <t xml:space="preserve">MARCOS PAZ </t>
  </si>
  <si>
    <t>ST.BRENDANS</t>
  </si>
  <si>
    <t>AT,Y PROGRESO</t>
  </si>
  <si>
    <t>FRANCO POPICA</t>
  </si>
  <si>
    <t>TOMAS DOMINGUEZ</t>
  </si>
  <si>
    <t>J</t>
  </si>
  <si>
    <t>G</t>
  </si>
  <si>
    <t>E</t>
  </si>
  <si>
    <t>P</t>
  </si>
  <si>
    <t>TOTALES</t>
  </si>
  <si>
    <t>LOCAL</t>
  </si>
  <si>
    <t>VISITANTE</t>
  </si>
  <si>
    <t>EQUIPO</t>
  </si>
  <si>
    <t>DEFENSORES DE GLEW</t>
  </si>
  <si>
    <t>TIRO FEDERAL SAN PEDRO</t>
  </si>
  <si>
    <t>TIRO FEDERAL BARADERO</t>
  </si>
  <si>
    <t>EL RETIRO</t>
  </si>
  <si>
    <t>AT.SAN ANDRES</t>
  </si>
  <si>
    <t>ATLETICO Y PROGRESO</t>
  </si>
  <si>
    <t>(cancha 1)</t>
  </si>
  <si>
    <t>SEBASTIAN GAUNA</t>
  </si>
  <si>
    <t>FRANCISCO COMABELLA</t>
  </si>
  <si>
    <t>JUAN MATIAS TRAYNOR</t>
  </si>
  <si>
    <t>MARCOS PAZ</t>
  </si>
  <si>
    <t>PAC GRAL RODRIGUEZ</t>
  </si>
  <si>
    <t>RODRIGO ESMAYEL</t>
  </si>
  <si>
    <t>EMILIANO MANRIQUEZ</t>
  </si>
  <si>
    <t>LALANNE</t>
  </si>
  <si>
    <t>FRANCISCO OCCHIUZZI</t>
  </si>
  <si>
    <t>RUIBAL</t>
  </si>
  <si>
    <t>VILLALOBOS</t>
  </si>
  <si>
    <t>AGUSTIN TRAYNOR</t>
  </si>
  <si>
    <t>AUGUSTO GALLOTTI</t>
  </si>
  <si>
    <t>CORTES</t>
  </si>
  <si>
    <t>IVAN CARMONA</t>
  </si>
  <si>
    <t>NICOLAS COMPANYS</t>
  </si>
  <si>
    <t>FEDERICO FERRARI</t>
  </si>
  <si>
    <t>JUAN PABLO BIANCHI</t>
  </si>
  <si>
    <t>RIVADAVIA LOBOS</t>
  </si>
  <si>
    <t>MUNIC.BERAZATEGUI</t>
  </si>
  <si>
    <t>PIGRETTI</t>
  </si>
  <si>
    <t>MATIAS ALTAMIRANO</t>
  </si>
  <si>
    <t>FERNANDEZ SALCEDO</t>
  </si>
  <si>
    <t>DEL SUR</t>
  </si>
  <si>
    <t>TOBIAS LUCERO</t>
  </si>
  <si>
    <t>FRANCO CICHERO</t>
  </si>
  <si>
    <t>FRANCISCO</t>
  </si>
  <si>
    <t>FRANCO RODRIGUEZ</t>
  </si>
  <si>
    <t>RAMIRO OCCHIUZZI</t>
  </si>
  <si>
    <t>BOUDON</t>
  </si>
  <si>
    <t>SANTIAGO TRAYNOR</t>
  </si>
  <si>
    <t>PARTIDOS QUE NO VI</t>
  </si>
  <si>
    <t>VILO</t>
  </si>
  <si>
    <t>En Ushuaia</t>
  </si>
  <si>
    <t>La Salle</t>
  </si>
  <si>
    <t>En URBA</t>
  </si>
  <si>
    <t>Liceo Militar</t>
  </si>
  <si>
    <t>En Madryn</t>
  </si>
  <si>
    <t>San Andres</t>
  </si>
  <si>
    <t>PENOVI</t>
  </si>
  <si>
    <t>KURILOWICZ</t>
  </si>
  <si>
    <t>MAURO CHIRINO</t>
  </si>
  <si>
    <t>ESTEVEZ</t>
  </si>
  <si>
    <t>ACHAVAL</t>
  </si>
  <si>
    <t>ROMERO DE HAZ</t>
  </si>
  <si>
    <t>MUNCAL</t>
  </si>
  <si>
    <t>PORTILLO</t>
  </si>
  <si>
    <t>At. Y Progreso</t>
  </si>
  <si>
    <t>Brasil</t>
  </si>
  <si>
    <t>BARCIOCCO</t>
  </si>
  <si>
    <t>ALEJO BUSTAMANTE</t>
  </si>
  <si>
    <t>PORCU</t>
  </si>
  <si>
    <t>Partidos que no vi</t>
  </si>
  <si>
    <t>SAN ANDRES (2do tiempo)</t>
  </si>
  <si>
    <t>AYP</t>
  </si>
  <si>
    <t>PADUA</t>
  </si>
  <si>
    <t>IGARZABAL</t>
  </si>
  <si>
    <t>BELTRAMINO</t>
  </si>
  <si>
    <t>LOS MOLINOS</t>
  </si>
  <si>
    <t>U.DELA PLATA</t>
  </si>
  <si>
    <t>PAC.GRAL RODRIGUEZ</t>
  </si>
  <si>
    <t>MUNIC BERAZATEGUI</t>
  </si>
  <si>
    <t xml:space="preserve"> </t>
  </si>
  <si>
    <t>REFEREE</t>
  </si>
  <si>
    <t>CHIARLO</t>
  </si>
  <si>
    <t>EUSEBIO (h)</t>
  </si>
  <si>
    <t>GALAN</t>
  </si>
  <si>
    <t>SALA</t>
  </si>
  <si>
    <t>RUFFINI</t>
  </si>
  <si>
    <t>ALBERRO</t>
  </si>
  <si>
    <t>OPPENHEIMER</t>
  </si>
  <si>
    <t>PARDINI</t>
  </si>
  <si>
    <t>BARBERO</t>
  </si>
  <si>
    <t>NAVARRO</t>
  </si>
  <si>
    <t>FRANK</t>
  </si>
  <si>
    <t>JAPAS</t>
  </si>
  <si>
    <t>WINGER</t>
  </si>
  <si>
    <t>FRANZANTE</t>
  </si>
  <si>
    <t>GIMENEZ NATALE</t>
  </si>
  <si>
    <t>GHINSON</t>
  </si>
  <si>
    <t>REINOSO F.</t>
  </si>
  <si>
    <t>BASILIO</t>
  </si>
  <si>
    <t>CAVALLIN</t>
  </si>
  <si>
    <t>GERAGHTY</t>
  </si>
  <si>
    <t>MASSERA</t>
  </si>
  <si>
    <t>CRUZ MANGANIELLO</t>
  </si>
  <si>
    <t>DEISEL</t>
  </si>
  <si>
    <t>BORUCHOWITZ</t>
  </si>
  <si>
    <t>PAREDES</t>
  </si>
  <si>
    <t>CORNEJO</t>
  </si>
  <si>
    <t>BUSTOS</t>
  </si>
  <si>
    <t>ITURRALDE</t>
  </si>
  <si>
    <t>PERES</t>
  </si>
  <si>
    <t>BAECK</t>
  </si>
  <si>
    <t>MONTOVIA</t>
  </si>
  <si>
    <t>LENTINI</t>
  </si>
  <si>
    <t>NUÑEZ</t>
  </si>
  <si>
    <t>MARCHETTO</t>
  </si>
  <si>
    <t>EUSEBIO (p)</t>
  </si>
  <si>
    <t>HUBER</t>
  </si>
  <si>
    <t>IPARRAGUIRRE</t>
  </si>
  <si>
    <t>COLLADO</t>
  </si>
  <si>
    <t>CICARELLI</t>
  </si>
  <si>
    <t>ALVAREZ</t>
  </si>
  <si>
    <t>CAPANO PEREZ</t>
  </si>
  <si>
    <t>GUILLEN</t>
  </si>
  <si>
    <t>BIANCO</t>
  </si>
  <si>
    <t>TRIAS</t>
  </si>
  <si>
    <t>BERTAZZA</t>
  </si>
  <si>
    <t>TERRERA</t>
  </si>
  <si>
    <t>CONTI</t>
  </si>
  <si>
    <t>PIOTROWSKY</t>
  </si>
  <si>
    <t>COVASSI</t>
  </si>
  <si>
    <t>RIZZO</t>
  </si>
  <si>
    <t>CORDOBA</t>
  </si>
  <si>
    <t>DEGREEF</t>
  </si>
  <si>
    <t>LARRUBIA</t>
  </si>
  <si>
    <t>REINOSO L.</t>
  </si>
  <si>
    <t>HOUGHTON</t>
  </si>
  <si>
    <t xml:space="preserve">CAMBIOS: </t>
  </si>
  <si>
    <t>BUENO</t>
  </si>
  <si>
    <t>RODRIGO GÓMEZ</t>
  </si>
  <si>
    <t>PABLO FERREIRA POR EZEQUIEL BALESTRA</t>
  </si>
  <si>
    <t>NICOLAS MARZIALI POR FRANCO CICHERO</t>
  </si>
  <si>
    <t>FEDERICO PITTALA POR SANTIAGO TRAYNOR</t>
  </si>
  <si>
    <t>EZEQUIEL ARIAS POR RODRIGO GOMEZ</t>
  </si>
  <si>
    <t>FRANCISCO OCCHIUZZI POR MAURO CHIRINO</t>
  </si>
  <si>
    <t>AUGUSTO GALLOTTI POR OCTAVIO TALLARICO</t>
  </si>
  <si>
    <t>MARIANO LIVACHOFF POR TOBIAS LUCERO</t>
  </si>
  <si>
    <t>3</t>
  </si>
  <si>
    <t>1</t>
  </si>
  <si>
    <t>CONVERSIONES</t>
  </si>
  <si>
    <t>4</t>
  </si>
  <si>
    <t>NO HUBO</t>
  </si>
  <si>
    <t>SIN ACTIVIDAD POR PANDEMIA</t>
  </si>
  <si>
    <t>Monte Grande</t>
  </si>
  <si>
    <t>En Campana (debut Joako)</t>
  </si>
  <si>
    <t>2do tiempo (ascenso hockey)</t>
  </si>
  <si>
    <t>REGULAR</t>
  </si>
  <si>
    <t>GONZALEZ P.</t>
  </si>
  <si>
    <t>RODRIGO GOMEZ POR EZEQUIEL BALESTRA</t>
  </si>
  <si>
    <t>MARIANO LIVACHOFF POR FRANCO CICHERO</t>
  </si>
  <si>
    <t>FEDERICO PITTALA POR IGNACIO TORRES CIUTAT</t>
  </si>
  <si>
    <t>FRANCISCO OCCHIUZZI POR GONZALO GREGORIO</t>
  </si>
  <si>
    <t>AGUSTIN TRAYNOR POR MARIANO CETTOUR</t>
  </si>
  <si>
    <t>5</t>
  </si>
  <si>
    <t>2</t>
  </si>
  <si>
    <t>GONZALEZ P. (reemplazó a Romero de Haz)</t>
  </si>
  <si>
    <t>MUY BUENO</t>
  </si>
  <si>
    <t>BENVENUTI</t>
  </si>
  <si>
    <t>FERNANDO POCIELLO ARGERICH POR OCTAVIO TALLARICO</t>
  </si>
  <si>
    <t>HUGO PEDEMONTE POR MATIAS TRAYNOR</t>
  </si>
  <si>
    <t>FEDERICO MARTINEZ POR RODRIGO GOMEZ</t>
  </si>
  <si>
    <t>MATIAS HERNANDO POR RAMIRO OCCHIUZZI</t>
  </si>
  <si>
    <t>MATIAS AGUERRONDO POR IGNACIO TORTORELLA</t>
  </si>
  <si>
    <t>MARIANO CETTOUR ©</t>
  </si>
  <si>
    <t>BUENO, VENTOSO</t>
  </si>
  <si>
    <t>RODRIGO GOMEZ POR HUGO PEDEMONTE</t>
  </si>
  <si>
    <t>IGNACIO TORRES CIUTAT POR MAURO CHIRINO</t>
  </si>
  <si>
    <t>FRANCO CICHERO POR IGNACIO TORTORELLA</t>
  </si>
  <si>
    <t>MATIAS AGUERRONDO POR OCTAVIO TALLARICO</t>
  </si>
  <si>
    <t>IGNACIO TORTORELLA POR RODRIGO ESMAYEL</t>
  </si>
  <si>
    <t>FEDERICO MARTINEZ POR PABLO FERREIRA</t>
  </si>
  <si>
    <t>MAURO CHIRINO POR SANTIAGO TRAYNOR</t>
  </si>
  <si>
    <t>EZEQUIEL ARIAS POR EZEQUIEL BALESTRA</t>
  </si>
  <si>
    <t>DAMARIO</t>
  </si>
  <si>
    <t>RODRIGO ESMAYEL POR FRANCO CICHERO</t>
  </si>
  <si>
    <t>OCTAVIO TALLARICO POR MATIAS AGUERRONDO</t>
  </si>
  <si>
    <t>EZEQUIEL BALESTRA POR HUGO PEDEMONTE</t>
  </si>
  <si>
    <t>SANTILLAN</t>
  </si>
  <si>
    <t>MATIAS AGUERRONDO POR TOBIAS LUCERO</t>
  </si>
  <si>
    <t>JUAN IGNACIO VAZQUEZ POR FRANCISCO COMABELLA</t>
  </si>
  <si>
    <t>MAURO CHIRINO POR FRANCISCO OCCHIUZZI</t>
  </si>
  <si>
    <t>FEDERICO PITTALA POR RAMIRO OCCHIUZZI</t>
  </si>
  <si>
    <t>JUAN IGNACIO VAZQUEZ</t>
  </si>
  <si>
    <t>9</t>
  </si>
  <si>
    <t>INGRESOS COMO SUPLENTE</t>
  </si>
  <si>
    <t>FECHA: 05/04/2014</t>
  </si>
  <si>
    <t>LLUVIOSO</t>
  </si>
  <si>
    <t>BARROSO</t>
  </si>
  <si>
    <t>CAMBIOS: IGNACIO TORTORELLA POR NICOLAS ALTAMIRANO</t>
  </si>
  <si>
    <t xml:space="preserve">                 MAXIMILIANO SOLIVELLAS POR SANTIAGO DOMINGUEZ  </t>
  </si>
  <si>
    <t>FECHA: 12/04/2014</t>
  </si>
  <si>
    <t>AT.CHASCOMUS</t>
  </si>
  <si>
    <t>Cancha 3</t>
  </si>
  <si>
    <t>MUY VENTOSO</t>
  </si>
  <si>
    <t>CAMBIOS: IGNACIO TORTORELLA POR OCTAVIO TALLARICO</t>
  </si>
  <si>
    <t xml:space="preserve">                 MAXIMILIANO SOLIVELLAS POR MARIANO CETTOUR</t>
  </si>
  <si>
    <t>FECHA: 26/04/2014</t>
  </si>
  <si>
    <t>CAMBIOS: MATIAS BOCO POR JUAN JOSE MONEA</t>
  </si>
  <si>
    <t xml:space="preserve">                 MARTIN APOLO POR SANTIAGO DIAZ</t>
  </si>
  <si>
    <t xml:space="preserve">                 MAXIMILIANO SOLIVELLAS POR AGUSTIN MARZIALI</t>
  </si>
  <si>
    <t xml:space="preserve">                 MATIAS HERNANDO POR AGUSTIN DOMINGUEZ</t>
  </si>
  <si>
    <t xml:space="preserve">                 NICOLAS DOMINGUEZ POR SANTIAGO DOMINGUEZ</t>
  </si>
  <si>
    <t>6</t>
  </si>
  <si>
    <t>TARJETAS</t>
  </si>
  <si>
    <t>FECHA: 3/05/2014</t>
  </si>
  <si>
    <t>TF BARADERO</t>
  </si>
  <si>
    <t>NUBLADO</t>
  </si>
  <si>
    <t>CAMBIOS: JORGE SEIB POR JUAN JOSE MONEA</t>
  </si>
  <si>
    <t xml:space="preserve">                 SANTIAGO DIAZ POR EZEQUIEL BALESTRA</t>
  </si>
  <si>
    <t>FECHA: 10/05/2014</t>
  </si>
  <si>
    <t>CAMBIOS: JUAN JOSE MONEA POR PABLO FERREIRA</t>
  </si>
  <si>
    <t xml:space="preserve">                 MATIAS HERNANDO POR IGNACIO TORTORELLA</t>
  </si>
  <si>
    <t xml:space="preserve">                 LUCIANO JAR POR MAXIMILIANO SOLIVELLAS</t>
  </si>
  <si>
    <t xml:space="preserve">                 MATIAS TRAYNOR POR RODRIGO GOMEZ</t>
  </si>
  <si>
    <t>10</t>
  </si>
  <si>
    <t>FECHA: 17/05/2014</t>
  </si>
  <si>
    <t>DEF.DE GLEW</t>
  </si>
  <si>
    <t>(cancha 2 )</t>
  </si>
  <si>
    <t>CAMBIOS: MATIAS TRAYNOR POR JUAN JOSE MONEA</t>
  </si>
  <si>
    <t xml:space="preserve">                 SANTIAGO DIAZ POR MARTIN APOLO</t>
  </si>
  <si>
    <t>7</t>
  </si>
  <si>
    <t>FECHA: 31/05/2014</t>
  </si>
  <si>
    <t>CAMBIOS: RODRIGO GOMEZ POR JUAN JOSE MONEA</t>
  </si>
  <si>
    <t xml:space="preserve">                 LUCIANO JAR POR NICOLAS CUPO</t>
  </si>
  <si>
    <t xml:space="preserve">                 SANTIAGO DIAZ POR NICOLAS ALTAMIRANO</t>
  </si>
  <si>
    <t xml:space="preserve">                 MATIAS TRAYNOR POR MATIAS BOCO</t>
  </si>
  <si>
    <t xml:space="preserve">                 WALTER PRETZ POR EZEQUIEL BALESTRA</t>
  </si>
  <si>
    <t xml:space="preserve">                 GONZALO MARTINEZ POR NICOLAS MARZIALI</t>
  </si>
  <si>
    <t>FECHA: 8/06/2014</t>
  </si>
  <si>
    <t>(cancha 3 )</t>
  </si>
  <si>
    <t>CAMBIOS: SANTIAGO DIAZ POR IGNACIO TORTORELLA</t>
  </si>
  <si>
    <t xml:space="preserve">                 NICOLAS DOMINGUEZ POR MARIANO LIVACHOFF</t>
  </si>
  <si>
    <t xml:space="preserve">                 WALTER PRETZ POR MARTIN APOLO</t>
  </si>
  <si>
    <t xml:space="preserve">                 NICOLAS CUPO POR LUCIANO JAR</t>
  </si>
  <si>
    <t xml:space="preserve">                 JORGE SEIB POR RODRIGO GOMEZ</t>
  </si>
  <si>
    <t xml:space="preserve">                 GONZALO MARTINEZ POR MARIANO CETTOUR</t>
  </si>
  <si>
    <t>FECHA: 15/06/2014</t>
  </si>
  <si>
    <t>CAMBIOS: SANTIAGO DIAZ POR EZEQUIEL BALESTRA</t>
  </si>
  <si>
    <t xml:space="preserve">                 GONZALO MARTINEZ POR MARIANO LIVACHOFF</t>
  </si>
  <si>
    <t>FECHA: 20/06/2014</t>
  </si>
  <si>
    <t>CAMBIOS: LUCIANO JAR POR SANTIAGO DOMINGUEZ</t>
  </si>
  <si>
    <t xml:space="preserve">                 JUAN JOSE MONEA POR RODRIGO GOMEZ</t>
  </si>
  <si>
    <t xml:space="preserve">                 SANTIAGO DIAZ POR PABLO FERREIRA</t>
  </si>
  <si>
    <t xml:space="preserve">                 WALTER PRETZ POR IGNACIO TORTORELLA</t>
  </si>
  <si>
    <t xml:space="preserve">                 JORGE SEIB POR JUAN JOSE MONEA</t>
  </si>
  <si>
    <t>REUBICACION GRUPO III</t>
  </si>
  <si>
    <t>FECHA: 12/07/2014</t>
  </si>
  <si>
    <t>BUENO CON MUCHA AGUA</t>
  </si>
  <si>
    <t>CAMBIOS: MATIAS TRAYNOR POR LUCIANO JAR (Temporario por amarilla)</t>
  </si>
  <si>
    <t>FECHA: 19/07/2014</t>
  </si>
  <si>
    <t>CAMBIOS: MAURO CHIRINO POR MAXIMILIANO SOLIVELLAS</t>
  </si>
  <si>
    <t xml:space="preserve">                 GUIDO LIVACHOFF POR LUCIANO JAR</t>
  </si>
  <si>
    <t>FECHA: 26/07/2014</t>
  </si>
  <si>
    <t>BUENO - FRIO</t>
  </si>
  <si>
    <t>CAMBIOS: MAURO CHIRINO POR NICOLAS MARZIALI</t>
  </si>
  <si>
    <t>FECHA: 02/08/2014</t>
  </si>
  <si>
    <t>TIRO FEDERAL S.P.</t>
  </si>
  <si>
    <t>CAMBIOS: MAURO CHIRINO POR GUIDO LIVACHOFF</t>
  </si>
  <si>
    <t xml:space="preserve">                 OCTAVIO TALLARICO POR EZEQUIEL BALESTRA</t>
  </si>
  <si>
    <t>SCRUM</t>
  </si>
  <si>
    <t>PENAL</t>
  </si>
  <si>
    <t>FECHA: 09/08/2014</t>
  </si>
  <si>
    <t>CAMBIOS: SANTIAGO DIAZ POR NICOLAS ALTAMIRANO</t>
  </si>
  <si>
    <t xml:space="preserve">                 ANDRES BIRELLO POR SANTIAGO DIAZ</t>
  </si>
  <si>
    <t>FECHA: 16/08/2014</t>
  </si>
  <si>
    <t>CAMBIOS: NO HUBO</t>
  </si>
  <si>
    <t>FECHA: 30/08/2014</t>
  </si>
  <si>
    <t>CAMBIOS: MATIAS TRAYNOR POR MATIAS BOCO</t>
  </si>
  <si>
    <t xml:space="preserve">                 ANDRES BIRELLO POR AGUSTIN DOMINGUEZ</t>
  </si>
  <si>
    <t>FECHA: 6/09/2014</t>
  </si>
  <si>
    <t>BUENO - VENTOSO</t>
  </si>
  <si>
    <t xml:space="preserve">                 ANDRES BIRELLO POR EZEQUIEL BALESTRA</t>
  </si>
  <si>
    <t>FECHA: 13/09/2014</t>
  </si>
  <si>
    <t>REINOSO</t>
  </si>
  <si>
    <t xml:space="preserve">                 ANDRES BIRELLO POR NICOLAS ALTAMIRANO</t>
  </si>
  <si>
    <t xml:space="preserve">                 SANTIAGO DIAZ POR AGUSTIN DOMINGUEZ</t>
  </si>
  <si>
    <t xml:space="preserve">                 LUCAS MORON POR RODRIGO GOMEZ</t>
  </si>
  <si>
    <t xml:space="preserve">                 MATIAS ALTAMIRANO POR GUIDO LIVACHOFF</t>
  </si>
  <si>
    <t xml:space="preserve">                 MAURO CHIRINO POR MAXIMILIANO SOLIVELLAS</t>
  </si>
  <si>
    <t xml:space="preserve">                 GONZALO MARTINEZ POR AGUSTIN MARZIALI</t>
  </si>
  <si>
    <t>FECHA: 20/09/2014</t>
  </si>
  <si>
    <t xml:space="preserve">                 JUAN JOSE MONEA POR PABLO FERREIRA</t>
  </si>
  <si>
    <t>FECHA: 4/10/2014</t>
  </si>
  <si>
    <t>INESTABLE</t>
  </si>
  <si>
    <t xml:space="preserve">                 EZEQUIEL BALESTRA POR OCTAVIO TALLARICO</t>
  </si>
  <si>
    <t xml:space="preserve">                 MAXIMILIANO SOLIVELLAS POR SANTIAGO DOMINGUEZ</t>
  </si>
  <si>
    <t>FECHA: 21/03/2015</t>
  </si>
  <si>
    <t>CAMBIOS: MATIAS TRAYNOR POR RODRIGO GOMEZ</t>
  </si>
  <si>
    <t xml:space="preserve">                 JORGE SEIB POR MATIAS BOCO</t>
  </si>
  <si>
    <t xml:space="preserve">                 CRISTIAN PAREDES POR EZEQUIEL BALESTRA </t>
  </si>
  <si>
    <t xml:space="preserve">                 RODRIGO RIOS POR AGUSTIN DOMINGUEZ</t>
  </si>
  <si>
    <t xml:space="preserve">                 IGNACIO TORRES POR MANUEL ALTAMIRANO</t>
  </si>
  <si>
    <t xml:space="preserve">                 GONZALO GREGORIO POR AGUSTIN MARZIALI</t>
  </si>
  <si>
    <t xml:space="preserve">                 NICOLAS DOMINGUEZ POR FEDERICO PITTALA</t>
  </si>
  <si>
    <t xml:space="preserve">                TOMAS MURACA POR JOSE GRUBER</t>
  </si>
  <si>
    <t>FECHA: 28-3-15</t>
  </si>
  <si>
    <t>VICENTE LOPEZ (V cumple sanción)</t>
  </si>
  <si>
    <t xml:space="preserve">                </t>
  </si>
  <si>
    <t>IGNACIO TORRESO CIUTAT</t>
  </si>
  <si>
    <t>FECHA: 4/04/2015</t>
  </si>
  <si>
    <t>CAMBIOS: JUAN JOSE MONEA POR MATIAS TRAYNOR</t>
  </si>
  <si>
    <t xml:space="preserve">                 TOMAS MURACA POR IVAN IBAÑEZ</t>
  </si>
  <si>
    <t xml:space="preserve">                 NICOLAS DOMINGUEZ POR PATRICIO TRAYNOR</t>
  </si>
  <si>
    <t xml:space="preserve">                 RODRIGO RIOS POR EZEQUIEL BALESTRA</t>
  </si>
  <si>
    <t>FECHA: 11/04/2015</t>
  </si>
  <si>
    <t>Cancha 1</t>
  </si>
  <si>
    <t>CAMBIOS: MATIAS AGUERRONDO POR MARTIN APOLO</t>
  </si>
  <si>
    <t xml:space="preserve">                 JUAN JOSE MONEA POR MATIAS BOCO</t>
  </si>
  <si>
    <t xml:space="preserve">                 TOMAS MURACA POR FEDERICO PITTALA</t>
  </si>
  <si>
    <t xml:space="preserve">                  NICOLAS DOMINGUEZ POR TOMAS MURACA</t>
  </si>
  <si>
    <t>FECHA: 18/04/2015</t>
  </si>
  <si>
    <t>Cancha 2</t>
  </si>
  <si>
    <t>CAMBIOS: JUAN GONZALEZ POR IGNACIO TORTORELLA</t>
  </si>
  <si>
    <t xml:space="preserve">                 EZEQUIEL VAZQUEZ POR NICOLAS ALTAMIRANO</t>
  </si>
  <si>
    <t xml:space="preserve">                 JUAN P.OCCHIUZZI POR MANUEL ALTAMIRANO</t>
  </si>
  <si>
    <t xml:space="preserve">                 MARIANO GONZALEZ POR IGNACIO TORRES CIUTAT</t>
  </si>
  <si>
    <t xml:space="preserve">                 ALEJO VELAZQUEZ POR AGUSTIN DOMINGUEZ</t>
  </si>
  <si>
    <t>FECHA: 25/04/2014</t>
  </si>
  <si>
    <t>CAMBIOS: NICOLAS ALTAMIRANO POR FRANCO CORSI</t>
  </si>
  <si>
    <t xml:space="preserve">                 JUAN PEDRO OCCHIUZZI POR NICOLAS DOMINGUEZ</t>
  </si>
  <si>
    <t xml:space="preserve">                 MARTIN APOLO POR EZEQUIEL BALESTRA</t>
  </si>
  <si>
    <t xml:space="preserve">                 MATIAS TRAYNOR POR MAXIMILIANO SOLIVELLAS (temp)</t>
  </si>
  <si>
    <t>12</t>
  </si>
  <si>
    <t>FECHA: 1/05/2015</t>
  </si>
  <si>
    <t xml:space="preserve">                 NICOLAS ALTAMIRANO POR AGUSTIN DOMINGUEZ</t>
  </si>
  <si>
    <t xml:space="preserve">                 JUAN P.OCCHIUZZI POR NICOLAS DOMINGUEZ</t>
  </si>
  <si>
    <t xml:space="preserve">                 EZEQUIEL VAZQUEZ POR FRANCO CORSI</t>
  </si>
  <si>
    <t xml:space="preserve">                 JUAN I. GONZALEZ POR IGNACIO TORTORELLA</t>
  </si>
  <si>
    <t xml:space="preserve">                 JUAN M.GARGANO POR IVAN IBAÑEZ</t>
  </si>
  <si>
    <t xml:space="preserve">                 FEDERICO PITTALA POR JOSE GRUBER</t>
  </si>
  <si>
    <t>FECHA: 9/05/2015</t>
  </si>
  <si>
    <t>MALO</t>
  </si>
  <si>
    <t>CAMBIOS: EZEQUIEL VAZQUEZ POR RODRIGO GOMEZ</t>
  </si>
  <si>
    <t xml:space="preserve">                 MATIAS TRAYNOR POR JORGE SEIB</t>
  </si>
  <si>
    <t xml:space="preserve">                 NICOLAS ALTAMIRANO POR EZEQUIEL BALESTRA</t>
  </si>
  <si>
    <t xml:space="preserve">                 JUAN CANTEROS POR JOSE GRUBER</t>
  </si>
  <si>
    <t xml:space="preserve">                 JUAN GARGANO POR IVAN IBAÑEZ</t>
  </si>
  <si>
    <t xml:space="preserve">                 CHRISTIAN PAREDES POR AGUSTIN DOMINGUEZ</t>
  </si>
  <si>
    <t xml:space="preserve">                 GONZALO GREGORIO POR MAXIMILIANO SOLIVELLAS</t>
  </si>
  <si>
    <t>FECHA: 16/05/2015</t>
  </si>
  <si>
    <t>ASARC</t>
  </si>
  <si>
    <t>CAMBIOS: JUAN P.OCCHIUZZI POR GONZALO GREGORIO</t>
  </si>
  <si>
    <t xml:space="preserve">                 MATIAS AGUERRONDO POR JOSE GRUBER</t>
  </si>
  <si>
    <t xml:space="preserve">                 JUAN CANTEROS POR MAXIMILIANO SOLIVELLAS</t>
  </si>
  <si>
    <t xml:space="preserve">                 EZEQUIEL VAZQUEZ POR RODRIGO GOMEZ</t>
  </si>
  <si>
    <t xml:space="preserve">                 JUAN I.GONZALEZ POR AGUSTIN DOMINGUEZ</t>
  </si>
  <si>
    <t xml:space="preserve">                 ALEJO VELAZQUEZ POR NICOLAS DOMINGUEZ</t>
  </si>
  <si>
    <t>FECHA: 23/05/2015</t>
  </si>
  <si>
    <t>CAMBIOS: MATIAS AGUERRONDO POR AGUSTIN DOMINGUEZ</t>
  </si>
  <si>
    <t xml:space="preserve">                 MATIAS BOCO POR JORGE SEIB</t>
  </si>
  <si>
    <t>FECHA: 30/05/2015</t>
  </si>
  <si>
    <t>cancha 1</t>
  </si>
  <si>
    <t>CAMBIOS: MATIAS AGUERRONDO POR IGNACIO TORTORELLA</t>
  </si>
  <si>
    <t xml:space="preserve">                 JUAN I GONZALEZ POR MATIAS BOCO</t>
  </si>
  <si>
    <t xml:space="preserve">                 TOMAS MURACA POR AGUSTIN MARZIALI</t>
  </si>
  <si>
    <t>FECHA: 6/06/2015</t>
  </si>
  <si>
    <t>CAMBIOS: JUAN P.OCCHIUZZI POR NICOLAS DOMINGUEZ</t>
  </si>
  <si>
    <t xml:space="preserve">                 MATIAS AGUERRONDO POR EZEQUIEL VAZQUEZ</t>
  </si>
  <si>
    <t>FECHA: 13/06/2015</t>
  </si>
  <si>
    <t>CAMBIOS: JUAN CANTEROS POR MANUEL ALTAMIRANO</t>
  </si>
  <si>
    <t xml:space="preserve">                  GONZALO GREGORIO POR JOSE GRUBER</t>
  </si>
  <si>
    <t xml:space="preserve">                  TOMAS MURACA POR MAXIMILIANO SOLIVELLAS</t>
  </si>
  <si>
    <t>FECHA:27/06/2015</t>
  </si>
  <si>
    <t>(cancha 1 )</t>
  </si>
  <si>
    <t>CAMBIOS: MATIAS AGUERRONDO POR EZEQUIEL VAZQUEZ</t>
  </si>
  <si>
    <t>FECHA: 04/07/2015</t>
  </si>
  <si>
    <t xml:space="preserve">                 MATIAS AGUERRONDO POR FRANCO CORSI</t>
  </si>
  <si>
    <t>FECHA: 11/07/2015</t>
  </si>
  <si>
    <t xml:space="preserve">                 FRANCO CORSI POR EZEQUIEL VAZQUEZ</t>
  </si>
  <si>
    <t xml:space="preserve">                 TOMAS MURACA POR JUAN P.OCCHIUZZI</t>
  </si>
  <si>
    <t>FECHA: 8/08/2015</t>
  </si>
  <si>
    <t>(cancha 2)</t>
  </si>
  <si>
    <t>CAMBIOS: MARTIN APOLO POR FRANCO CORSI</t>
  </si>
  <si>
    <t xml:space="preserve">                 GONZALO GREGORIO POR JOSE GRUBER</t>
  </si>
  <si>
    <t xml:space="preserve">                 TOMAS MURACA POR MAXIMILIANO SOLIVELLAS</t>
  </si>
  <si>
    <t>FECHA: 16/08/2015</t>
  </si>
  <si>
    <t xml:space="preserve">BUENO </t>
  </si>
  <si>
    <t xml:space="preserve">                 MARTIN APOLO POR FRANCO CORSI</t>
  </si>
  <si>
    <t xml:space="preserve">                 RODRIGO RIOS POR EZEQUIEL VAZQUEZ</t>
  </si>
  <si>
    <t xml:space="preserve">                 MAXIMILIANO SOLIVELLAS POR GONZALO GREGORIO</t>
  </si>
  <si>
    <t xml:space="preserve">                 GONZALO MARTINEZ POR IVAN IBAÑEZ</t>
  </si>
  <si>
    <t>FECHA: 29/08/2015</t>
  </si>
  <si>
    <t xml:space="preserve">                 ANDRES BIRELLO POR EZEQUIEL VAZQUEZ</t>
  </si>
  <si>
    <t xml:space="preserve">                 HUGO PEDEMONTE POR JORGE SEIB</t>
  </si>
  <si>
    <t xml:space="preserve">                 TOMAS MURACA POR JOSE GRUBER</t>
  </si>
  <si>
    <t>FECHA: 5/09/2015</t>
  </si>
  <si>
    <t>CAMBIOS: MARTIN APOLO POR NICOLAS ALTAMIRANO</t>
  </si>
  <si>
    <t>FECHA: 12/9/2015</t>
  </si>
  <si>
    <t xml:space="preserve">                 RODRIGO RIOS POR NICOLAS ALTAMIRANO</t>
  </si>
  <si>
    <t xml:space="preserve">                 ALEJO VELAZQUEZ POR EZEQUIEL VAZQUEZ</t>
  </si>
  <si>
    <t xml:space="preserve">                 FEDERICO PITTALA POR IVAN IBAÑEZ</t>
  </si>
  <si>
    <t xml:space="preserve">                 TOMAS MURACA POR MANUEL ALTAMIRANO</t>
  </si>
  <si>
    <t xml:space="preserve">                 GONZALO MARTINEZ POR JUAN P.OCCHIUZZI</t>
  </si>
  <si>
    <t>JUAN O.OCCHIUZZI</t>
  </si>
  <si>
    <t>FECHA: 19/9/2015</t>
  </si>
  <si>
    <t>(Cancha 1)</t>
  </si>
  <si>
    <t>CAMBIOS: ALEJO VELAZQUEZ POR RODRIGO GOMEZ</t>
  </si>
  <si>
    <t xml:space="preserve">                 HUGO PEDEMONTE POR MATIAS BOCO</t>
  </si>
  <si>
    <t xml:space="preserve">                 ANDRES BIRELLO POR FRANCO CORSI</t>
  </si>
  <si>
    <t xml:space="preserve">                 PATRICIO TRAYNOR POR JOSE GRUBER</t>
  </si>
  <si>
    <t xml:space="preserve">                 TOMAS MURACA POR GONZALO GREGORIO</t>
  </si>
  <si>
    <t xml:space="preserve">                 MARTIN APOLO POR IGNACIO TORTORELLA</t>
  </si>
  <si>
    <t>FECHA: 26/9/2015</t>
  </si>
  <si>
    <t>FECHA: 11/10/2015</t>
  </si>
  <si>
    <t>MUNICIPALIDAD VICENTE LOPEZ</t>
  </si>
  <si>
    <t>FECHA: 17/10/2015</t>
  </si>
  <si>
    <t>CAMBIOS: NICOLAS ALTAMIRANO POR EZEQUIEL BALESTRA</t>
  </si>
  <si>
    <t xml:space="preserve">                 FRANCO CORSI POR AGUSTIN DOMINGUEZ</t>
  </si>
  <si>
    <t>FECHA: 2/04/2016</t>
  </si>
  <si>
    <t>JUAN PEDRO OCCHIUZZI</t>
  </si>
  <si>
    <t>NICOLAS MARZIALI ©</t>
  </si>
  <si>
    <t xml:space="preserve">                 EZEQUIEL BALESTRA POR MARTIN APOLO</t>
  </si>
  <si>
    <t xml:space="preserve">                 JOSE GRUBER POR IGNACIO TORTORELLA</t>
  </si>
  <si>
    <t xml:space="preserve">                 NICOLAS ALTAMIRANO POR SANTIAGO DIAZ</t>
  </si>
  <si>
    <t>FECHA: 9-4-16</t>
  </si>
  <si>
    <t>CAMBIOS:  JUAN JOSE MONEA POR EZEQUIEL BALESTRA</t>
  </si>
  <si>
    <t xml:space="preserve">                  NICOLAS ALTAMIRANO POR IGNACIO TORTORELLA</t>
  </si>
  <si>
    <t xml:space="preserve">                  MATIAS AGUERRONDO POR AGUSTIN DOMINGUEZ</t>
  </si>
  <si>
    <t xml:space="preserve">                  GUIDO LIVACHOFF POR AGUSTIN MARZIALI</t>
  </si>
  <si>
    <t>FECHA: 16/04/2016</t>
  </si>
  <si>
    <t>NUBLADO - LLOVIZNA</t>
  </si>
  <si>
    <t>BUENO - MOJADO</t>
  </si>
  <si>
    <t xml:space="preserve">                 MATIAS AGUERRONDO POR AGUSTIN DOMINGUEZ</t>
  </si>
  <si>
    <t xml:space="preserve">                 SANTIAGO DOMINGUEZ POR JUAN PEDRO OCCHIUZZI</t>
  </si>
  <si>
    <t xml:space="preserve">                 GUIDO LIVACHOFF POR GONZALO GREGORIO</t>
  </si>
  <si>
    <t xml:space="preserve">                 MATIAS BOCO POR EZEQUIEL BALESTRA</t>
  </si>
  <si>
    <t xml:space="preserve">                 JOSE GRUBER POR IGNACIO TORRES CIUTAT</t>
  </si>
  <si>
    <t xml:space="preserve">                 NICOLAS ALTAMIRANO POR EZEQUIEL VAZQUEZ</t>
  </si>
  <si>
    <t xml:space="preserve">                 FRANCO CORSI POR SANTIAGO DIAZ</t>
  </si>
  <si>
    <t>FECHA: 30/04/2016</t>
  </si>
  <si>
    <t>MALO (BARROSO)</t>
  </si>
  <si>
    <t xml:space="preserve">                 GUIDO LIVACHOFF POR MARIANO CETTOUR</t>
  </si>
  <si>
    <t xml:space="preserve">                 SANTIAGO DOMINGUEZ POR IGNACIO TORRES CIUTAT</t>
  </si>
  <si>
    <t xml:space="preserve">                 OCTAVIO TALLARICO POR SANTIAGO DIAZ</t>
  </si>
  <si>
    <t>FECHA: 7/05/2016</t>
  </si>
  <si>
    <t xml:space="preserve">                 EZEQUIEL ARIAS POR EZEQUIEL BALESTRA</t>
  </si>
  <si>
    <t xml:space="preserve">                 SANTIAGO DOMINGUEZ POR JUAN P.OCCHIUZZI</t>
  </si>
  <si>
    <t xml:space="preserve">                 JUAN CANTEROS POR GONZALO GREGORIO</t>
  </si>
  <si>
    <t>FECHA: 14/05/2016</t>
  </si>
  <si>
    <t xml:space="preserve">                 JORGE BENITEZ POR AGUSTIN MARZIALI</t>
  </si>
  <si>
    <t>FECHA: 21/05/2016</t>
  </si>
  <si>
    <t>CAMBIOS: MATIAS TRAYNOR POR FRANCO CORSI</t>
  </si>
  <si>
    <t xml:space="preserve">                 NICOLAS DOMINGUEZ POR MARIANO CETTOUR</t>
  </si>
  <si>
    <t xml:space="preserve">                 SANTIAGO DOMINGUEZ POR GUIDO LIVACHOFF</t>
  </si>
  <si>
    <t>ROJA</t>
  </si>
  <si>
    <t>FECHA: 29/05/2016</t>
  </si>
  <si>
    <t>LLOVIZNA</t>
  </si>
  <si>
    <t>CAMBIOS: ANDRES BIRELLO POR AGUSTIN DOMINGUEZ</t>
  </si>
  <si>
    <t xml:space="preserve">                 JUAN JOSE MONEA POR EZEQUIEL ARIAS</t>
  </si>
  <si>
    <t xml:space="preserve">                 ALEJO VELAZQUEZ POR FRANCO CORSI</t>
  </si>
  <si>
    <t xml:space="preserve">                 MATIAS TRAYNOR POR PABLO FERREIRA</t>
  </si>
  <si>
    <t xml:space="preserve">                 RODRIGO RIOS POR JOSE GRUBER</t>
  </si>
  <si>
    <t>FECHA: 11/06/2016</t>
  </si>
  <si>
    <t>EUSEBIO</t>
  </si>
  <si>
    <t>CAMBIOS: GUIDO LIVACHOFF POR AGUSTIN MARZIALI</t>
  </si>
  <si>
    <t xml:space="preserve">                 HUGO PEDEMONTE POR JUAN JOSE MONEA</t>
  </si>
  <si>
    <t>FECHA: 25/06/2016</t>
  </si>
  <si>
    <t>CAMBIOS: JORGE BENITEZ POR AGUSTIN MARZIALI</t>
  </si>
  <si>
    <t xml:space="preserve">                 JUAN JOSE MONEA POR EZEQUIEL BALESTRA</t>
  </si>
  <si>
    <t xml:space="preserve">                 FRANCO CORSI POR IGNACIO TORTORELLA</t>
  </si>
  <si>
    <t xml:space="preserve">             PENALES</t>
  </si>
  <si>
    <t>FECHA: 2/07/2016</t>
  </si>
  <si>
    <t>cancha 2</t>
  </si>
  <si>
    <t>BUENO - BLANDO</t>
  </si>
  <si>
    <t>CAMBIOS: JUAN JOSE MONEA POR EZEQUIEL BALESTRA</t>
  </si>
  <si>
    <t xml:space="preserve">                 AGUSTIN MARZIALI POR IVAN IBAÑEZ</t>
  </si>
  <si>
    <t xml:space="preserve">                 SANTIAGO DOMINGUEZ POR JORGE BENITEZ</t>
  </si>
  <si>
    <t xml:space="preserve">               DROPS</t>
  </si>
  <si>
    <t>FECHA: 9/07/2016</t>
  </si>
  <si>
    <t>CAMBIOS: EZEQUIEL VAZQUEZ POR FRANCO CORSI</t>
  </si>
  <si>
    <t xml:space="preserve">                 RODRIGO ESMAYEL POR EZEQUIEL BALESTRA</t>
  </si>
  <si>
    <t>FECHA: 23/07/2016</t>
  </si>
  <si>
    <t>FECHA:30/07/2016</t>
  </si>
  <si>
    <t>CAMBIOS: SANTIAGO DIAZ POR FRANCO CORSI</t>
  </si>
  <si>
    <t xml:space="preserve">                 EZEQUIEL VAZQUEZ POR MARTIN APOLO</t>
  </si>
  <si>
    <t xml:space="preserve">                 JOSE GRUBER POR SANTIAGO DIAZ</t>
  </si>
  <si>
    <t>FECHA: 06/08/2016</t>
  </si>
  <si>
    <t>CAMBIOS: JOSE GRUBER POR EZEQUIEL VAZQUEZ</t>
  </si>
  <si>
    <t>FECHA: 13/08/2016</t>
  </si>
  <si>
    <t>CAMBIOS: JUAN CANTEROS POR MARIANO CETTOUR</t>
  </si>
  <si>
    <t xml:space="preserve">                 JOSE GRUBER POR EZEQUIEL VAZQUEZ</t>
  </si>
  <si>
    <t>FECHA: 20/08/2016</t>
  </si>
  <si>
    <t>FECHA: 3/09/2016</t>
  </si>
  <si>
    <t>CAMBIOS: AGUSTIN DOMINGUEZ POR JOSE GRUBER</t>
  </si>
  <si>
    <t xml:space="preserve">                 CHRISTIAN MONZON POR JORGE BENITEZ</t>
  </si>
  <si>
    <t xml:space="preserve">                 OCTAVIO TALLARICO POR MARTIN APOLO</t>
  </si>
  <si>
    <t>FECHA: 10/09/2016</t>
  </si>
  <si>
    <t>CAMBIOS: AGUSTIN DOMINGUEZ POR EZEQUIEL VAZQUEZ</t>
  </si>
  <si>
    <t xml:space="preserve">                 FRANCO POPICA POR JUAN JOSE MONEA</t>
  </si>
  <si>
    <t xml:space="preserve">                 FRANCO CORSI POR JOSE GRUBER</t>
  </si>
  <si>
    <t>FECHA: 17/09/2016</t>
  </si>
  <si>
    <t>FECHA: 24/9/2016</t>
  </si>
  <si>
    <t>CAMBIOS: EZEQUIEL ARIAS POR JUAN JOSE MONEA</t>
  </si>
  <si>
    <t xml:space="preserve">                 FRANCO POPICA POR PABLO FERREIRA</t>
  </si>
  <si>
    <t xml:space="preserve">                 ALEJO VELAZQUEZ POR IGNACIO TORTORELLA</t>
  </si>
  <si>
    <t xml:space="preserve">                 MATIAS ALTAMIRANO POR AGUSTIN MARZIALI</t>
  </si>
  <si>
    <t xml:space="preserve">                 IVAN IBAÑEZ POR MARIANO CETTOUR</t>
  </si>
  <si>
    <t>FECHA: 8/10/2016</t>
  </si>
  <si>
    <t>CAMBIOS: PABLO FERREIRA POR JUAN JOSE MONEA</t>
  </si>
  <si>
    <t xml:space="preserve">                 JORGE BENITEZ POR CHRISTIAN MONZON</t>
  </si>
  <si>
    <t>FECHA: 15/10/2016</t>
  </si>
  <si>
    <t>BUENO (Lluvias previas)</t>
  </si>
  <si>
    <t>ANEGADO</t>
  </si>
  <si>
    <t>CAMBIOS: HUGO PEDEMONTE POR EZEQUIEL BALESTRA</t>
  </si>
  <si>
    <t xml:space="preserve">                 EZEQUIEL VAZQUEZ POR JOSE GRUBER</t>
  </si>
  <si>
    <t xml:space="preserve">                 ANDRES BIRELLO POR IGNACIO TORTORELLA</t>
  </si>
  <si>
    <t>FECHA: 1/04/2017</t>
  </si>
  <si>
    <t>CAMBIOS: RODRIGO GOMEZ POR EZEQUIEL VAZQUEZ</t>
  </si>
  <si>
    <t xml:space="preserve">                 JUAN PEDRO OCCHIUZZI POR GUIDO LIVACHOFF</t>
  </si>
  <si>
    <t xml:space="preserve">                 MATIAS AGUERRONDO POR ANDRES BIRELLO</t>
  </si>
  <si>
    <t xml:space="preserve">                 CHRISTIAN MONZON POR MAXIMILIANO SOLIVELLAS</t>
  </si>
  <si>
    <t xml:space="preserve">                 JORGE BENITEZ POR FRANCO POPICA</t>
  </si>
  <si>
    <t>FECHA: 8/04/2017</t>
  </si>
  <si>
    <t xml:space="preserve">                 JORGE BENITEZ POR RODRIGO GOMEZ</t>
  </si>
  <si>
    <t xml:space="preserve">                 MATIAS TRAYNOR POR EZEQUIEL ARIAS</t>
  </si>
  <si>
    <t>FECHA: 22/04/2017</t>
  </si>
  <si>
    <t>CAMBIOS: EZEQUIEL BALESTRA POR JORGE BENITEZ</t>
  </si>
  <si>
    <t xml:space="preserve">                 GUIDO LIVACHOFF POR MAXIMILIANO SOLIVELLAS</t>
  </si>
  <si>
    <t xml:space="preserve">                 EZEQUIEL VAZQUEZ POR EZEQUIEL ARIAS</t>
  </si>
  <si>
    <t xml:space="preserve">                 PATRICIO TRAYNOR POR JUAN PEDRO OCCHIUZZI</t>
  </si>
  <si>
    <t xml:space="preserve">                 LAUTARO ALCARAZ POR IGNACIO TORTORELLA</t>
  </si>
  <si>
    <t>FECHA: 29/04/2017</t>
  </si>
  <si>
    <t>CAMBIOS: EZEQUIEL VAZQUEZ POR JORGE BENITEZ</t>
  </si>
  <si>
    <t xml:space="preserve">                 HUGO PEDEMONTE POR EZEQUIEL ARIAS</t>
  </si>
  <si>
    <t xml:space="preserve">                 IGNACIO TORRES CIUTAT POR GUIDO LIVACHOFF</t>
  </si>
  <si>
    <t>FECHA: 6/05/2017</t>
  </si>
  <si>
    <t>CASA de PADUA</t>
  </si>
  <si>
    <t>CAMBIOS: EZEQUIEL BALESTRA POR EZEQUIEL ARIAS</t>
  </si>
  <si>
    <t xml:space="preserve">                 HUGO PEDEMONTE POR FRANCO POPICA</t>
  </si>
  <si>
    <t xml:space="preserve">                 TOMAS DOMINGUEZ POR GONZALO GREGORIO</t>
  </si>
  <si>
    <t>FECHA: 20/05/2017</t>
  </si>
  <si>
    <t>LLUVIAS</t>
  </si>
  <si>
    <t>CAMBIOS: EZEQUIEL BALESTRA POR HUGO PEDEMONTE</t>
  </si>
  <si>
    <t>FECHA: 27/05/2017</t>
  </si>
  <si>
    <t>CAMBIOS: EZEQUIEL BALESTRA POR JORGE BENIITEZ</t>
  </si>
  <si>
    <t xml:space="preserve">                 MARTIN APOLO POR SEBASTIAN GAUNA</t>
  </si>
  <si>
    <t xml:space="preserve">                 MATIAS TRAYNOR POR HUGO PEDEMONTE</t>
  </si>
  <si>
    <t>FECHA: 3/06/2017</t>
  </si>
  <si>
    <t>CAMBIOS: EZEQUIEL ARIAS POR HUGO PEDEMONTE</t>
  </si>
  <si>
    <t xml:space="preserve">                 ANDRES BIRELLO POR MATIAS AGUERRONDO</t>
  </si>
  <si>
    <t xml:space="preserve">                 NICOLAS ALTAMIRANO POR SEBASTIAN GAUNA</t>
  </si>
  <si>
    <t xml:space="preserve">                 MATIAS TRAYNOR POR FRANCO POPICA</t>
  </si>
  <si>
    <t xml:space="preserve">                 RODRIGO GOMEZ POR JORGE BENITEZ</t>
  </si>
  <si>
    <t>FECHA: 10/06/2017</t>
  </si>
  <si>
    <t>CAMBIOS: RODRIGO GOMEZ POR JORGE BENITEZ</t>
  </si>
  <si>
    <t xml:space="preserve">                 EZEQUIEL BALESTRA POR EZEQUIEL ARIAS</t>
  </si>
  <si>
    <t xml:space="preserve">                 IGNACIO TORTORELLA POR ALEJO VELAZQUEZ</t>
  </si>
  <si>
    <t xml:space="preserve">                 EZEQUIEL VAZQUEZ POR ANDRES BIRELLO</t>
  </si>
  <si>
    <t xml:space="preserve">                 LAUTARO ALCARAZ POR NICOLAS ALTAMIRANO</t>
  </si>
  <si>
    <t xml:space="preserve">                 CHRISTIAN MONZON POR PATRICIO TRAYNOR</t>
  </si>
  <si>
    <t>FECHA: 17/06/2017</t>
  </si>
  <si>
    <t>CAMBIOS: HUGO PEDEMONTE POR MATIAS TRAYNOR</t>
  </si>
  <si>
    <t xml:space="preserve">                 MATIAS AGUERRONDO POR AGUSTIN MARZIALI</t>
  </si>
  <si>
    <t xml:space="preserve">                 WALTER PRETZ POR ALEJO VELAZQUEZ</t>
  </si>
  <si>
    <t>FECHA: 24/06/2017</t>
  </si>
  <si>
    <t>CAMBIOS: SEBASTIAN GAUNA POR OCTAVIO TALLARICO</t>
  </si>
  <si>
    <t xml:space="preserve">                 EZEQUIEL BALESTRA POR HUGO PEDEMONTE</t>
  </si>
  <si>
    <t xml:space="preserve">                 TOMAS DOMINGUEZ POR CHRISTIAN MONZON</t>
  </si>
  <si>
    <t>FECHA: 8/07/2017</t>
  </si>
  <si>
    <t>PESADO</t>
  </si>
  <si>
    <t>CAMBIOS: NICOLAS ALTAMIRANO POR OCTAVIO TALLARICO</t>
  </si>
  <si>
    <t xml:space="preserve">                 TOMAS DOMINGUEZ POR AGUSTIN MARZIALI</t>
  </si>
  <si>
    <t xml:space="preserve">                 GUIDO LIVACHOFF POR PATRICIO TRAYNOR</t>
  </si>
  <si>
    <t>FECHA: 15/07/2017</t>
  </si>
  <si>
    <t>CAMBIOS: EZEQUIEL BALESTRA X HUGO PEDEMONTE</t>
  </si>
  <si>
    <t xml:space="preserve">                 ANDRES BIRELLO X SEBASTIAN GAUNA</t>
  </si>
  <si>
    <t xml:space="preserve">                 GONZALO GREGORIO X PATRICIO TRAYNOR</t>
  </si>
  <si>
    <t xml:space="preserve">                 FRANCISCO COMABELLA POR OCTAVIO TALLARICO</t>
  </si>
  <si>
    <t>FECHA: 22/07/2017</t>
  </si>
  <si>
    <t xml:space="preserve">                 NICOLAS ALTAMIRANO X SEBASTIAN GAUNA</t>
  </si>
  <si>
    <t xml:space="preserve">                 PATRICIO TRAYNOR X AGUSTIN MARZIALI</t>
  </si>
  <si>
    <t xml:space="preserve">                 TOMAS DOMINGUEZ POR GUIDO LIVACHOFF</t>
  </si>
  <si>
    <t xml:space="preserve">                 EZEQUIEL ARIAS POR HUGO PEDEMONTE</t>
  </si>
  <si>
    <t xml:space="preserve">        CONVERSIONES</t>
  </si>
  <si>
    <t>FECHA: 29/07/2017</t>
  </si>
  <si>
    <t xml:space="preserve"> (cancha 1)</t>
  </si>
  <si>
    <t>ESTEVES</t>
  </si>
  <si>
    <t xml:space="preserve">                 GUIDO LIVACHOFF X GONZALO GREGORIO</t>
  </si>
  <si>
    <t xml:space="preserve">                 EZEQUIEL ARIAS POR MATIAS TRAYNOR</t>
  </si>
  <si>
    <t>FECHA: 5/08/2017</t>
  </si>
  <si>
    <t>CAMBIOS: AGUSTIN MARZIALI POR PATRICIO TRAYNOR</t>
  </si>
  <si>
    <t xml:space="preserve">                 LAUTARO ALCARAZ POR OCTAVIO TALLARICO</t>
  </si>
  <si>
    <t xml:space="preserve">                 MARTIN APOLO POR NICOLAS ALTAMIRANO</t>
  </si>
  <si>
    <t>FECHA: 12/08/2017</t>
  </si>
  <si>
    <t>CAMBIOS: HUGO PEDEMONTE POR EZEQUIEL ARIAS</t>
  </si>
  <si>
    <t xml:space="preserve">                 LAUTARO ALCARAZ POR ALEJO VELAZQUEZ</t>
  </si>
  <si>
    <t>FECHA: 19/08/2017</t>
  </si>
  <si>
    <t>ALVAREZ E,</t>
  </si>
  <si>
    <t xml:space="preserve">                 JUAN i. VAZQUEZ POR OCTAVIO TALLARICO</t>
  </si>
  <si>
    <t xml:space="preserve">                 AGUSTIN TRAYNOR POR IVAN IBAÑEZ</t>
  </si>
  <si>
    <t xml:space="preserve">                 MARIANO LIVACHOFF POR JUAN PEDRO OCCHIUZZI</t>
  </si>
  <si>
    <t xml:space="preserve">                 GONZALO GREGORIO POR PATRICIO TRAYNOR</t>
  </si>
  <si>
    <t>FECHA: 2/09/2017</t>
  </si>
  <si>
    <t>CAMBIOS: NICOLAS ALTAMIRAMO POR OCTAVIO TALLARICO</t>
  </si>
  <si>
    <t>FECHA: 9/09/2017</t>
  </si>
  <si>
    <t>CAMBIOS: EZEQUIEL BALESTRA POR FRANCO POPICA</t>
  </si>
  <si>
    <t xml:space="preserve">                 SANTIAGO DIAZ POR ANDRES BIRELLO</t>
  </si>
  <si>
    <t xml:space="preserve">                 MARIANO LIVACHOFF POR PATRICIO TRAYNOR</t>
  </si>
  <si>
    <t>FECHA: 16/09/2017</t>
  </si>
  <si>
    <t xml:space="preserve">                 SEBASTIAN GAUNA POR FRANCISCO COMABELLA</t>
  </si>
  <si>
    <t xml:space="preserve">                 HUGO PEDEMONTE POR MATIAS TRAYNOR</t>
  </si>
  <si>
    <t xml:space="preserve">MATIAS AGUERRONDO </t>
  </si>
  <si>
    <t>FECHA: 23/09/2017</t>
  </si>
  <si>
    <t>CAMBIOS: NICOLAS ALTAMIRANO POR MATIAS AGUERRONDO</t>
  </si>
  <si>
    <t xml:space="preserve">                 SANTIAGO DIAZ POR OCTAVIO TALLARICO</t>
  </si>
  <si>
    <t xml:space="preserve">              DROPS </t>
  </si>
  <si>
    <t>FECHA: 7/10/2017</t>
  </si>
  <si>
    <t>ST.BRENDAN´S</t>
  </si>
  <si>
    <t>CAMBIOS: SEBASTIAN GAUNA POR FRANCISCO COMABELLA</t>
  </si>
  <si>
    <t xml:space="preserve">                 JUAN PEDRO OCCHIUZZI POR JUAN MATIAS TRAYNOR</t>
  </si>
  <si>
    <t>FECHA: 14/10/2017</t>
  </si>
  <si>
    <t>CAMBIOS: JUAN I.VAZQUEZ POR SEBASTIAN GAUNA</t>
  </si>
  <si>
    <t xml:space="preserve">                 MARTIN APOLO POR FRANCISCO COMABELLA</t>
  </si>
  <si>
    <t>FECHA: 21/10/2017</t>
  </si>
  <si>
    <t>CAMBIOS: OCTAVIO TALLARICO POR SEBASTIAN GAUNA</t>
  </si>
  <si>
    <t xml:space="preserve">                 SANTIAGO DIAZ POR IGNACIO TORTORELLA</t>
  </si>
  <si>
    <t xml:space="preserve">                 FRANCO POPICA POR RODRIGO GOMEZ</t>
  </si>
  <si>
    <t xml:space="preserve">                 CHRISTIAN MONZON POR IGNACIO TORRES CIUTAT</t>
  </si>
  <si>
    <t>HUGO PEDEMONTE (temporario)</t>
  </si>
  <si>
    <t>FECHA: 28/10/2017</t>
  </si>
  <si>
    <t xml:space="preserve">                 AGUSTIN DOMINGUEZ POR NICOLAS ALTAMIRANO</t>
  </si>
  <si>
    <t>FECHA: 7/04/2018</t>
  </si>
  <si>
    <t>IVAN IVAÑEZ</t>
  </si>
  <si>
    <t>CAMBIOS: IVAN CARMONA POR JORGE BENITEZ</t>
  </si>
  <si>
    <t xml:space="preserve">                 NICOLAS ALTAMIRANO POR OCTAVIO TALLARICO</t>
  </si>
  <si>
    <t xml:space="preserve">                 ESTEBAN GONZALEZ POR JOSE GRUBER</t>
  </si>
  <si>
    <t xml:space="preserve">                 AGUSTIN MARZIALI POR NICOLAS MARZIALI</t>
  </si>
  <si>
    <t xml:space="preserve">                 FRANCISCO OCCHIUZZI POR IVAN IBAÑEZ</t>
  </si>
  <si>
    <t>FECHA: 14/04/2018</t>
  </si>
  <si>
    <t xml:space="preserve">                 IVAN CARMONA POR RODRIGO ESMAYEL</t>
  </si>
  <si>
    <t xml:space="preserve">                 AGUSTIN MARZIALI POR MAXIMILIANO SOLIVELLAS</t>
  </si>
  <si>
    <t>FECHA: 21/04/2018</t>
  </si>
  <si>
    <t>CAMBIOS: MATIAS TRAYNOR POR JORGE BENITEZ</t>
  </si>
  <si>
    <t xml:space="preserve">                 FRANCO POPICA POR HUGO PEDEMONTE</t>
  </si>
  <si>
    <t xml:space="preserve">                 JUAN IGNACIO VAZQUEZ POR MARTIN APOLO</t>
  </si>
  <si>
    <t xml:space="preserve">                 AGUSTIN DOMINGUEZ POR JOSE GRUBER</t>
  </si>
  <si>
    <t xml:space="preserve">                 AUGUSTO GALLOTTI POR AGUSTIN DOMINGUEZ</t>
  </si>
  <si>
    <t>FECHA: 5/05/2018</t>
  </si>
  <si>
    <t xml:space="preserve">                 MATIAS TRAYNOR POR RODRIGO ESMAYEL</t>
  </si>
  <si>
    <t xml:space="preserve">                 JUAN IGNACIO VAZQUEZ POR OCTAVIO TALLARICO</t>
  </si>
  <si>
    <t xml:space="preserve">                 CHRISTIAN MONZON POR FRANCISCO OCCHIUZZI</t>
  </si>
  <si>
    <t>FECHA: 12/05/2018</t>
  </si>
  <si>
    <t>PESADO POR LLUVIAS PREVIAS</t>
  </si>
  <si>
    <t xml:space="preserve">                       </t>
  </si>
  <si>
    <t xml:space="preserve">                 JUAN IGNACIO VAZQUEZ POR JOSE GRUBER</t>
  </si>
  <si>
    <t>FECHA: 19/05/2018</t>
  </si>
  <si>
    <t>CAMBIOS: JUAN JOSE MONEA POR HUGO PEDEMONTE</t>
  </si>
  <si>
    <t xml:space="preserve">                 FRANCO CORSI POR OCTAVIO TALLARICO</t>
  </si>
  <si>
    <t xml:space="preserve">                 AUGUSTO GALLOTTI POR NICOLAS ALTAMIRANO</t>
  </si>
  <si>
    <t xml:space="preserve">                 AGUSTIN TRAYNOR POR EMILIANO MANRIQUEZ</t>
  </si>
  <si>
    <t>FECHA: 2/06/2018</t>
  </si>
  <si>
    <t>CAMBIOS: FRANCO POPICA POR JORGE BENIITEZ</t>
  </si>
  <si>
    <t>FECHA: 9/06/2018</t>
  </si>
  <si>
    <t>GOZNALO GREGORIO</t>
  </si>
  <si>
    <t xml:space="preserve">                 ANDRES BIRELLO POR JOSE GRUBER</t>
  </si>
  <si>
    <t>FECHA: 16/06/2018</t>
  </si>
  <si>
    <t xml:space="preserve">                 MARIANO CETTOUR POR AGUSTIN TRAYNOR</t>
  </si>
  <si>
    <t xml:space="preserve">                 MATIAS ALTAMIRANO POR IVAN IBAÑEZ</t>
  </si>
  <si>
    <t xml:space="preserve">                 EMILIANO MANRIQUEZ POR AGUSTIN MARZIALI</t>
  </si>
  <si>
    <t>FECHA: 23/06/2018</t>
  </si>
  <si>
    <t xml:space="preserve">                 AUGUSTO GALLOTTI POR JOSE GRUBER</t>
  </si>
  <si>
    <t xml:space="preserve">                 FRANCISCO OCCHIUZZI POR AGUSTIN TRAYNOR</t>
  </si>
  <si>
    <t>FECHA: 7/07/2018</t>
  </si>
  <si>
    <t>FECHA: 14/07/2018</t>
  </si>
  <si>
    <t xml:space="preserve">                 RODRIGO GOMEZ POR MATIAS TRAYNOR</t>
  </si>
  <si>
    <t xml:space="preserve">                 JUAN MATIAS TRAYNOR POR NICOLAS MARZIALI</t>
  </si>
  <si>
    <t>FECHA: 28/07/2018</t>
  </si>
  <si>
    <t>LLOVIZNAS</t>
  </si>
  <si>
    <t>FECHA: 4/08/2018</t>
  </si>
  <si>
    <t>CAMBIOS: NICOLAS ALTAMIRANO POR AGUSTIN DOMINGUEZ</t>
  </si>
  <si>
    <t xml:space="preserve">                 NICOLAS DOMINGUEZ POR IGNACIO TORTORELLA</t>
  </si>
  <si>
    <t xml:space="preserve">                 AUGUSTO GALLOTTI POR OCTAVIO TALLARICO</t>
  </si>
  <si>
    <t xml:space="preserve">                 FEDERICO FERRARI POR GONZALO GREGORIO</t>
  </si>
  <si>
    <t>FECHA: 11/08/2018</t>
  </si>
  <si>
    <t>CAMBIOS: NICOLAS ALTAMIRANO POR JOSE GRUBER</t>
  </si>
  <si>
    <t xml:space="preserve">                 HUGO PEDEMONTE POR JORGE BENITEZ</t>
  </si>
  <si>
    <t xml:space="preserve">                 PABLO FERREIRA POR EZEQUIEL BALESTRA</t>
  </si>
  <si>
    <t>FECHA: 18/08/2018</t>
  </si>
  <si>
    <t>NUBLADO/LLUVIA</t>
  </si>
  <si>
    <t>CAMBIOS: FRANCISCO COMABELLA POR OCTAVIO TALLARICO</t>
  </si>
  <si>
    <t xml:space="preserve">                 PABLO FERREIRA POR JORGE BENITEZ</t>
  </si>
  <si>
    <t xml:space="preserve">                 IVAN IBAÑEZ POR MARIANO LIVACHOFF</t>
  </si>
  <si>
    <t xml:space="preserve">                 NICOLAS COMPANYS POR SANTIAGO DOMINGUEZ</t>
  </si>
  <si>
    <t>FECHA: 1/09/2018</t>
  </si>
  <si>
    <t>ACHAVAL S.</t>
  </si>
  <si>
    <t xml:space="preserve">                 PABLO FERREIRA POR RODRIGO GOMEZ</t>
  </si>
  <si>
    <t xml:space="preserve">                 SANTIAGO DOMINGUEZ POR NICOLAS MARZIALI</t>
  </si>
  <si>
    <t xml:space="preserve">                 RODRIGO ESMAYEL POR NICOLAS ALTAMIRANO</t>
  </si>
  <si>
    <t xml:space="preserve">                 NICOLAS COMPANYS POR IVAN IBAÑEZ</t>
  </si>
  <si>
    <t>FECHA: 8/09/2018</t>
  </si>
  <si>
    <t>CAMBIOS: MATIAS TRAYNOR POR EZEQUIEL BALESTRA</t>
  </si>
  <si>
    <t xml:space="preserve">                 AGUSTIN TRAYNOR POR MARIANO CETTOUR</t>
  </si>
  <si>
    <t>FECHA: 15/09/2018</t>
  </si>
  <si>
    <t>NUBLADO/LLOVIZNAS</t>
  </si>
  <si>
    <t>CAMBIOS: EZEQUIEL BALESTRA POR MATIAS TRAYNOR</t>
  </si>
  <si>
    <t xml:space="preserve">                 NICOLAS COMPANYS POR AGUSTIN TRAYNOR</t>
  </si>
  <si>
    <t xml:space="preserve">                 EMILIANO MANRIQUEZ POR NICOLAS MARZIALI</t>
  </si>
  <si>
    <t xml:space="preserve">                 SANTIAGO DOMINGUEZ POR MARIANO LIVACHOFF</t>
  </si>
  <si>
    <t>FECHA: 22/09/2018</t>
  </si>
  <si>
    <t>ST BRENDAN´S</t>
  </si>
  <si>
    <t>IGNACIO TORTORELLA  ©</t>
  </si>
  <si>
    <t xml:space="preserve">                 NICOLAS COMPANYS POR MARIANO CETTOUR</t>
  </si>
  <si>
    <t xml:space="preserve">                 JUAN PABLO BIANCHI POR PABLO FERREIRA</t>
  </si>
  <si>
    <t xml:space="preserve">                 AUGUSTO GALLOTTI POR FRANCISCO COMABELLA</t>
  </si>
  <si>
    <t>FECHA: 7/10/2018</t>
  </si>
  <si>
    <t>CAMBIOS: JUAN PABLO BIANCHI POR MATIAS TRAYNOR</t>
  </si>
  <si>
    <t xml:space="preserve">                 PABLO FEREIRA POR EZEQUIEL BALESTRA</t>
  </si>
  <si>
    <t>FECHA: 14/10/2018</t>
  </si>
  <si>
    <t xml:space="preserve">                 OCTAVIO TALLARICO POR AUGUSTO GALLOTTI</t>
  </si>
  <si>
    <t xml:space="preserve">                 NICOLAS ALTAMIRANO POR JOSE GRUBER</t>
  </si>
  <si>
    <t xml:space="preserve">                 NICOLAS MARZIALI POR SANTIAGO DOMINGUEZ</t>
  </si>
  <si>
    <t>FECHA: 21/10/2018</t>
  </si>
  <si>
    <t>NICOLAS MARZIALI  ©</t>
  </si>
  <si>
    <t>CAMBIOS: RODRIGO GOMEZ POR MATIAS TRAYNOR</t>
  </si>
  <si>
    <t xml:space="preserve">                 JUAN PABLO BIANCHI POR EZEQUIEL BALESTRA</t>
  </si>
  <si>
    <t xml:space="preserve">                 JORGE BENITEZ POR PABLO FERREIRA</t>
  </si>
  <si>
    <t xml:space="preserve">                 EMILIANO MANRIQUEZ POR FRANCISCO OCCHIUZZI</t>
  </si>
  <si>
    <t>FECHA: 28/10/2018</t>
  </si>
  <si>
    <t>CAMBIOS: MAXIMILIANO SOLIVELLAS POR AGUSTIN MARZIALI</t>
  </si>
  <si>
    <t xml:space="preserve">                 PABLO FERREIRA POR MATIAS TRAYNOR</t>
  </si>
  <si>
    <t xml:space="preserve">                 EZEQUIEL BALESTRA POR RODRIGO GOMEZ</t>
  </si>
  <si>
    <t xml:space="preserve">                 JORGE BENITEZ POR JUAN PABLO BIANCHI</t>
  </si>
  <si>
    <t xml:space="preserve">                 JUAN MATIAS TRAYNOR POR MARIANO LIVACHOFF</t>
  </si>
  <si>
    <t xml:space="preserve">                 NICOLAS COMPANYS POR EMILIANO MANRIQUEZ</t>
  </si>
  <si>
    <t xml:space="preserve">                 IVAN CARMONA POR OCTAVIO TALLARICO</t>
  </si>
  <si>
    <t>FECHA: 3/11/2018</t>
  </si>
  <si>
    <t>CAMBIOS: JORGE BENITEZ POR MATIAS TRAYNOR</t>
  </si>
  <si>
    <t xml:space="preserve">                 EZEQUIEL BALESTRA POR JUAN PABLO BIANCHI</t>
  </si>
  <si>
    <t xml:space="preserve">                 RODRIGO GOMEZ POR PABLO FERREIRA</t>
  </si>
  <si>
    <t xml:space="preserve">                 MATIAS ALTAMIRANO POR JUAN PEDRO OCCHIUZZI</t>
  </si>
  <si>
    <t>FECHA: 10/11/2018</t>
  </si>
  <si>
    <t>CAMBIOS: OCTAVIO TALLARICO POR AUGUSTO GALLOTTI</t>
  </si>
  <si>
    <t>FECHA: 23/03/2019</t>
  </si>
  <si>
    <t>CAMBIOS: PABLO FERREIRA POR JORGE BENITEZ</t>
  </si>
  <si>
    <t xml:space="preserve">                 SANTIAGO DIAZ POR JOSE GRUBER</t>
  </si>
  <si>
    <t xml:space="preserve">                 FRANCO RODRIGUEZ POR SEBASTIAN GAUNA</t>
  </si>
  <si>
    <t xml:space="preserve">                 JUAN PABLO BIANCHI POR IVAN CARMONA</t>
  </si>
  <si>
    <t xml:space="preserve">                 GUIDO LIVACHOFF POR AGUSTIN TRAYNOR</t>
  </si>
  <si>
    <t xml:space="preserve">                 TOBIAS LUCERO POR FRANCO CORSI</t>
  </si>
  <si>
    <t>FECHA: 30/03/2019</t>
  </si>
  <si>
    <t xml:space="preserve">                 TOBIAS LUCERO POR JOSE GRUBER</t>
  </si>
  <si>
    <t xml:space="preserve">                 FRANCO CICHERO POR FRANCISCO COMABELLA</t>
  </si>
  <si>
    <t xml:space="preserve">                 SANTIAGO TRAYNOR POR NICOLAS MARZIALI</t>
  </si>
  <si>
    <t xml:space="preserve">                 JUAN PABLO BIANCHI POR RODRIGO ESMAYEL</t>
  </si>
  <si>
    <t>FECHA: 6/04/2019</t>
  </si>
  <si>
    <t>CAMBIOS: PABLO FERREIRA POR RODRIGO ESMAYEL</t>
  </si>
  <si>
    <t xml:space="preserve">                 FRANCO CICHERO POR IVAN CARMONA</t>
  </si>
  <si>
    <t>FECHA: 13/04/2018</t>
  </si>
  <si>
    <t>CAMBIOS: SANTIAGO TRAYNOR POR NICOLAS MARZIALI</t>
  </si>
  <si>
    <t xml:space="preserve">                 HUGO PEDEMONTE POR JUAN PABLO BIANCHI</t>
  </si>
  <si>
    <t xml:space="preserve">                 MATIAS TRAYNOR POR IVAN CARMONA</t>
  </si>
  <si>
    <t xml:space="preserve">                 JORGE BENITEZ POR FRANCO RODRIGUEZ</t>
  </si>
  <si>
    <t>FECHA: 27/04/2019</t>
  </si>
  <si>
    <t>AT:Y PROGRESO</t>
  </si>
  <si>
    <t>CHIARLO ( reemplaza a ACHAVAL)</t>
  </si>
  <si>
    <t xml:space="preserve">                 HUGO PEDEMONTE POR FRANCO RODRIGUEZ</t>
  </si>
  <si>
    <t xml:space="preserve">                 MATIAS TRAYNOR POR JUAN P.BIANCHI</t>
  </si>
  <si>
    <t xml:space="preserve">                 JORGE BENITEZ POR IVAN CARMONA</t>
  </si>
  <si>
    <t xml:space="preserve">                 OCTAVIO TALLARICO POR RODRIGO ESMAYEL</t>
  </si>
  <si>
    <t xml:space="preserve">                 FEDERICO PITTALA POR MARIANO LIVACHOFF</t>
  </si>
  <si>
    <t>FECHA: 4/05/2019</t>
  </si>
  <si>
    <t>GONZALO GREGORIO ©</t>
  </si>
  <si>
    <t xml:space="preserve">                 MATIAS TRAYNOR POR FRANCO RODRIGUEZ</t>
  </si>
  <si>
    <t>FECHA: 11/05/2019</t>
  </si>
  <si>
    <t>CAMBIOS: RODRIGO GOMEZ POR HUGO PEDEMONTE</t>
  </si>
  <si>
    <t xml:space="preserve">                 OCTAVIO TALLARICO POR FRANCO CICHERO</t>
  </si>
  <si>
    <t xml:space="preserve">                 IGNACIO TORTORELLA POR JOSE GRUBER</t>
  </si>
  <si>
    <t xml:space="preserve">                 AGUSTIN TRAYNOR POR FEDERICO PITTALA</t>
  </si>
  <si>
    <t>FECHA: 25/05/2018</t>
  </si>
  <si>
    <t xml:space="preserve">                 OCTAVIO TALLARICO POR JOSE GRUBER</t>
  </si>
  <si>
    <t xml:space="preserve">                 NICOLAS COMPANYS POR GONZALO GREGORIO</t>
  </si>
  <si>
    <t>FECHA: 1/06/2019</t>
  </si>
  <si>
    <t>CAMBIOS: EZEQUIEL BALESTRA POR JUAN PABLO BIANCHI</t>
  </si>
  <si>
    <t xml:space="preserve">                 OCTAVIO TALLARICO POR RODRIGO RIOS</t>
  </si>
  <si>
    <t xml:space="preserve">                 FRANCO RODRIGUEZ POR RODRIGO GOMEZ</t>
  </si>
  <si>
    <t>FECHA: 8/06/2019</t>
  </si>
  <si>
    <t>CAMBIOS: IGNACIO TORRES CIUTAT POR FEDERICO PITTALA</t>
  </si>
  <si>
    <t xml:space="preserve">                 JUAN MATIAS TRAYNOR POR IGNACIO TORRES CIUTAT</t>
  </si>
  <si>
    <t>FECHA: 20/06/2019</t>
  </si>
  <si>
    <t>CAMBIOS: FRANCO RODRIGUEZ POR IVAN CARMONA</t>
  </si>
  <si>
    <t xml:space="preserve">                 AGUSTIN DOMINGUEZ POR RODRIGO RIOS</t>
  </si>
  <si>
    <t>FECHA: 27/06/2019</t>
  </si>
  <si>
    <t xml:space="preserve">                 OCTAVIO TALLARICO POR IGNACIO TORTORELLA</t>
  </si>
  <si>
    <t xml:space="preserve">                 MAURO CHIRINO POR FEDERICO PITTALA</t>
  </si>
  <si>
    <t>FECHA: 6/07/2019</t>
  </si>
  <si>
    <t>CAMBIOS: IVAN IBAÑEZ POR JUAN PEDRO OCCHIUZZI</t>
  </si>
  <si>
    <t xml:space="preserve">                 FRANCO CICHERO POR FRANCO RODRIGUEZ</t>
  </si>
  <si>
    <t>FECHA: 13/07/2019</t>
  </si>
  <si>
    <t>CAMBIOS: FRANCO RODRIGUEZ POR RODRIGO GOMEZ</t>
  </si>
  <si>
    <t xml:space="preserve">                 MAURO CHIRINO POR GONZALO GREGORIO</t>
  </si>
  <si>
    <t xml:space="preserve">                 EZEQUIEL BALESTRA POR MATIAS TRAYNOR</t>
  </si>
  <si>
    <t xml:space="preserve">                 FRANCO CICHERO POR OCTAVIO TALLARICO</t>
  </si>
  <si>
    <t xml:space="preserve">                 FRANCO POPICA POR FRANCISCO COMABELLA</t>
  </si>
  <si>
    <t>FECHA: 27/07/2019</t>
  </si>
  <si>
    <t xml:space="preserve">GONZALO GREGORIO </t>
  </si>
  <si>
    <t>FECHA: 3/08/2019</t>
  </si>
  <si>
    <t xml:space="preserve">                 MARIANO LIVACHOFF POR SANTIAGO TRAYNOR</t>
  </si>
  <si>
    <t>FECHA: 10/08/2019</t>
  </si>
  <si>
    <t>CAMBIOS: MATIAS TRAYNOR POR FRANCO RODRIGUEZ</t>
  </si>
  <si>
    <t xml:space="preserve">                 FRANCO RODRIGUEZ POR PABLO FERREIRA</t>
  </si>
  <si>
    <t xml:space="preserve">                 MARIANO LIVACHOFF POR NICOLAS MARZIALI</t>
  </si>
  <si>
    <t>FECHA: 24/08/2019</t>
  </si>
  <si>
    <t xml:space="preserve">                 PABLO FERREIRA POR FRANCO RODRIGUEZ</t>
  </si>
  <si>
    <t>FECHA: 31/08/2019</t>
  </si>
  <si>
    <t>ST.BRENDAN'S</t>
  </si>
  <si>
    <t>CAMBIOS: PABLO FERREIRA POR MATIAS TRAYNOR</t>
  </si>
  <si>
    <t xml:space="preserve">                 RODRIGO ESMAYEL POR RODRIGO RIOS</t>
  </si>
  <si>
    <t xml:space="preserve">                 FEDERICO PITTALA POR SANTIAGO TRAYNOR</t>
  </si>
  <si>
    <t xml:space="preserve">                 JUAN IGNACIO VAZQUEZ POR AGUSTIN DOMINGUEZ</t>
  </si>
  <si>
    <t>FECHA: 7/09/2019</t>
  </si>
  <si>
    <t xml:space="preserve">                 RODRIGO RIOS POR OCTAVIO TALLARICO</t>
  </si>
  <si>
    <t xml:space="preserve">                 SANTIAGO DIAZ POR FRANCISCO COMABELLA</t>
  </si>
  <si>
    <t xml:space="preserve">                 MAURO CHIRINO POR RAMIRO OCCHIUZZI</t>
  </si>
  <si>
    <t>FECHA: 14/9/2019</t>
  </si>
  <si>
    <t>KURYLOWICZ</t>
  </si>
  <si>
    <t>FECHA: 21/09/2019</t>
  </si>
  <si>
    <t>CAMBIOS: PABLO FERREIRA POR EZEQUIEL BALESTRA</t>
  </si>
  <si>
    <t xml:space="preserve">                 JUAN IGNACIO VAZQUEZ POR RODRIGO RIOS</t>
  </si>
  <si>
    <t>FECHA: 14/10/2019</t>
  </si>
  <si>
    <t>MARIAN CETTOUR</t>
  </si>
  <si>
    <t>FECHA: 19/10/2019</t>
  </si>
  <si>
    <t>GONZALO GREGORIO  ©</t>
  </si>
  <si>
    <t>CAMBIOS: PABLO FERREIRA POR RODRIGO GOMEZ</t>
  </si>
  <si>
    <t xml:space="preserve">                 FRANCISCO COMABELLA POR RODRIGO ESMAYEL</t>
  </si>
  <si>
    <t xml:space="preserve">                 FRANCO RODRIGUEZ POR MATIAS TRAYNOR</t>
  </si>
  <si>
    <t>FECHA: 26/10/2019</t>
  </si>
  <si>
    <t>MARIANO CETTOUR  ©</t>
  </si>
  <si>
    <t xml:space="preserve">                 HUGO PEDEMONTE POR EZEQUIEL BALESTRA</t>
  </si>
  <si>
    <t xml:space="preserve">                 MARIANO LIVACHOFF POR GONZALO GREGORIO</t>
  </si>
  <si>
    <t xml:space="preserve">                 RODRIGO ESMAYEL POR TOBIAS LUCERO</t>
  </si>
  <si>
    <t xml:space="preserve">                 FRANCO CICHERO POR RODRIGO RIOS</t>
  </si>
  <si>
    <t xml:space="preserve">                 FEDERICO PITTALA POR MARIANO CETTOUR</t>
  </si>
  <si>
    <t>VILLALBOS</t>
  </si>
  <si>
    <t>CAMBIOS: FRANCISCO COMABELLA POR JOSE GRUBER</t>
  </si>
  <si>
    <t xml:space="preserve">                 AGUSTIN TRAYNOR POR MAURO CHIRINO</t>
  </si>
  <si>
    <t>MATIAS HERNANDO</t>
  </si>
  <si>
    <t>WALTER PRETZ</t>
  </si>
  <si>
    <t xml:space="preserve">ANDRES BIRELLO </t>
  </si>
  <si>
    <t>LUCAS MORON</t>
  </si>
  <si>
    <t>CHRISTIAN PAREDES</t>
  </si>
  <si>
    <t>JUAN I. GONZALEZ</t>
  </si>
  <si>
    <t>JUAN M.GARGANO</t>
  </si>
  <si>
    <t xml:space="preserve">GONZALO MARTINEZ </t>
  </si>
  <si>
    <t>TOTAL TITULAR + SUPLENTE</t>
  </si>
  <si>
    <t>IVAN IBÁÑEZ</t>
  </si>
  <si>
    <t>LAUTARO ALCARAZ</t>
  </si>
  <si>
    <t>JUAN I. VÁZQUEZ</t>
  </si>
  <si>
    <t>JUAN I.VAZQUEZ</t>
  </si>
  <si>
    <t>ESTEBAN GONZALEZ</t>
  </si>
  <si>
    <t>FERNANDO POCIELLO ARGERICH</t>
  </si>
  <si>
    <t>FEDERICO MARTINEZ</t>
  </si>
  <si>
    <t>VICENTINO N°</t>
  </si>
  <si>
    <t>SUPLENTES</t>
  </si>
  <si>
    <t>JUAN I.GONZALEZ</t>
  </si>
  <si>
    <t>GONZALO MARTÍNEZ</t>
  </si>
  <si>
    <t>IGNACIO TORTORELLA POR FRANCO CICHERO</t>
  </si>
  <si>
    <t>ATLÉTICO Y PROGRESO</t>
  </si>
  <si>
    <t>JOAQUIN TRAYNOR POR HUGO PEDEMONTE</t>
  </si>
  <si>
    <t>FEDERICO MARTINEZ POR RODRIGO ESMAYEL</t>
  </si>
  <si>
    <t>FRANCO CICHERO POR TOBIAS LUCERO</t>
  </si>
  <si>
    <t>MATIAS TRAYNOR POR RODRIGO GOMEZ</t>
  </si>
  <si>
    <t>MAURO CHIRINO POR MANUEL ALTAMIRANO</t>
  </si>
  <si>
    <t>JOAQUIN TRAYNOR</t>
  </si>
  <si>
    <t>AÑO</t>
  </si>
  <si>
    <t>RIVAL</t>
  </si>
  <si>
    <t>L/V</t>
  </si>
  <si>
    <t>SCORE</t>
  </si>
  <si>
    <t>L</t>
  </si>
  <si>
    <t>21-28</t>
  </si>
  <si>
    <t>COACH</t>
  </si>
  <si>
    <t>ZICARELLI TREJO</t>
  </si>
  <si>
    <t>19-17</t>
  </si>
  <si>
    <t>33-36</t>
  </si>
  <si>
    <t>ALTAMIRANO DULCE</t>
  </si>
  <si>
    <t>48-17</t>
  </si>
  <si>
    <t>V</t>
  </si>
  <si>
    <t>52-31</t>
  </si>
  <si>
    <t>A FAVOR</t>
  </si>
  <si>
    <t>EN CONTRA</t>
  </si>
  <si>
    <t>MONTE</t>
  </si>
  <si>
    <t>CENTRO</t>
  </si>
  <si>
    <t>LICEO</t>
  </si>
  <si>
    <t>PROGRESO</t>
  </si>
  <si>
    <t>OLDG</t>
  </si>
  <si>
    <t>TRIES AF</t>
  </si>
  <si>
    <t>TRIES EC</t>
  </si>
  <si>
    <t>PROM.</t>
  </si>
  <si>
    <t>JUAN IGNACIO VÁZQUEZ X TOBIAS LUCERO</t>
  </si>
  <si>
    <t>NICOLAS ALTAMIRANO POR RODRIGO ESMAYEL</t>
  </si>
  <si>
    <t>NICOLAS MARZIALI POR IGNACIO TORRES CIUTAT</t>
  </si>
  <si>
    <t>SÁNCHEZ</t>
  </si>
  <si>
    <t>NICOLÁS ALTAMIRANO POR OCTAVIO TALLARICO</t>
  </si>
  <si>
    <t>JUAN IGNACIO VÁZQUEZ X IGNACIO TORTORELLA</t>
  </si>
  <si>
    <t>MATIAS TRAYNOR POR RODRIGO GÓMEZ</t>
  </si>
  <si>
    <t>MARIANO CETTOUR POR AGUSTÍN TRAYNOR</t>
  </si>
  <si>
    <t>CHRISTIAN MONZON POR MAURO CHIRINO</t>
  </si>
  <si>
    <t>NICOLÁS MARZIALI POR IGNACIO TORRES CIUTAT</t>
  </si>
  <si>
    <t>MATÍAS AGUERRONDO</t>
  </si>
  <si>
    <t>TOBÍAS LUCERO</t>
  </si>
  <si>
    <t>CHRISTIAN MONZÓN</t>
  </si>
  <si>
    <t>PAC GRAL.RODRÍGUEZ</t>
  </si>
  <si>
    <t>RIVADAVIA DE LOBOS</t>
  </si>
  <si>
    <t>SAN JOSË</t>
  </si>
  <si>
    <t>ZÁRATE</t>
  </si>
  <si>
    <t>VICENTE LÓPEZ</t>
  </si>
  <si>
    <t>LANÚS</t>
  </si>
  <si>
    <t>RODRÍGUEZ F.</t>
  </si>
  <si>
    <t>MATÍAS TRAYNOR</t>
  </si>
  <si>
    <t>RODRIGO RÍOS</t>
  </si>
  <si>
    <t>JUAN IGNACIO VÁZQUEZ</t>
  </si>
  <si>
    <t>PABLO FERREIRA POR MATÍAS TRAYNOR</t>
  </si>
  <si>
    <t>AGUSTÍN TRAYNOR POR MARIANO CETTOUR</t>
  </si>
  <si>
    <t>TOBÍAS LUCERO POR JUAN IGNACIO VÁZQUEZ</t>
  </si>
  <si>
    <t>MAURO CHIRINO POR RAMIRO OCCHIUZZI</t>
  </si>
  <si>
    <t>JUAN MATÍAS TRAYNOR</t>
  </si>
  <si>
    <t>JOAQUÍN TRAYNOR</t>
  </si>
  <si>
    <t>BANCO NACIÓN</t>
  </si>
  <si>
    <t>PUEYRREDÓN</t>
  </si>
  <si>
    <t>SAN ANDRÉS</t>
  </si>
  <si>
    <t xml:space="preserve">CHASCOMÚS </t>
  </si>
  <si>
    <t>AT.ROSARIO</t>
  </si>
  <si>
    <t>Benvenuti</t>
  </si>
  <si>
    <t>Piotrowsky</t>
  </si>
  <si>
    <t>Romero de Haz</t>
  </si>
  <si>
    <t>Fernández</t>
  </si>
  <si>
    <t>Sánchez</t>
  </si>
  <si>
    <t>Rodríguez</t>
  </si>
  <si>
    <t>Santillán</t>
  </si>
  <si>
    <t>Damario</t>
  </si>
  <si>
    <t>Ruibal</t>
  </si>
  <si>
    <t>Baeck</t>
  </si>
  <si>
    <t>Villalobos</t>
  </si>
  <si>
    <t>SOLDA</t>
  </si>
  <si>
    <t>HUGO PEDEMONTE POR EZEQUIEL BALESTRA</t>
  </si>
  <si>
    <t>NICOLÁS ALTAMIRANO POR TOBIAS LUCERO</t>
  </si>
  <si>
    <t>EZEQUIEL ARIAS POR MATIAS TRAYNOR</t>
  </si>
  <si>
    <t>IGNACIO TORTORELLA POR OCTAVIO TALLARICO</t>
  </si>
  <si>
    <t>JUAN IGNACIO VÁZQUEZ POR FRANCISCO COMABELLA</t>
  </si>
  <si>
    <t>PUCARÁ</t>
  </si>
  <si>
    <t>1ras LINEAS</t>
  </si>
  <si>
    <t>2das LINEAS</t>
  </si>
  <si>
    <t>3ras LINEAS</t>
  </si>
  <si>
    <t>MEDIOS</t>
  </si>
  <si>
    <t>CENTROS</t>
  </si>
  <si>
    <t>WING/FULLBACK</t>
  </si>
  <si>
    <t>CLASIFICACION TRIES</t>
  </si>
  <si>
    <r>
      <t xml:space="preserve">20/11/2021 </t>
    </r>
    <r>
      <rPr>
        <b/>
        <sz val="10"/>
        <rFont val="Arial"/>
        <family val="2"/>
      </rPr>
      <t>SEMIFINAL</t>
    </r>
  </si>
  <si>
    <t>27/11/2021 FINAL - VICENTINOS CAMPEÓN</t>
  </si>
  <si>
    <t>CORTÉS</t>
  </si>
  <si>
    <t>FEDERICO MARTINEZ POR MATÍAS TRAYNOR</t>
  </si>
  <si>
    <t>JUAN IGNACIO VÁZQUEZ POR TOBÍAS LUCERO</t>
  </si>
  <si>
    <t>AT.SAN ANDRÉS</t>
  </si>
  <si>
    <t>NICOLÁS MARZIALI</t>
  </si>
  <si>
    <t>TOMÁS BIANCHI</t>
  </si>
  <si>
    <t>FRANCO RODRÍGUEZ POR JOAQUÍN TRAYNOR</t>
  </si>
  <si>
    <t>JUAN PEDRO OCCHIUZZI POR MAURO CHIRINO</t>
  </si>
  <si>
    <t>SAN MARTÍN</t>
  </si>
  <si>
    <t>TOMAS BIANCHI</t>
  </si>
  <si>
    <t>REGATAS</t>
  </si>
  <si>
    <t>CHASCOMÚS</t>
  </si>
  <si>
    <t>FRANCO RODRÍGUEZ</t>
  </si>
  <si>
    <t>MARIANO LIVACHOFF ©</t>
  </si>
  <si>
    <t>TOBÍAS LUCERO POR IGNACIO TORTORELLA</t>
  </si>
  <si>
    <t>JUAN PEDRO OCCHIUZZI POR TOMÁS BIANCHI</t>
  </si>
  <si>
    <t>anexo</t>
  </si>
  <si>
    <t>SANTILLÁN</t>
  </si>
  <si>
    <t>JOAQUÍN TRAYNOR POR MATÍAS TRAYNOR</t>
  </si>
  <si>
    <t>MARIANO LIVACHOFF POR RODRIGO ESMAYEL</t>
  </si>
  <si>
    <t>AGUSTÍN TRAYNOR POT MATIANO CETTOUR</t>
  </si>
  <si>
    <t>AGUSTÍN MARZIALI POR JUAN PEDRO OCCHIUZZI</t>
  </si>
  <si>
    <t>TOMÁS BIANCHI POR NICOLÁS MARZIALI</t>
  </si>
  <si>
    <t>JORGE BENÍTEZ POR RODRIGO GÓMEZ</t>
  </si>
  <si>
    <t>EZEQUIEL BALESTRA POR NICOLÁS ALTAMIRANO</t>
  </si>
  <si>
    <t>CORVALÁN</t>
  </si>
  <si>
    <t>JORGE BENÍTEZ</t>
  </si>
  <si>
    <t>NICOLÁS ALTAMIRANO</t>
  </si>
  <si>
    <t>AGUSTÍN MARZIALI</t>
  </si>
  <si>
    <t>EZEQUIEL BALESTRA POR JORGE BENÍTEZ</t>
  </si>
  <si>
    <t>JUAN MATÍAS TRAYNOR POR MAURO CHIRINO</t>
  </si>
  <si>
    <t>CHRISTIAN MONZÓN POR AGUSTÍN MARZIALI</t>
  </si>
  <si>
    <t>CORVALÁN J.</t>
  </si>
  <si>
    <t xml:space="preserve">CUBA </t>
  </si>
  <si>
    <t>SOLÍS</t>
  </si>
  <si>
    <t>NICOLÁS ALTAMIRANO POR RODRIGO RÍOS</t>
  </si>
  <si>
    <t>JORGE BENÍTEZ POR EZEQUIEL BALESTRA</t>
  </si>
  <si>
    <t>FRANCO RODRÍGUEZ POR RODRIGO GÓMEZ</t>
  </si>
  <si>
    <t>EZEQUIEL ARIAS POR JOAQUÍN TRAYNOR</t>
  </si>
  <si>
    <t>SANTIAGO TRAYNOR POR NICOLÁS MARZIALI</t>
  </si>
  <si>
    <t>TOBÍAS LUCERO POR MARIANO LIVACHOFF</t>
  </si>
  <si>
    <t>FRANCISCO OCCHIUZZI POR JUAN PEDRO OCCHIUZZI</t>
  </si>
  <si>
    <t>BRECCIAROLI</t>
  </si>
  <si>
    <t>EZEQUIEL ARIAS POR RODRIGO GÓMEZ</t>
  </si>
  <si>
    <t>EZEQUIEL BALESTRA POR JOAQUIN TRAYNOR</t>
  </si>
  <si>
    <t>TOBIAS LUCERO POR RODRIGO ESMAYEL</t>
  </si>
  <si>
    <t>OCTAVIO TALLARICO POR NICOLÁS ALTAMIRANO</t>
  </si>
  <si>
    <t>JORGE BENÍTEZ POR FRANCO RODRÍGUEZ</t>
  </si>
  <si>
    <t>JUAN PEDRO OCCHIUZZI POR JUAN MATÍAS TRAYNOR</t>
  </si>
  <si>
    <t>RAMIRO OCCHIUZZI POR CHRISTIAN MONZÓN</t>
  </si>
  <si>
    <t>JOAQUÍN TRAYNOR POR EZEQUIEL BALESTRA</t>
  </si>
  <si>
    <t>RODRIGO ESMAYEL POR TOBÍAS LUCERO</t>
  </si>
  <si>
    <t>SANTIAGO TRAYNOR ©</t>
  </si>
  <si>
    <t>MARIANO LIVACHOFF POR TOBÍAS LUCERO</t>
  </si>
  <si>
    <t xml:space="preserve">VICENTINOS </t>
  </si>
  <si>
    <t>NICOLÁS MATALLANA POR FRANCO RODRÍGUEZ</t>
  </si>
  <si>
    <t>RODRIGO RÍOS POR OCTAVIO TALLARICO</t>
  </si>
  <si>
    <t>CHRISTIAN MONZÓN POR SANTIAGO TRAYNOR</t>
  </si>
  <si>
    <t>LUCAS MORÓN POR RODRIGO GÓMEZ</t>
  </si>
  <si>
    <t>NICOLÁS MATALLANA</t>
  </si>
  <si>
    <t>NICOLAS HARINGA</t>
  </si>
  <si>
    <t>RODRIGO CABRAL</t>
  </si>
  <si>
    <t>SEBASTIÁN SANABRIA</t>
  </si>
  <si>
    <t>LEANDRO GAUTO</t>
  </si>
  <si>
    <t>AUGUSTO STAGNARO</t>
  </si>
  <si>
    <t>JUAN VATANO</t>
  </si>
  <si>
    <t>RODRIGO ATTANASIO</t>
  </si>
  <si>
    <t>JUAN ROVERANO</t>
  </si>
  <si>
    <t>LEANDRO CASADO</t>
  </si>
  <si>
    <t>MAURO DRUVENTI</t>
  </si>
  <si>
    <t>KEVIN FORMIA</t>
  </si>
  <si>
    <t>THOMAS SHOCRON</t>
  </si>
  <si>
    <t>GUIDO PAGLIA</t>
  </si>
  <si>
    <t>RAMIRO DICKSON</t>
  </si>
  <si>
    <t>CUQ-VICENTINOS</t>
  </si>
  <si>
    <t>RETIRO-CUQ</t>
  </si>
  <si>
    <t>NICOLAS CABRAL</t>
  </si>
  <si>
    <t>TOMAS CELORIA</t>
  </si>
  <si>
    <t>JUAN SERPICO</t>
  </si>
  <si>
    <t>SEBASTIAN SANABRIA</t>
  </si>
  <si>
    <t>AGUSTIN NETTO</t>
  </si>
  <si>
    <t>MATEO RODRIGUEZ</t>
  </si>
  <si>
    <t>IGNACIO MITITIERI</t>
  </si>
  <si>
    <t>LUCIANO BARDINI</t>
  </si>
  <si>
    <t>BAUTISTA VALENTE</t>
  </si>
  <si>
    <t>TOMAS ASTORGA</t>
  </si>
  <si>
    <t>MATÍAS AGUERRONDO POR MARIANO LIVACHOFF</t>
  </si>
  <si>
    <t>TOMÁS BIANCHI POR MARIANO CETTOUR</t>
  </si>
  <si>
    <t>AGUSTÍN TRAYNOR POR SANTIAGO TRAYNOR</t>
  </si>
  <si>
    <t>AGUSTÍN TRAYNOR</t>
  </si>
  <si>
    <t>TOMÁS BIANCHI POR IGNACIO TORRES CIUTAT</t>
  </si>
  <si>
    <t>MATÍAS AGUERRONDO POR RODRIGO RÍOS</t>
  </si>
  <si>
    <t>TOBÍAS LUCERO POR RODRIGO ESMAYEL</t>
  </si>
  <si>
    <t>IGNACIO TORRES CIUTAT POR TOMÁS BIANCHI</t>
  </si>
  <si>
    <t>NICOLÁS LOZANO</t>
  </si>
  <si>
    <t>JUAN MATÍAS TRAYNOR POR SANTIAGO TRAYNOR</t>
  </si>
  <si>
    <t>JUAN MATÍAS TRAYNOR POR TOMÁS BIANCHI</t>
  </si>
  <si>
    <t>GONZALO GREGORIO POR NICOLÁS LOZANO</t>
  </si>
  <si>
    <t>SOLIS</t>
  </si>
  <si>
    <t>ANDRÉS BUSTAMANTE</t>
  </si>
  <si>
    <t>IGNACIO TORRES CIUTAT POR SANTIAGO TRAYNOR</t>
  </si>
  <si>
    <t>TOMÁS BIANCHI POR RAMIRO OCCHIUZZI</t>
  </si>
  <si>
    <t>RODRIGO RÍOS POR NICOLÁS ALTAMIRANO</t>
  </si>
  <si>
    <t>VICENTINOS 1ra.RUEDA</t>
  </si>
  <si>
    <t>VICENTINOS 2da.RUEDA</t>
  </si>
  <si>
    <t>KEXEL</t>
  </si>
  <si>
    <t>BEMBHY</t>
  </si>
  <si>
    <t>FORMOSO</t>
  </si>
  <si>
    <t>BENEDITT</t>
  </si>
  <si>
    <t>CRESCENCIO</t>
  </si>
  <si>
    <t>FILIPPINI</t>
  </si>
  <si>
    <t>MENDIZABAL</t>
  </si>
  <si>
    <t>GIEBERT</t>
  </si>
  <si>
    <t>BODINO</t>
  </si>
  <si>
    <t>GIRASSOLI</t>
  </si>
  <si>
    <t>PERDONCIN</t>
  </si>
  <si>
    <t>FENOGLIO</t>
  </si>
  <si>
    <t>MC DONALD</t>
  </si>
  <si>
    <t>CONFALONIERI</t>
  </si>
  <si>
    <t>HOGG</t>
  </si>
  <si>
    <t>CORAZZA</t>
  </si>
  <si>
    <t>MASSUN</t>
  </si>
  <si>
    <t>CHAUL</t>
  </si>
  <si>
    <t>MASIC</t>
  </si>
  <si>
    <t xml:space="preserve">SOCORRO </t>
  </si>
  <si>
    <t>MURDOCH</t>
  </si>
  <si>
    <t>KELLER</t>
  </si>
  <si>
    <t>ROMANO</t>
  </si>
  <si>
    <t>PEREYRA IRAOLA</t>
  </si>
  <si>
    <t>GOMEZ COFREL</t>
  </si>
  <si>
    <t>TOMAS</t>
  </si>
  <si>
    <t>WERTHEIN</t>
  </si>
  <si>
    <t>FIGUEROA</t>
  </si>
  <si>
    <t>IGNACIO TORRES CIUTAT POR RAMIRO OCCHIUZZI</t>
  </si>
  <si>
    <t>RODRIGO RÍOS POR FRANCISCO COMABELLA</t>
  </si>
  <si>
    <t>FRANCO RODRÍGUEZ POR EZEQUIEL BALESTRA</t>
  </si>
  <si>
    <t>NICOLÁS MATALLANA POR JORGE BENÍTEZ</t>
  </si>
  <si>
    <t>RODRIGO RÍOS POR IGNACIO TORTORELLA</t>
  </si>
  <si>
    <t>JOSÉ GRUBER POR FRANCISCO COMABELLA</t>
  </si>
  <si>
    <t>IGNACIO TORRES CIUTAT POR FRANCISCO OCCHIUZZI</t>
  </si>
  <si>
    <t>JOSÉ GRUBER</t>
  </si>
  <si>
    <t>MARIANO LIVACHOFF POR JOSÉ GRUBER</t>
  </si>
  <si>
    <t>VENTOSO</t>
  </si>
  <si>
    <t>RODRIGO GÓMEZ POR JORGE BENÍTEZ</t>
  </si>
  <si>
    <t>RODRIGO RÍOS POR RODRIGO ESMAYEL</t>
  </si>
  <si>
    <t>JOSÉ GRUBER POR TOBÏAS LUCERO</t>
  </si>
  <si>
    <t>EZEIZA SUSPENDIDO POR UN AÑO</t>
  </si>
  <si>
    <t>ESPINOSA</t>
  </si>
  <si>
    <t>REGATAS BELLA VISTA</t>
  </si>
  <si>
    <t>JOSÉ GRUBER POR RODRIGO RÍOS</t>
  </si>
  <si>
    <t>NICOLÁS MATALLANA POR RODRIGO GÓMEZ</t>
  </si>
  <si>
    <t>RAMIRO OCCHIUZZI POR MARIANO CETTOUR</t>
  </si>
  <si>
    <t>JUAN MATÍAS TRAYNOR POR JUAN PEDRO OCCHIUZZI</t>
  </si>
  <si>
    <t>TOMÁS BIANCHI POR GONZALO GREGORIO</t>
  </si>
  <si>
    <t>TOBÍAS LULCERO</t>
  </si>
  <si>
    <t>LUJÁN</t>
  </si>
  <si>
    <t>PAC.GRAL RODRÍGUEZ</t>
  </si>
  <si>
    <t>DIFERENCIA</t>
  </si>
  <si>
    <t>CICARELLLI</t>
  </si>
  <si>
    <t xml:space="preserve">SANTIAGO TRAYNOR </t>
  </si>
  <si>
    <t>TOBÍAS LUCERO POR RODRIGO RÍOS</t>
  </si>
  <si>
    <t>JOSÉ GRUBER POR RODRIGO ESMAYEL</t>
  </si>
  <si>
    <t>RAMIRO OCCHIUZZI POR ANDRÉS BUSTAMANTE</t>
  </si>
  <si>
    <t>HINDÚ</t>
  </si>
  <si>
    <t>RANKING</t>
  </si>
  <si>
    <t xml:space="preserve">SAN JOSÉ </t>
  </si>
  <si>
    <t>AT SAN ANDRËS</t>
  </si>
  <si>
    <t>SEVEN 2022</t>
  </si>
  <si>
    <t>FEDERICO MARTÍNEZ</t>
  </si>
  <si>
    <t>JUAN PABLO GAUTO</t>
  </si>
  <si>
    <t>IGNACIO TORRES CIUTAT POR NICOLÁS LOZANO</t>
  </si>
  <si>
    <t>SOCORRO</t>
  </si>
  <si>
    <t>JORGE BENÍTEZ POR JOAQUÍN TRAYNOR</t>
  </si>
  <si>
    <t>JUAN PEDRO OCCHIUZZI POR NICOLÁS LOZANO</t>
  </si>
  <si>
    <t>JUAN MARTÍN TURKOWSKY</t>
  </si>
  <si>
    <t>TOBÍAS LUCERO POR JUAN PABLO GAUTO</t>
  </si>
  <si>
    <t>GERÓNIMO RÍOS POR RODRIGO ESMAYEL</t>
  </si>
  <si>
    <t>JUAN MARTÍN TURKOWSKY POR RODRIGO RÍOS</t>
  </si>
  <si>
    <t>GERÓNIMO RÍOS</t>
  </si>
  <si>
    <t>BENVENUTTI</t>
  </si>
  <si>
    <t>PEDRO MONTENEGRO POR JUAN PABLO GAUTO</t>
  </si>
  <si>
    <t>AGUSTÍN TRAYNOR POR RAMIRO OCCHIUZZI</t>
  </si>
  <si>
    <t>NICOLÁS LOZANO POR TOMÁS BIANCHI</t>
  </si>
  <si>
    <t>PEDRO MONTENEGRO</t>
  </si>
  <si>
    <t>RANALLI</t>
  </si>
  <si>
    <t>PEDRO MONTENEGRO POR IGNACIO TORTORELLA</t>
  </si>
  <si>
    <t>FRANCO RODRÍGUEZ POR FEDERICO MARTÍNEZ</t>
  </si>
  <si>
    <t>IGARZÁBAL</t>
  </si>
  <si>
    <t>PEDRO MONTENEGRO POR GERÓNIMO RÍOS</t>
  </si>
  <si>
    <t>ENZO CORSI POR RAMIRO OCCHIUZZI</t>
  </si>
  <si>
    <t>MATÍAS COMPANYS POR AGUSTÍN TRAYNOR</t>
  </si>
  <si>
    <t>TOMÁS BIANCHI POR FRANCISCO OCCHIUZZI</t>
  </si>
  <si>
    <t>EZEQUIEL BALESTRA POR JOAQUÍN TRAYNOR</t>
  </si>
  <si>
    <t>MATÍAS COMPANYS</t>
  </si>
  <si>
    <t>ENZO CORSI</t>
  </si>
  <si>
    <t>TOBÍAS LUCERO POR GERÓNIMO RÍOS</t>
  </si>
  <si>
    <t>RODRIGO ESMAYEL POR PEDRO MONTENEGRO</t>
  </si>
  <si>
    <t>AROCENA</t>
  </si>
  <si>
    <t>SANTINO GEREZ</t>
  </si>
  <si>
    <t>C</t>
  </si>
  <si>
    <t>SANTINO GEREZ POR JUAN MATÍAS TRAYNOR</t>
  </si>
  <si>
    <t>JORGE BENÍTEZ POR FEDERICO MARTÍNEZ</t>
  </si>
  <si>
    <t>EZEQUIEL BALESTRA POR RODRIGO GÓMEZ</t>
  </si>
  <si>
    <t>ANDRÉS BUSTAMANTE POR GONZALO GREGORIO</t>
  </si>
  <si>
    <t>GERÓNIMO RÍOS POR PEDRO MONTENEGRO</t>
  </si>
  <si>
    <t>01</t>
  </si>
  <si>
    <t>00</t>
  </si>
  <si>
    <t>03</t>
  </si>
  <si>
    <t>97</t>
  </si>
  <si>
    <t>99</t>
  </si>
  <si>
    <t>95</t>
  </si>
  <si>
    <t>94</t>
  </si>
  <si>
    <t>04</t>
  </si>
  <si>
    <t>98</t>
  </si>
  <si>
    <t>ANDRÉS BUSTAMANTE POR ENZO CORSI</t>
  </si>
  <si>
    <t>NICOLÁS LOZANO POR JUAN MATÍAS TRAYNOR</t>
  </si>
  <si>
    <t>IGNACIO TORTORELLA POR TOBÍAS LUCERO</t>
  </si>
  <si>
    <t>MADRID</t>
  </si>
  <si>
    <t>IGNACIO TORTORELLA POR PEDRO MONTENEGRO</t>
  </si>
  <si>
    <t>RODRIGO ESMAYEL POR GERÓNIMO RÍOS</t>
  </si>
  <si>
    <t>F</t>
  </si>
  <si>
    <t>PROMEDIO</t>
  </si>
  <si>
    <t>VICENTNOS</t>
  </si>
  <si>
    <t>GONZALO GREGORIO POR ANDRÉS BUSTAMANTE</t>
  </si>
  <si>
    <t>MIGUEL ALMIRÓN POR JORGE BENÍTEZ</t>
  </si>
  <si>
    <t>MIGUEL ALMIRÓN</t>
  </si>
  <si>
    <t>GERÓNIMO RÍOS POR IGNACIO TORTORELLA</t>
  </si>
  <si>
    <t>FRANCO RODRÍGUEZ POR JORGE BENÍTEZ</t>
  </si>
  <si>
    <t>MIGUEL ALMIRÓN POR FRANCO RODRÍGUEZ</t>
  </si>
  <si>
    <t>RODRIGO ESMAYEL POR JUAN MARTÍN TURKOWSKY</t>
  </si>
  <si>
    <t>FEDERICO PITTALA POR JUAN PEDRO OCCHIUZZI</t>
  </si>
  <si>
    <t>MEDINA</t>
  </si>
  <si>
    <t>GONZALO GREGORIO POR JUAN MATÍAS TRAYNOR</t>
  </si>
  <si>
    <t>FEDERICO MARTÍNEZ POR RODRIGO GÓMEZ</t>
  </si>
  <si>
    <t>JUAN PABLO GAUTO POR TOBÍAS LUCERO</t>
  </si>
  <si>
    <t>MIGUEL ALMIRÓN POR FEDERICO MARTÍNEZ</t>
  </si>
  <si>
    <t>IGNACIO TORRES CIUTAT POR JUAN MATÍAS TRAYNOR</t>
  </si>
  <si>
    <t>GERÓNIMO RÍOS POR TOBÍAS LUCERO</t>
  </si>
  <si>
    <t>MIGUEL ALMIRÓN POR RODRIGO GÓMEZ</t>
  </si>
  <si>
    <t>PEDRO MONTENEGRO POR TOBÍAS LUCERO</t>
  </si>
  <si>
    <t>PEDRO MONTENEGRO POR JOSÉ GRUBER</t>
  </si>
  <si>
    <t>RODRIGO ESMAYEL POR JUAN PABLO GAUTO</t>
  </si>
  <si>
    <t>CURTI</t>
  </si>
  <si>
    <t>GONZALO GÓMEZ ARRÚA POR GONZALO GREGORIO</t>
  </si>
  <si>
    <t>JUAN PABLO GAUTO POR JOSÉ GRUBER</t>
  </si>
  <si>
    <t>GONZALO GÓMEZ ARRÚA</t>
  </si>
  <si>
    <t>FIGUEREDO</t>
  </si>
  <si>
    <t>ESTEBAN GONZÁLEZ POR FRANCISCO COMABELLA</t>
  </si>
  <si>
    <t>RODRIGO RÍOS POR JUAN MARTÍN TURKOWSKY</t>
  </si>
  <si>
    <t>SANTINO GEREZ POR JUAN PEDRO OCCHIUZZI</t>
  </si>
  <si>
    <t>SAN JOSÉ</t>
  </si>
  <si>
    <t>4/11/2023 SEMIFINAL</t>
  </si>
  <si>
    <t>JORGE BENÍTEZ POR RODRIGO GOMEZ</t>
  </si>
  <si>
    <t>SANTINO GEREZ POR ENZO CORSI</t>
  </si>
  <si>
    <t>PAC. GRAL. RODRÍGUEZ</t>
  </si>
  <si>
    <t>CIUDAD BS.AS.</t>
  </si>
  <si>
    <t>IAN MARTÍNEZ OLIVER</t>
  </si>
  <si>
    <t>MARIANO TRAYNOR</t>
  </si>
  <si>
    <t>FRANCISCO COMABELLA ©</t>
  </si>
  <si>
    <t>EZEQUIEL BALESTRA POR JOAQUÏN TRAYNOR</t>
  </si>
  <si>
    <t>MATÍAS TRAYNOR POR RODRIGO GÓMEZ</t>
  </si>
  <si>
    <t>ESTEBAN GONZÁLEZ POR RODRIGO RÍOS</t>
  </si>
  <si>
    <t>THOMAS TEVES POR IAN MARTÍNEZ OLIVER</t>
  </si>
  <si>
    <t>THOMAS TEVES</t>
  </si>
  <si>
    <t>TAUSCH</t>
  </si>
  <si>
    <t>DÍAZ</t>
  </si>
  <si>
    <t>9/3/2024 (FECHA 2 ADELANTADA)</t>
  </si>
  <si>
    <t>THOMAS TEVES POR AGUSTÍN TRAYNOR</t>
  </si>
  <si>
    <t>NICOLÁS CABRERA POR GERÓNIMO RÍOS</t>
  </si>
  <si>
    <t>NICOLÁS CABRERA</t>
  </si>
  <si>
    <t>DÍAZ A.</t>
  </si>
  <si>
    <t>VEGA</t>
  </si>
  <si>
    <t>FEDERICO PITTALA POR JUAN MATÍAS TRAYNOR</t>
  </si>
  <si>
    <t>GERÓNIMO RÍOS POR NICOLÁS CABRERA</t>
  </si>
  <si>
    <t>AGUSTÍN MARZIALI POR JUAN MATÍAS TRAYNOR</t>
  </si>
  <si>
    <t>PATRICIO TRAYNOR POR MARIANO TRAYNOR</t>
  </si>
  <si>
    <t>AGUSTÍN DOMÍNGUEZ POR GERÓNIMO RÍOS</t>
  </si>
  <si>
    <t>ESTEBAN GONZÄLEZ POR MARIANO LIVACHOFF</t>
  </si>
  <si>
    <t>FEDERICO MARTÍNEZ POR JORGE BENÍTEZ</t>
  </si>
  <si>
    <t>AGUSTÍN DOMÍNGUEZ POR MARIANO LIVACHOFF</t>
  </si>
  <si>
    <t>SANTIAGO QUAGLIATA POR AGUSTÍN TRAYNOR</t>
  </si>
  <si>
    <t>FEDERICO PITTALA POR PATRICIO TRAYNOR</t>
  </si>
  <si>
    <t>MARIANO TRAYNOR POR ENZO CORSI</t>
  </si>
  <si>
    <t>SANTIAGO QUAGLIATA</t>
  </si>
  <si>
    <t>THIAGO GÓMEZ POR JOAQUÏN TRAYNOR</t>
  </si>
  <si>
    <t>MARIANO TRAYNOR POR PATRICIO TRAYNOR</t>
  </si>
  <si>
    <t>RODRIGO ESMAYEL POR MARIANO LIVACHOFF</t>
  </si>
  <si>
    <t>RAMIRO OCCHIUZZI POR JUAN PEDRO OCCHIUZZI</t>
  </si>
  <si>
    <t>THIAGO GÓMEZ</t>
  </si>
  <si>
    <t>FRANCO TORRES POR FRANCISCO OCCHIUZZI</t>
  </si>
  <si>
    <t>TOBÍAS LUCERO POR PEDRO MONTENEGRO</t>
  </si>
  <si>
    <t>RAMIRO OCCHIUZZI POR FRANCO TORRES</t>
  </si>
  <si>
    <t>FRANCO TORRES</t>
  </si>
  <si>
    <t>THIAGO GÓMEZ POR JOAQUÍN TRAYNOR</t>
  </si>
  <si>
    <t>MARIANO TRAYNOR POR FRANCISCO OCCHIUZZI</t>
  </si>
  <si>
    <t>RAMIRO OCCHIUZZI POR PATRICIO TRAYNOR</t>
  </si>
  <si>
    <t>En Puey (debut Joako en 1A)</t>
  </si>
  <si>
    <t>En CUQ (CUQ-Ciudad)</t>
  </si>
  <si>
    <t>AyP</t>
  </si>
  <si>
    <t>San Andrés</t>
  </si>
  <si>
    <t>Vilo</t>
  </si>
  <si>
    <t>Italiano</t>
  </si>
  <si>
    <t>En Mundial</t>
  </si>
  <si>
    <t>Areco</t>
  </si>
  <si>
    <t>2023</t>
  </si>
  <si>
    <t>JUAN PEDRO OCCHIUZZI POR MARIANO TRAYNOR</t>
  </si>
  <si>
    <t>JUAN MATÍAS TRAYNOR POR PATRICIO TRAYNOR</t>
  </si>
  <si>
    <t>FRANCO TORRES POR AGUSTÍN MARZIALI</t>
  </si>
  <si>
    <t>PEDRO MONTENEGRO POR RODRIGO RÍOS</t>
  </si>
  <si>
    <t>AGUSTÍN TRAYNOR POR SANTIAGO QUAGLIATA</t>
  </si>
  <si>
    <t>Top 12</t>
  </si>
  <si>
    <t>2 descensos</t>
  </si>
  <si>
    <t>OBJETIVO</t>
  </si>
  <si>
    <t>ACTUAL</t>
  </si>
  <si>
    <t>RODRÍGUEZ J.</t>
  </si>
  <si>
    <t>PIÑERO</t>
  </si>
  <si>
    <t>DEL SUR (pérdida de localía por sanción)</t>
  </si>
  <si>
    <t>ENZO CORSI POR FRANCO TORRES</t>
  </si>
  <si>
    <t>JUAN PEDRO OCCHIUZZI POR AGUSTÍN MARZIALI</t>
  </si>
  <si>
    <t>RODRIGO GÓMEZ POR MATÍAS TRAYNOR</t>
  </si>
  <si>
    <t>JORGE BENÍTEZ POR MATÍAS TRAYNOR</t>
  </si>
  <si>
    <t>MARIANO LIVACHOFF POR GERÓNIMO RÍOS</t>
  </si>
  <si>
    <t>MARIANO TRAYNOR POR SANTIAGO QUAGLIATA</t>
  </si>
  <si>
    <t>GERÓNIMO RÍOS POR MARIANO LIVACHOFF</t>
  </si>
  <si>
    <t>MATÍAS TRAYNOR POR JORGE BENÍTEZ</t>
  </si>
  <si>
    <t>JOAQUÍN TRAYNOR POR THIAGO GÓMEZ</t>
  </si>
  <si>
    <t>AGUSTÍN DOMÍNGUEZ POR PEDRO MONTENEGRO</t>
  </si>
  <si>
    <t>GABRIEL RUBIRA POR JORGE BENÍTEZ</t>
  </si>
  <si>
    <t>RAMIRO OCCHIUZZI POR ENZO CORSI</t>
  </si>
  <si>
    <t>GONZALO GREGORIO POR SANTIAGO TRAYNOR</t>
  </si>
  <si>
    <t>GABRIEL RUBIRA</t>
  </si>
  <si>
    <t>EUSEBIO C.</t>
  </si>
  <si>
    <t>GABRIEL RUBIRA POR MATÍAS TRAYNOR</t>
  </si>
  <si>
    <t>FRANCISCO OCCHIUZZI POR JUAN MATÍAS TRAYNOR</t>
  </si>
  <si>
    <t>RAMIRO OCCHIUZZI POR SANTIAGO QUAGLIATA</t>
  </si>
  <si>
    <t>PATRICIO TRAYNOR POR AGUSTÍN DOMÍNGUEZ</t>
  </si>
  <si>
    <t>JORGE BENÍTEZ POR GABRIEL RUBIRA</t>
  </si>
  <si>
    <t>GONZALO BURGARDT POR GERÓNIMO RÍOS</t>
  </si>
  <si>
    <t>MARIANO TRAYNOR POR AGUSTÍN TRAYNOR</t>
  </si>
  <si>
    <t>GONZALO BURGARDT</t>
  </si>
  <si>
    <t>FEDERICO MARTÍNEZ POR GABRIEL RUBIRA</t>
  </si>
  <si>
    <t>GONZALO BURGARDT POR MARIANO LIOVACHOFF</t>
  </si>
  <si>
    <t>MARIANO TRAYNOR POR GONZALO GREGORIO</t>
  </si>
  <si>
    <t xml:space="preserve">LOMAS </t>
  </si>
  <si>
    <t>GIANFRANCO GUGLIOTTI</t>
  </si>
  <si>
    <t>ALEJO BALBI</t>
  </si>
  <si>
    <t>02</t>
  </si>
  <si>
    <t>92</t>
  </si>
  <si>
    <t>88</t>
  </si>
  <si>
    <t>JUAN JOSÉ MONEA</t>
  </si>
  <si>
    <t>MATÍAS BOCO</t>
  </si>
  <si>
    <t>CAMADA</t>
  </si>
  <si>
    <t>86</t>
  </si>
  <si>
    <t>EMILIO CHAVES POR GABRIEL RUBIRA</t>
  </si>
  <si>
    <t>EMILIO CHAVES</t>
  </si>
  <si>
    <t>OLIVIERI</t>
  </si>
  <si>
    <t>FACUNDO BUSTOS</t>
  </si>
  <si>
    <t>ZUBIRÍA</t>
  </si>
  <si>
    <t>GUARDIA</t>
  </si>
  <si>
    <t>*</t>
  </si>
  <si>
    <t>MATÏAS COMPANYS</t>
  </si>
  <si>
    <t>FERRERO</t>
  </si>
  <si>
    <t>Modifica a Top 14 en 2026</t>
  </si>
  <si>
    <t>CURUPAYTÍ</t>
  </si>
  <si>
    <t>JUAN PABLO OCCHIUZZI</t>
  </si>
  <si>
    <t>RAMIRO OCCHIUZZI POR IGNACIO TORRES CIUTAT</t>
  </si>
  <si>
    <t>RODRIGO ESMAYEL POR MATÍAS AGUERRONDO</t>
  </si>
  <si>
    <t>PRIMERA B</t>
  </si>
  <si>
    <t>06</t>
  </si>
  <si>
    <t>VOLANTE</t>
  </si>
  <si>
    <t>RAMIRO OCCHIUZZI POR JUAN MATÍAS TRAYNOR</t>
  </si>
  <si>
    <t>ALEJO BALBI POR MARIANO TRAYNOR</t>
  </si>
  <si>
    <t>JUAN PABLO GAUTO POR RODRIGO ESMAYEL</t>
  </si>
  <si>
    <t>MARIANO CETTOUR POR FRANCISCO OCCHIUZZI</t>
  </si>
  <si>
    <t>JUAN PABLO OCCHIUZZI POR RAMIRO OCCHIUZZI</t>
  </si>
  <si>
    <t>AUGUSTO ROVETTA POR GABRIEL RUBIRA</t>
  </si>
  <si>
    <t>AUGUSTO ROVETTA</t>
  </si>
  <si>
    <t>EMILIO CHAVES POR MATÍAS TRAYNOR</t>
  </si>
  <si>
    <t>JUAN MATÍAS TRAYNOR POR RAMIRO OCCHIUZZI</t>
  </si>
  <si>
    <t>JUAN PABLO OCCHIUZZI POR ALEJO BALBI</t>
  </si>
  <si>
    <t>AXEL OBREGÓN POR ENZO CORSI</t>
  </si>
  <si>
    <t>MATÏAS AGUERRONDO</t>
  </si>
  <si>
    <t>AXEL OBREGÓN</t>
  </si>
  <si>
    <t>MARIANO LIVACHOFF POR JUAN PABLO OCCHIUZZI</t>
  </si>
  <si>
    <t>CRISTIAN SÁNCHEZ</t>
  </si>
  <si>
    <t>CRISTIAN SÁNCHEZ POR TOBÍAS LUCERO</t>
  </si>
  <si>
    <t>CRISTIAN SANCHEZ</t>
  </si>
  <si>
    <t>TOMÁS PARRA</t>
  </si>
  <si>
    <t>RAMIRO OCCHIUZZI POR FRANCISCO OCCHIUZZI</t>
  </si>
  <si>
    <t>JOAQUÍN TRAYNOR POR MATÍAS AGUERRONDO</t>
  </si>
  <si>
    <t>GABRIEL RUBIRA POR EMILIO CHAVES</t>
  </si>
  <si>
    <t>ROJAS</t>
  </si>
  <si>
    <t>PEDRO MOTENEGRO</t>
  </si>
  <si>
    <t>MARIANO CETTOUR POR RAMIRO OCCHIUZZI</t>
  </si>
  <si>
    <t>TOMAS PARRA</t>
  </si>
  <si>
    <t>GERÓNIMO RÍOS POR JUAN PABLO GAUTO</t>
  </si>
  <si>
    <t>MARIANO CETTOUR POR ALEJO BALBI</t>
  </si>
  <si>
    <t>MATÍAS AGUERRONDO POR RODRIGO ESMAYEL</t>
  </si>
  <si>
    <t>JUAN PABLO GAUTO POR GERÓNIMO RÍOS</t>
  </si>
  <si>
    <t>PEDRO MONTENEGRO POR MATÍAS AGUERRONDO</t>
  </si>
  <si>
    <t>PEDRO MONTENEGRO POR JUAN MARTÍN TURKOWSKY</t>
  </si>
  <si>
    <t>JOAQUÍN TRAYNOR POR JUAN PABLO GAUTO</t>
  </si>
  <si>
    <t>TOMÁS PARRA POR MARIANO TRAYNOR</t>
  </si>
  <si>
    <t>JOSÉ GRUBER POR GERÓNIMO RÍOS</t>
  </si>
  <si>
    <t>SANTINO GEREZ POR MARIANO CETTOUR</t>
  </si>
  <si>
    <t>IGNACIO TORTORELLA POR JUAN PABLO GAUTO</t>
  </si>
  <si>
    <t>ALEJO BALBI POR SANTINO GEREZ</t>
  </si>
  <si>
    <t>GABRIEL RUBIRA POR AUGUSTO ROVETTA</t>
  </si>
  <si>
    <t>CRISTIAN SÁNCHEZ POR JOSÉ GRUBER</t>
  </si>
  <si>
    <t>TOMÁS PARRA POR ALEJO BALBI</t>
  </si>
  <si>
    <t>JUAN MATÍAS TRAYNOR POR MARIANO TRAYNOR</t>
  </si>
  <si>
    <t>IGNACIO TORTORELLA POR JOSÉ GRUBER</t>
  </si>
  <si>
    <t>PACHECO</t>
  </si>
  <si>
    <t>RAMIRO OCCHIUZZI POR TOMÁS PARRA</t>
  </si>
  <si>
    <t>MATÍAS AGUERRONDO POR JOSÉ GRUBER</t>
  </si>
  <si>
    <t>CRISTIAN SÁNCHEZ POR PEDRO MONTENEGRO</t>
  </si>
  <si>
    <t>BAECK E.</t>
  </si>
  <si>
    <t>RAMIRO OCCHIUZZI POR MARIANO LIVACHOFF</t>
  </si>
  <si>
    <t>JUAN MARTÍN TURKOWSKY POR RODRIGO ESMAYEL</t>
  </si>
  <si>
    <t>JOAQUÍN TRAYNOR POR TOBÍAS LUCERO</t>
  </si>
  <si>
    <t>AUGUSTO ROVETTA POR MARIANO LIVACHOFF</t>
  </si>
  <si>
    <t>BAECK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</si>
</sst>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4">
    <font>
      <sz val="10"/>
      <name val="Arial"/>
    </font>
    <font>
      <sz val="10"/>
      <name val="Arial"/>
      <family val="2"/>
    </font>
    <font>
      <b/>
      <sz val="26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6"/>
      <name val="Arial"/>
      <family val="2"/>
    </font>
    <font>
      <sz val="10"/>
      <color rgb="FF80838D"/>
      <name val="Inherit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color rgb="FF00B050"/>
      <name val="Arial"/>
      <family val="2"/>
    </font>
    <font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7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49" fontId="0" fillId="0" borderId="8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1" xfId="0" applyBorder="1"/>
    <xf numFmtId="0" fontId="1" fillId="0" borderId="5" xfId="0" applyFont="1" applyBorder="1"/>
    <xf numFmtId="0" fontId="0" fillId="0" borderId="1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0" xfId="0" applyFont="1"/>
    <xf numFmtId="0" fontId="0" fillId="0" borderId="16" xfId="0" applyBorder="1"/>
    <xf numFmtId="0" fontId="1" fillId="0" borderId="8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1" fillId="0" borderId="13" xfId="1" applyBorder="1"/>
    <xf numFmtId="0" fontId="1" fillId="0" borderId="14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/>
    <xf numFmtId="0" fontId="1" fillId="0" borderId="1" xfId="1" applyBorder="1" applyAlignment="1">
      <alignment horizontal="center"/>
    </xf>
    <xf numFmtId="0" fontId="1" fillId="0" borderId="17" xfId="1" applyBorder="1"/>
    <xf numFmtId="0" fontId="1" fillId="0" borderId="19" xfId="1" applyBorder="1" applyAlignment="1">
      <alignment horizontal="center"/>
    </xf>
    <xf numFmtId="0" fontId="1" fillId="0" borderId="20" xfId="1" applyBorder="1"/>
    <xf numFmtId="0" fontId="1" fillId="0" borderId="27" xfId="1" applyBorder="1"/>
    <xf numFmtId="0" fontId="1" fillId="0" borderId="28" xfId="1" applyBorder="1"/>
    <xf numFmtId="0" fontId="1" fillId="0" borderId="29" xfId="1" applyBorder="1" applyAlignment="1">
      <alignment horizontal="center"/>
    </xf>
    <xf numFmtId="0" fontId="1" fillId="0" borderId="30" xfId="1" applyBorder="1"/>
    <xf numFmtId="0" fontId="1" fillId="0" borderId="18" xfId="1" applyBorder="1"/>
    <xf numFmtId="0" fontId="1" fillId="0" borderId="8" xfId="1" applyBorder="1"/>
    <xf numFmtId="0" fontId="1" fillId="0" borderId="30" xfId="1" applyBorder="1" applyAlignment="1">
      <alignment horizontal="center"/>
    </xf>
    <xf numFmtId="0" fontId="1" fillId="0" borderId="17" xfId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8" xfId="0" applyBorder="1"/>
    <xf numFmtId="0" fontId="1" fillId="0" borderId="20" xfId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1" applyFont="1"/>
    <xf numFmtId="0" fontId="1" fillId="0" borderId="16" xfId="0" applyFont="1" applyBorder="1"/>
    <xf numFmtId="0" fontId="0" fillId="0" borderId="25" xfId="0" applyBorder="1"/>
    <xf numFmtId="0" fontId="0" fillId="0" borderId="26" xfId="0" applyBorder="1"/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6" xfId="0" applyFont="1" applyBorder="1"/>
    <xf numFmtId="0" fontId="1" fillId="0" borderId="11" xfId="0" applyFont="1" applyBorder="1" applyAlignment="1">
      <alignment horizontal="left"/>
    </xf>
    <xf numFmtId="49" fontId="1" fillId="0" borderId="8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7" xfId="0" applyFont="1" applyBorder="1"/>
    <xf numFmtId="0" fontId="1" fillId="0" borderId="14" xfId="0" applyFont="1" applyBorder="1" applyAlignment="1">
      <alignment horizontal="center"/>
    </xf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8" borderId="26" xfId="0" applyFont="1" applyFill="1" applyBorder="1"/>
    <xf numFmtId="0" fontId="1" fillId="14" borderId="26" xfId="0" applyFont="1" applyFill="1" applyBorder="1"/>
    <xf numFmtId="0" fontId="1" fillId="2" borderId="26" xfId="0" applyFont="1" applyFill="1" applyBorder="1"/>
    <xf numFmtId="164" fontId="0" fillId="0" borderId="0" xfId="0" applyNumberFormat="1"/>
    <xf numFmtId="0" fontId="0" fillId="0" borderId="18" xfId="0" applyBorder="1" applyAlignment="1">
      <alignment horizontal="center"/>
    </xf>
    <xf numFmtId="0" fontId="0" fillId="8" borderId="1" xfId="0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3" fillId="0" borderId="8" xfId="0" applyFont="1" applyBorder="1"/>
    <xf numFmtId="0" fontId="2" fillId="0" borderId="26" xfId="1" applyFont="1" applyBorder="1"/>
    <xf numFmtId="0" fontId="2" fillId="0" borderId="0" xfId="1" applyFont="1"/>
    <xf numFmtId="0" fontId="1" fillId="4" borderId="0" xfId="1" applyFill="1"/>
    <xf numFmtId="0" fontId="1" fillId="4" borderId="0" xfId="1" applyFill="1" applyAlignment="1">
      <alignment horizontal="left"/>
    </xf>
    <xf numFmtId="0" fontId="1" fillId="5" borderId="0" xfId="1" applyFill="1"/>
    <xf numFmtId="0" fontId="1" fillId="8" borderId="0" xfId="1" applyFill="1"/>
    <xf numFmtId="0" fontId="1" fillId="6" borderId="0" xfId="1" applyFill="1"/>
    <xf numFmtId="0" fontId="1" fillId="8" borderId="0" xfId="1" applyFill="1" applyAlignment="1">
      <alignment horizontal="left"/>
    </xf>
    <xf numFmtId="0" fontId="1" fillId="2" borderId="0" xfId="1" applyFill="1"/>
    <xf numFmtId="0" fontId="1" fillId="0" borderId="0" xfId="1" applyAlignment="1">
      <alignment horizontal="left"/>
    </xf>
    <xf numFmtId="0" fontId="1" fillId="11" borderId="0" xfId="1" applyFill="1"/>
    <xf numFmtId="0" fontId="1" fillId="7" borderId="0" xfId="1" applyFill="1"/>
    <xf numFmtId="0" fontId="1" fillId="12" borderId="0" xfId="1" applyFill="1"/>
    <xf numFmtId="0" fontId="1" fillId="3" borderId="0" xfId="1" applyFill="1"/>
    <xf numFmtId="0" fontId="1" fillId="9" borderId="0" xfId="1" applyFill="1"/>
    <xf numFmtId="0" fontId="1" fillId="10" borderId="0" xfId="1" applyFill="1"/>
    <xf numFmtId="0" fontId="1" fillId="13" borderId="0" xfId="1" applyFill="1"/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49" fontId="1" fillId="0" borderId="0" xfId="1" applyNumberFormat="1" applyAlignment="1">
      <alignment horizontal="center"/>
    </xf>
    <xf numFmtId="49" fontId="1" fillId="0" borderId="8" xfId="1" applyNumberFormat="1" applyBorder="1" applyAlignment="1">
      <alignment horizontal="center"/>
    </xf>
    <xf numFmtId="0" fontId="1" fillId="0" borderId="9" xfId="1" applyBorder="1"/>
    <xf numFmtId="0" fontId="1" fillId="0" borderId="5" xfId="1" applyBorder="1"/>
    <xf numFmtId="0" fontId="1" fillId="0" borderId="6" xfId="1" applyBorder="1"/>
    <xf numFmtId="0" fontId="1" fillId="0" borderId="7" xfId="1" applyBorder="1" applyAlignment="1">
      <alignment horizontal="center"/>
    </xf>
    <xf numFmtId="0" fontId="1" fillId="0" borderId="10" xfId="1" applyBorder="1"/>
    <xf numFmtId="0" fontId="1" fillId="0" borderId="11" xfId="1" applyBorder="1"/>
    <xf numFmtId="0" fontId="1" fillId="0" borderId="12" xfId="1" applyBorder="1" applyAlignment="1">
      <alignment horizontal="center"/>
    </xf>
    <xf numFmtId="0" fontId="1" fillId="0" borderId="7" xfId="1" applyBorder="1"/>
    <xf numFmtId="0" fontId="1" fillId="0" borderId="11" xfId="1" applyBorder="1" applyAlignment="1">
      <alignment horizontal="left"/>
    </xf>
    <xf numFmtId="0" fontId="1" fillId="0" borderId="12" xfId="1" applyBorder="1"/>
    <xf numFmtId="0" fontId="1" fillId="0" borderId="2" xfId="1" applyBorder="1"/>
    <xf numFmtId="0" fontId="1" fillId="0" borderId="3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49" fontId="1" fillId="0" borderId="10" xfId="1" applyNumberFormat="1" applyBorder="1" applyAlignment="1">
      <alignment horizontal="center"/>
    </xf>
    <xf numFmtId="0" fontId="1" fillId="0" borderId="11" xfId="1" applyBorder="1" applyAlignment="1">
      <alignment horizontal="center"/>
    </xf>
    <xf numFmtId="1" fontId="1" fillId="0" borderId="8" xfId="1" applyNumberFormat="1" applyBorder="1" applyAlignment="1">
      <alignment horizontal="center"/>
    </xf>
    <xf numFmtId="2" fontId="1" fillId="0" borderId="8" xfId="1" applyNumberFormat="1" applyBorder="1" applyAlignment="1">
      <alignment horizontal="center"/>
    </xf>
    <xf numFmtId="43" fontId="0" fillId="0" borderId="8" xfId="2" applyFont="1" applyBorder="1" applyAlignment="1">
      <alignment horizontal="center"/>
    </xf>
    <xf numFmtId="49" fontId="1" fillId="0" borderId="5" xfId="1" applyNumberFormat="1" applyBorder="1" applyAlignment="1">
      <alignment horizontal="center"/>
    </xf>
    <xf numFmtId="0" fontId="1" fillId="0" borderId="6" xfId="1" applyBorder="1" applyAlignment="1">
      <alignment horizontal="center"/>
    </xf>
    <xf numFmtId="49" fontId="1" fillId="0" borderId="0" xfId="1" applyNumberFormat="1" applyAlignment="1">
      <alignment horizontal="left"/>
    </xf>
    <xf numFmtId="0" fontId="1" fillId="0" borderId="0" xfId="1" applyAlignment="1">
      <alignment horizontal="left" vertical="top"/>
    </xf>
    <xf numFmtId="0" fontId="1" fillId="0" borderId="10" xfId="0" applyFont="1" applyBorder="1"/>
    <xf numFmtId="0" fontId="1" fillId="0" borderId="8" xfId="0" applyFont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0" applyFont="1" applyBorder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8" fillId="15" borderId="35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0" xfId="0" applyFont="1"/>
    <xf numFmtId="0" fontId="1" fillId="0" borderId="16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49" fontId="0" fillId="0" borderId="1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left"/>
    </xf>
    <xf numFmtId="0" fontId="9" fillId="0" borderId="0" xfId="0" applyFont="1"/>
    <xf numFmtId="0" fontId="1" fillId="0" borderId="26" xfId="0" applyFont="1" applyBorder="1"/>
    <xf numFmtId="0" fontId="7" fillId="0" borderId="0" xfId="0" applyFont="1" applyAlignment="1">
      <alignment vertical="center"/>
    </xf>
    <xf numFmtId="49" fontId="1" fillId="0" borderId="6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10" fillId="0" borderId="21" xfId="0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right" vertical="center"/>
    </xf>
    <xf numFmtId="0" fontId="1" fillId="0" borderId="13" xfId="1" applyBorder="1" applyAlignment="1">
      <alignment horizontal="center"/>
    </xf>
    <xf numFmtId="0" fontId="1" fillId="0" borderId="14" xfId="1" applyBorder="1"/>
    <xf numFmtId="0" fontId="1" fillId="0" borderId="15" xfId="1" applyBorder="1"/>
    <xf numFmtId="0" fontId="1" fillId="0" borderId="16" xfId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11" fillId="0" borderId="16" xfId="1" applyFont="1" applyBorder="1" applyAlignment="1">
      <alignment horizontal="center"/>
    </xf>
    <xf numFmtId="0" fontId="11" fillId="0" borderId="1" xfId="1" applyFont="1" applyBorder="1" applyAlignment="1">
      <alignment horizontal="left"/>
    </xf>
    <xf numFmtId="0" fontId="11" fillId="0" borderId="1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19" xfId="1" applyBorder="1"/>
    <xf numFmtId="0" fontId="1" fillId="0" borderId="19" xfId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 applyAlignment="1">
      <alignment horizontal="center"/>
    </xf>
    <xf numFmtId="0" fontId="12" fillId="0" borderId="0" xfId="0" applyFont="1"/>
    <xf numFmtId="16" fontId="0" fillId="0" borderId="0" xfId="0" applyNumberFormat="1" applyAlignment="1">
      <alignment horizontal="center"/>
    </xf>
    <xf numFmtId="0" fontId="1" fillId="16" borderId="0" xfId="1" applyFill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0" fontId="1" fillId="0" borderId="6" xfId="0" applyFont="1" applyBorder="1" applyAlignment="1">
      <alignment horizontal="left"/>
    </xf>
    <xf numFmtId="49" fontId="1" fillId="0" borderId="9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25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1" applyAlignment="1">
      <alignment horizontal="left" vertical="center"/>
    </xf>
    <xf numFmtId="0" fontId="8" fillId="15" borderId="35" xfId="0" applyFont="1" applyFill="1" applyBorder="1" applyAlignment="1">
      <alignment horizontal="left" vertical="center" wrapText="1"/>
    </xf>
    <xf numFmtId="49" fontId="0" fillId="0" borderId="9" xfId="0" applyNumberForma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14" borderId="25" xfId="0" applyFont="1" applyFill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3" fillId="0" borderId="22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8" borderId="29" xfId="0" applyFont="1" applyFill="1" applyBorder="1" applyAlignment="1">
      <alignment horizontal="left"/>
    </xf>
    <xf numFmtId="0" fontId="9" fillId="0" borderId="26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0" fontId="9" fillId="0" borderId="23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3" fillId="0" borderId="5" xfId="0" applyFont="1" applyBorder="1"/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10" fillId="0" borderId="25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7" fillId="2" borderId="0" xfId="1" applyFont="1" applyFill="1" applyAlignment="1">
      <alignment horizontal="center" vertical="center" textRotation="255"/>
    </xf>
    <xf numFmtId="0" fontId="1" fillId="4" borderId="0" xfId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11" borderId="0" xfId="1" applyFill="1" applyAlignment="1">
      <alignment horizontal="center" vertical="center"/>
    </xf>
    <xf numFmtId="0" fontId="1" fillId="12" borderId="0" xfId="1" applyFill="1" applyAlignment="1">
      <alignment horizontal="center" vertical="center"/>
    </xf>
    <xf numFmtId="0" fontId="1" fillId="13" borderId="0" xfId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EAC830E-B64C-43B2-9D82-3DFDDE37754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D8AE047-D4E6-4F45-B36D-7A378F7CFA5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92A210D-E39B-4C56-99DD-BD3E401FD95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9D99F4C-53CE-49C2-80D2-59E840F3A5F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9CD7101-AC3F-4DE8-968D-CA881C4D59F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FCEE3F7-3136-46BD-B47E-72181C709FE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0" y="9525"/>
          <a:ext cx="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AE8247D-F7CB-4558-862D-6EEC8375FE6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09ACFBF-845D-43C5-89D6-4E576F57AEA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DE2746E-2F02-43B2-BBBC-8A324EB0A9B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61844E5-BAE0-482F-9773-B8D8F8DBE96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DIVISIÓN SUPERIOR Grupo I - Zona "A"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Carlos Lista" id="{97BFD64C-0B07-4933-9179-E9EDFC202A2C}" userId="fd5a4b19564f5ef2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0" dT="2024-08-19T15:10:34.83" personId="{97BFD64C-0B07-4933-9179-E9EDFC202A2C}" id="{22CCD9BC-D386-4D1A-9212-BAA6C36FDC46}">
    <text>Pérdida de localía 17-8-24, Jugado en Del Sur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3" dT="2022-08-29T17:54:47.48" personId="{97BFD64C-0B07-4933-9179-E9EDFC202A2C}" id="{AF55B69F-E7CF-4AD0-A2EB-C00088C0A8FF}">
    <text>Desde 2017 se consideran 7 puntos porque no se patea más la conversión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8" dT="2021-10-18T14:06:41.45" personId="{97BFD64C-0B07-4933-9179-E9EDFC202A2C}" id="{DB65B287-D1CF-4E81-9AB6-235BD4BC64DC}">
    <text>AGUSTIN DOMINGUEZ (2)</text>
  </threadedComment>
  <threadedComment ref="U9" dT="2021-10-18T14:09:55.87" personId="{97BFD64C-0B07-4933-9179-E9EDFC202A2C}" id="{BC035EB6-8C76-4122-8B38-95C1F1076183}">
    <text>TOBIAS LUCERO</text>
  </threadedComment>
  <threadedComment ref="U11" dT="2021-10-18T14:08:19.01" personId="{97BFD64C-0B07-4933-9179-E9EDFC202A2C}" id="{566B3ED4-1188-46B3-9F52-624FC0840EBD}">
    <text>IGNACIO TORTORELLA
TOBIAS LUCERO
RAMIRO OCCHIUZZI
PABLO FERREIRA</text>
  </threadedComment>
  <threadedComment ref="K19" dT="2024-08-19T15:20:41.73" personId="{97BFD64C-0B07-4933-9179-E9EDFC202A2C}" id="{D1897F1D-1B5D-42EE-ADBE-A9478C525699}">
    <text>17-8-24 vs. Del Sur jugado en Del Sur</text>
  </threadedComment>
  <threadedComment ref="U120" dT="2021-10-18T14:06:41.45" personId="{97BFD64C-0B07-4933-9179-E9EDFC202A2C}" id="{6009A890-0915-4582-8A43-8706E61A2960}">
    <text>AGUSTIN DOMINGUEZ (2)</text>
  </threadedComment>
  <threadedComment ref="U121" dT="2021-10-18T14:09:55.87" personId="{97BFD64C-0B07-4933-9179-E9EDFC202A2C}" id="{412FCCA0-E62E-4872-B482-43D9FCDCC148}">
    <text>TOBIAS LUCERO</text>
  </threadedComment>
  <threadedComment ref="U123" dT="2021-10-18T14:08:19.01" personId="{97BFD64C-0B07-4933-9179-E9EDFC202A2C}" id="{8FF8FCB6-23FA-4510-90B9-1DB5AE0028EA}">
    <text>IGNACIO TORTORELLA
TOBIAS LUCERO
RAMIRO OCCHIUZZI
PABLO FERREIRA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063"/>
  <sheetViews>
    <sheetView topLeftCell="A995" workbookViewId="0">
      <selection activeCell="B577" sqref="B577:G722"/>
    </sheetView>
  </sheetViews>
  <sheetFormatPr baseColWidth="10" defaultColWidth="11.42578125" defaultRowHeight="12.75"/>
  <cols>
    <col min="1" max="2" width="5.5703125" style="124" customWidth="1"/>
    <col min="3" max="3" width="24.28515625" style="45" customWidth="1"/>
    <col min="4" max="4" width="10.28515625" style="45" bestFit="1" customWidth="1"/>
    <col min="5" max="5" width="19.28515625" style="44" bestFit="1" customWidth="1"/>
    <col min="6" max="16384" width="11.42578125" style="45"/>
  </cols>
  <sheetData>
    <row r="1" spans="2:7" ht="13.5" thickBot="1"/>
    <row r="2" spans="2:7" ht="13.5" thickBot="1">
      <c r="B2" s="239" t="s">
        <v>383</v>
      </c>
      <c r="C2" s="240"/>
      <c r="D2" s="240"/>
      <c r="E2" s="240"/>
      <c r="F2" s="240"/>
      <c r="G2" s="241"/>
    </row>
    <row r="3" spans="2:7" ht="13.5" thickBot="1">
      <c r="B3" s="125"/>
      <c r="G3" s="126"/>
    </row>
    <row r="4" spans="2:7">
      <c r="B4" s="125"/>
      <c r="C4" s="127" t="s">
        <v>27</v>
      </c>
      <c r="D4" s="128"/>
      <c r="E4" s="128" t="s">
        <v>0</v>
      </c>
      <c r="F4" s="129">
        <v>8</v>
      </c>
      <c r="G4" s="126"/>
    </row>
    <row r="5" spans="2:7" ht="13.5" thickBot="1">
      <c r="B5" s="125"/>
      <c r="C5" s="130"/>
      <c r="D5" s="131"/>
      <c r="E5" s="131" t="s">
        <v>1</v>
      </c>
      <c r="F5" s="132">
        <v>15</v>
      </c>
      <c r="G5" s="126"/>
    </row>
    <row r="6" spans="2:7" ht="13.5" thickBot="1">
      <c r="B6" s="125"/>
      <c r="G6" s="126"/>
    </row>
    <row r="7" spans="2:7">
      <c r="B7" s="125"/>
      <c r="C7" s="127" t="s">
        <v>4</v>
      </c>
      <c r="D7" s="128"/>
      <c r="E7" s="128" t="s">
        <v>0</v>
      </c>
      <c r="F7" s="133"/>
      <c r="G7" s="126"/>
    </row>
    <row r="8" spans="2:7">
      <c r="B8" s="125"/>
      <c r="C8" s="59" t="s">
        <v>2</v>
      </c>
      <c r="E8" s="45" t="s">
        <v>384</v>
      </c>
      <c r="F8" s="126"/>
      <c r="G8" s="126"/>
    </row>
    <row r="9" spans="2:7" ht="13.5" thickBot="1">
      <c r="B9" s="125"/>
      <c r="C9" s="130" t="s">
        <v>3</v>
      </c>
      <c r="D9" s="131"/>
      <c r="E9" s="134" t="s">
        <v>385</v>
      </c>
      <c r="F9" s="135"/>
      <c r="G9" s="126"/>
    </row>
    <row r="10" spans="2:7" ht="13.5" thickBot="1">
      <c r="B10" s="125"/>
      <c r="G10" s="126"/>
    </row>
    <row r="11" spans="2:7" ht="13.5" thickBot="1">
      <c r="B11" s="125"/>
      <c r="C11" s="136" t="s">
        <v>29</v>
      </c>
      <c r="D11" s="137"/>
      <c r="E11" s="138" t="s">
        <v>272</v>
      </c>
      <c r="F11" s="139"/>
      <c r="G11" s="126"/>
    </row>
    <row r="12" spans="2:7">
      <c r="B12" s="125"/>
      <c r="G12" s="126"/>
    </row>
    <row r="13" spans="2:7">
      <c r="B13" s="125"/>
      <c r="C13" s="45" t="s">
        <v>5</v>
      </c>
      <c r="G13" s="126"/>
    </row>
    <row r="14" spans="2:7">
      <c r="B14" s="125"/>
      <c r="G14" s="126"/>
    </row>
    <row r="15" spans="2:7">
      <c r="B15" s="59">
        <v>1</v>
      </c>
      <c r="C15" s="45" t="s">
        <v>6</v>
      </c>
      <c r="G15" s="126"/>
    </row>
    <row r="16" spans="2:7">
      <c r="B16" s="59">
        <v>2</v>
      </c>
      <c r="C16" s="45" t="s">
        <v>7</v>
      </c>
      <c r="G16" s="126"/>
    </row>
    <row r="17" spans="2:7">
      <c r="B17" s="59">
        <v>3</v>
      </c>
      <c r="C17" s="45" t="s">
        <v>8</v>
      </c>
      <c r="G17" s="126"/>
    </row>
    <row r="18" spans="2:7">
      <c r="B18" s="59">
        <v>4</v>
      </c>
      <c r="C18" s="45" t="s">
        <v>9</v>
      </c>
      <c r="G18" s="126"/>
    </row>
    <row r="19" spans="2:7">
      <c r="B19" s="59">
        <v>5</v>
      </c>
      <c r="C19" s="45" t="s">
        <v>10</v>
      </c>
      <c r="G19" s="126"/>
    </row>
    <row r="20" spans="2:7">
      <c r="B20" s="59">
        <v>6</v>
      </c>
      <c r="C20" s="45" t="s">
        <v>11</v>
      </c>
      <c r="G20" s="126"/>
    </row>
    <row r="21" spans="2:7">
      <c r="B21" s="59">
        <v>7</v>
      </c>
      <c r="C21" s="45" t="s">
        <v>12</v>
      </c>
      <c r="G21" s="126"/>
    </row>
    <row r="22" spans="2:7">
      <c r="B22" s="59">
        <v>8</v>
      </c>
      <c r="C22" s="45" t="s">
        <v>13</v>
      </c>
      <c r="G22" s="126"/>
    </row>
    <row r="23" spans="2:7">
      <c r="B23" s="59">
        <v>9</v>
      </c>
      <c r="C23" s="45" t="s">
        <v>14</v>
      </c>
      <c r="G23" s="126"/>
    </row>
    <row r="24" spans="2:7">
      <c r="B24" s="59">
        <v>10</v>
      </c>
      <c r="C24" s="45" t="s">
        <v>15</v>
      </c>
      <c r="G24" s="126"/>
    </row>
    <row r="25" spans="2:7">
      <c r="B25" s="59">
        <v>11</v>
      </c>
      <c r="C25" s="45" t="s">
        <v>16</v>
      </c>
      <c r="G25" s="126"/>
    </row>
    <row r="26" spans="2:7">
      <c r="B26" s="59">
        <v>12</v>
      </c>
      <c r="C26" s="45" t="s">
        <v>17</v>
      </c>
      <c r="G26" s="126"/>
    </row>
    <row r="27" spans="2:7">
      <c r="B27" s="59">
        <v>13</v>
      </c>
      <c r="C27" s="45" t="s">
        <v>18</v>
      </c>
      <c r="G27" s="126"/>
    </row>
    <row r="28" spans="2:7">
      <c r="B28" s="59">
        <v>14</v>
      </c>
      <c r="C28" s="45" t="s">
        <v>19</v>
      </c>
      <c r="G28" s="126"/>
    </row>
    <row r="29" spans="2:7">
      <c r="B29" s="59">
        <v>15</v>
      </c>
      <c r="C29" s="45" t="s">
        <v>20</v>
      </c>
      <c r="G29" s="126"/>
    </row>
    <row r="30" spans="2:7">
      <c r="B30" s="125"/>
      <c r="G30" s="126"/>
    </row>
    <row r="31" spans="2:7">
      <c r="B31" s="125"/>
      <c r="C31" s="45" t="s">
        <v>386</v>
      </c>
      <c r="G31" s="126"/>
    </row>
    <row r="32" spans="2:7">
      <c r="B32" s="125"/>
      <c r="C32" s="45" t="s">
        <v>387</v>
      </c>
      <c r="G32" s="126"/>
    </row>
    <row r="33" spans="2:7">
      <c r="B33" s="125"/>
      <c r="G33" s="126"/>
    </row>
    <row r="34" spans="2:7">
      <c r="B34" s="125"/>
      <c r="C34" s="124" t="s">
        <v>21</v>
      </c>
      <c r="G34" s="126"/>
    </row>
    <row r="35" spans="2:7">
      <c r="B35" s="125" t="s">
        <v>336</v>
      </c>
      <c r="C35" s="45" t="s">
        <v>20</v>
      </c>
      <c r="G35" s="126"/>
    </row>
    <row r="36" spans="2:7">
      <c r="B36" s="125" t="s">
        <v>336</v>
      </c>
      <c r="C36" s="45" t="s">
        <v>15</v>
      </c>
      <c r="G36" s="126"/>
    </row>
    <row r="37" spans="2:7">
      <c r="B37" s="125"/>
      <c r="G37" s="126"/>
    </row>
    <row r="38" spans="2:7">
      <c r="B38" s="125"/>
      <c r="C38" s="44" t="s">
        <v>337</v>
      </c>
      <c r="G38" s="126"/>
    </row>
    <row r="39" spans="2:7">
      <c r="B39" s="125" t="s">
        <v>336</v>
      </c>
      <c r="C39" s="45" t="s">
        <v>18</v>
      </c>
      <c r="G39" s="126"/>
    </row>
    <row r="40" spans="2:7">
      <c r="B40" s="125"/>
      <c r="G40" s="126"/>
    </row>
    <row r="41" spans="2:7">
      <c r="B41" s="125"/>
      <c r="C41" s="44" t="s">
        <v>22</v>
      </c>
      <c r="G41" s="126"/>
    </row>
    <row r="42" spans="2:7">
      <c r="B42" s="125" t="s">
        <v>336</v>
      </c>
      <c r="C42" s="45" t="s">
        <v>18</v>
      </c>
      <c r="G42" s="126"/>
    </row>
    <row r="43" spans="2:7">
      <c r="B43" s="125"/>
      <c r="G43" s="126"/>
    </row>
    <row r="44" spans="2:7">
      <c r="B44" s="125"/>
      <c r="C44" s="44" t="s">
        <v>23</v>
      </c>
      <c r="G44" s="126"/>
    </row>
    <row r="45" spans="2:7" ht="13.5" thickBot="1">
      <c r="B45" s="140"/>
      <c r="C45" s="131" t="s">
        <v>14</v>
      </c>
      <c r="D45" s="131"/>
      <c r="E45" s="141"/>
      <c r="F45" s="131"/>
      <c r="G45" s="135"/>
    </row>
    <row r="47" spans="2:7" ht="13.5" thickBot="1"/>
    <row r="48" spans="2:7" ht="13.5" thickBot="1">
      <c r="B48" s="239" t="s">
        <v>388</v>
      </c>
      <c r="C48" s="240"/>
      <c r="D48" s="240"/>
      <c r="E48" s="240"/>
      <c r="F48" s="240"/>
      <c r="G48" s="241"/>
    </row>
    <row r="49" spans="2:7" ht="13.5" thickBot="1">
      <c r="B49" s="125"/>
      <c r="G49" s="126"/>
    </row>
    <row r="50" spans="2:7">
      <c r="B50" s="125"/>
      <c r="C50" s="127" t="s">
        <v>27</v>
      </c>
      <c r="D50" s="128"/>
      <c r="E50" s="128" t="s">
        <v>1</v>
      </c>
      <c r="F50" s="129">
        <v>11</v>
      </c>
      <c r="G50" s="126"/>
    </row>
    <row r="51" spans="2:7" ht="13.5" thickBot="1">
      <c r="B51" s="125"/>
      <c r="C51" s="130"/>
      <c r="D51" s="131"/>
      <c r="E51" s="131" t="s">
        <v>389</v>
      </c>
      <c r="F51" s="132">
        <v>8</v>
      </c>
      <c r="G51" s="126"/>
    </row>
    <row r="52" spans="2:7" ht="13.5" thickBot="1">
      <c r="B52" s="125"/>
      <c r="G52" s="126"/>
    </row>
    <row r="53" spans="2:7">
      <c r="B53" s="125"/>
      <c r="C53" s="127" t="s">
        <v>4</v>
      </c>
      <c r="D53" s="128"/>
      <c r="E53" s="128" t="s">
        <v>28</v>
      </c>
      <c r="F53" s="129" t="s">
        <v>390</v>
      </c>
      <c r="G53" s="126"/>
    </row>
    <row r="54" spans="2:7">
      <c r="B54" s="125"/>
      <c r="C54" s="59" t="s">
        <v>2</v>
      </c>
      <c r="E54" s="45" t="s">
        <v>391</v>
      </c>
      <c r="F54" s="126"/>
      <c r="G54" s="126"/>
    </row>
    <row r="55" spans="2:7" ht="13.5" thickBot="1">
      <c r="B55" s="125"/>
      <c r="C55" s="130" t="s">
        <v>3</v>
      </c>
      <c r="D55" s="131"/>
      <c r="E55" s="134" t="s">
        <v>326</v>
      </c>
      <c r="F55" s="135"/>
      <c r="G55" s="126"/>
    </row>
    <row r="56" spans="2:7">
      <c r="B56" s="125"/>
      <c r="G56" s="126"/>
    </row>
    <row r="57" spans="2:7" ht="13.5" thickBot="1">
      <c r="B57" s="125"/>
      <c r="G57" s="126"/>
    </row>
    <row r="58" spans="2:7" ht="13.5" thickBot="1">
      <c r="B58" s="125"/>
      <c r="C58" s="136" t="s">
        <v>29</v>
      </c>
      <c r="D58" s="137"/>
      <c r="E58" s="138" t="s">
        <v>273</v>
      </c>
      <c r="F58" s="139"/>
      <c r="G58" s="126"/>
    </row>
    <row r="59" spans="2:7">
      <c r="B59" s="125"/>
      <c r="G59" s="126"/>
    </row>
    <row r="60" spans="2:7">
      <c r="B60" s="125"/>
      <c r="C60" s="45" t="s">
        <v>5</v>
      </c>
      <c r="G60" s="126"/>
    </row>
    <row r="61" spans="2:7">
      <c r="B61" s="125"/>
      <c r="G61" s="126"/>
    </row>
    <row r="62" spans="2:7">
      <c r="B62" s="59">
        <v>1</v>
      </c>
      <c r="C62" s="45" t="s">
        <v>6</v>
      </c>
      <c r="G62" s="126"/>
    </row>
    <row r="63" spans="2:7">
      <c r="B63" s="59">
        <v>2</v>
      </c>
      <c r="C63" s="45" t="s">
        <v>7</v>
      </c>
      <c r="G63" s="126"/>
    </row>
    <row r="64" spans="2:7">
      <c r="B64" s="59">
        <v>3</v>
      </c>
      <c r="C64" s="45" t="s">
        <v>8</v>
      </c>
      <c r="G64" s="126"/>
    </row>
    <row r="65" spans="2:7">
      <c r="B65" s="59">
        <v>4</v>
      </c>
      <c r="C65" s="45" t="s">
        <v>9</v>
      </c>
      <c r="G65" s="126"/>
    </row>
    <row r="66" spans="2:7">
      <c r="B66" s="59">
        <v>5</v>
      </c>
      <c r="C66" s="45" t="s">
        <v>10</v>
      </c>
      <c r="G66" s="126"/>
    </row>
    <row r="67" spans="2:7">
      <c r="B67" s="59">
        <v>6</v>
      </c>
      <c r="C67" s="45" t="s">
        <v>11</v>
      </c>
      <c r="G67" s="126"/>
    </row>
    <row r="68" spans="2:7">
      <c r="B68" s="59">
        <v>7</v>
      </c>
      <c r="C68" s="45" t="s">
        <v>12</v>
      </c>
      <c r="G68" s="126"/>
    </row>
    <row r="69" spans="2:7">
      <c r="B69" s="59">
        <v>8</v>
      </c>
      <c r="C69" s="45" t="s">
        <v>13</v>
      </c>
      <c r="G69" s="126"/>
    </row>
    <row r="70" spans="2:7">
      <c r="B70" s="59">
        <v>9</v>
      </c>
      <c r="C70" s="45" t="s">
        <v>14</v>
      </c>
      <c r="G70" s="126"/>
    </row>
    <row r="71" spans="2:7">
      <c r="B71" s="59">
        <v>10</v>
      </c>
      <c r="C71" s="45" t="s">
        <v>15</v>
      </c>
      <c r="G71" s="126"/>
    </row>
    <row r="72" spans="2:7">
      <c r="B72" s="59">
        <v>11</v>
      </c>
      <c r="C72" s="45" t="s">
        <v>16</v>
      </c>
      <c r="G72" s="126"/>
    </row>
    <row r="73" spans="2:7">
      <c r="B73" s="59">
        <v>12</v>
      </c>
      <c r="C73" s="45" t="s">
        <v>17</v>
      </c>
      <c r="G73" s="126"/>
    </row>
    <row r="74" spans="2:7">
      <c r="B74" s="59">
        <v>13</v>
      </c>
      <c r="C74" s="45" t="s">
        <v>18</v>
      </c>
      <c r="G74" s="126"/>
    </row>
    <row r="75" spans="2:7">
      <c r="B75" s="59">
        <v>14</v>
      </c>
      <c r="C75" s="45" t="s">
        <v>19</v>
      </c>
      <c r="G75" s="126"/>
    </row>
    <row r="76" spans="2:7">
      <c r="B76" s="59">
        <v>15</v>
      </c>
      <c r="C76" s="45" t="s">
        <v>20</v>
      </c>
      <c r="G76" s="126"/>
    </row>
    <row r="77" spans="2:7">
      <c r="B77" s="125"/>
      <c r="G77" s="126"/>
    </row>
    <row r="78" spans="2:7">
      <c r="B78" s="125"/>
      <c r="C78" s="45" t="s">
        <v>392</v>
      </c>
      <c r="G78" s="126"/>
    </row>
    <row r="79" spans="2:7">
      <c r="B79" s="125"/>
      <c r="C79" s="45" t="s">
        <v>393</v>
      </c>
      <c r="G79" s="126"/>
    </row>
    <row r="80" spans="2:7">
      <c r="B80" s="125"/>
      <c r="G80" s="126"/>
    </row>
    <row r="81" spans="2:7">
      <c r="B81" s="125"/>
      <c r="C81" s="124" t="s">
        <v>21</v>
      </c>
      <c r="G81" s="126"/>
    </row>
    <row r="82" spans="2:7">
      <c r="B82" s="125" t="s">
        <v>336</v>
      </c>
      <c r="C82" s="45" t="s">
        <v>13</v>
      </c>
      <c r="G82" s="126"/>
    </row>
    <row r="83" spans="2:7">
      <c r="B83" s="125"/>
      <c r="G83" s="126"/>
    </row>
    <row r="84" spans="2:7">
      <c r="B84" s="125"/>
      <c r="C84" s="44" t="s">
        <v>22</v>
      </c>
      <c r="G84" s="126"/>
    </row>
    <row r="85" spans="2:7">
      <c r="B85" s="125" t="s">
        <v>352</v>
      </c>
      <c r="C85" s="45" t="s">
        <v>18</v>
      </c>
      <c r="G85" s="126"/>
    </row>
    <row r="86" spans="2:7">
      <c r="B86" s="125"/>
      <c r="G86" s="126"/>
    </row>
    <row r="87" spans="2:7">
      <c r="B87" s="125"/>
      <c r="C87" s="44" t="s">
        <v>23</v>
      </c>
      <c r="G87" s="126"/>
    </row>
    <row r="88" spans="2:7" ht="13.5" thickBot="1">
      <c r="B88" s="140"/>
      <c r="C88" s="131" t="s">
        <v>17</v>
      </c>
      <c r="D88" s="131"/>
      <c r="E88" s="141"/>
      <c r="F88" s="131"/>
      <c r="G88" s="135"/>
    </row>
    <row r="90" spans="2:7" ht="13.5" thickBot="1"/>
    <row r="91" spans="2:7" ht="13.5" thickBot="1">
      <c r="B91" s="239" t="s">
        <v>394</v>
      </c>
      <c r="C91" s="240"/>
      <c r="D91" s="240"/>
      <c r="E91" s="240"/>
      <c r="F91" s="240"/>
      <c r="G91" s="241"/>
    </row>
    <row r="92" spans="2:7" ht="13.5" thickBot="1">
      <c r="B92" s="125"/>
      <c r="G92" s="126"/>
    </row>
    <row r="93" spans="2:7">
      <c r="B93" s="125"/>
      <c r="C93" s="127" t="s">
        <v>27</v>
      </c>
      <c r="D93" s="128"/>
      <c r="E93" s="128" t="s">
        <v>30</v>
      </c>
      <c r="F93" s="129">
        <v>10</v>
      </c>
      <c r="G93" s="126"/>
    </row>
    <row r="94" spans="2:7" ht="13.5" thickBot="1">
      <c r="B94" s="125"/>
      <c r="C94" s="130"/>
      <c r="D94" s="131"/>
      <c r="E94" s="131" t="s">
        <v>1</v>
      </c>
      <c r="F94" s="132">
        <v>65</v>
      </c>
      <c r="G94" s="126"/>
    </row>
    <row r="95" spans="2:7" ht="13.5" thickBot="1">
      <c r="B95" s="125"/>
      <c r="G95" s="126"/>
    </row>
    <row r="96" spans="2:7">
      <c r="B96" s="125"/>
      <c r="C96" s="127" t="s">
        <v>4</v>
      </c>
      <c r="D96" s="128"/>
      <c r="E96" s="128" t="s">
        <v>30</v>
      </c>
      <c r="F96" s="133"/>
      <c r="G96" s="126"/>
    </row>
    <row r="97" spans="2:7">
      <c r="B97" s="125"/>
      <c r="C97" s="59" t="s">
        <v>2</v>
      </c>
      <c r="E97" s="45" t="s">
        <v>326</v>
      </c>
      <c r="F97" s="126"/>
      <c r="G97" s="126"/>
    </row>
    <row r="98" spans="2:7" ht="13.5" thickBot="1">
      <c r="B98" s="125"/>
      <c r="C98" s="130" t="s">
        <v>3</v>
      </c>
      <c r="D98" s="131"/>
      <c r="E98" s="134" t="s">
        <v>326</v>
      </c>
      <c r="F98" s="135"/>
      <c r="G98" s="126"/>
    </row>
    <row r="99" spans="2:7">
      <c r="B99" s="125"/>
      <c r="G99" s="126"/>
    </row>
    <row r="100" spans="2:7" ht="13.5" thickBot="1">
      <c r="B100" s="125"/>
      <c r="G100" s="126"/>
    </row>
    <row r="101" spans="2:7" ht="13.5" thickBot="1">
      <c r="B101" s="125"/>
      <c r="C101" s="136" t="s">
        <v>29</v>
      </c>
      <c r="D101" s="137"/>
      <c r="E101" s="138" t="s">
        <v>274</v>
      </c>
      <c r="F101" s="139"/>
      <c r="G101" s="126"/>
    </row>
    <row r="102" spans="2:7">
      <c r="B102" s="125"/>
      <c r="G102" s="126"/>
    </row>
    <row r="103" spans="2:7">
      <c r="B103" s="125"/>
      <c r="C103" s="45" t="s">
        <v>5</v>
      </c>
      <c r="G103" s="126"/>
    </row>
    <row r="104" spans="2:7">
      <c r="B104" s="125"/>
      <c r="G104" s="126"/>
    </row>
    <row r="105" spans="2:7">
      <c r="B105" s="59">
        <v>1</v>
      </c>
      <c r="C105" s="45" t="s">
        <v>6</v>
      </c>
      <c r="G105" s="126"/>
    </row>
    <row r="106" spans="2:7">
      <c r="B106" s="59">
        <v>2</v>
      </c>
      <c r="C106" s="45" t="s">
        <v>8</v>
      </c>
      <c r="G106" s="126"/>
    </row>
    <row r="107" spans="2:7">
      <c r="B107" s="59">
        <v>3</v>
      </c>
      <c r="C107" s="45" t="s">
        <v>31</v>
      </c>
      <c r="G107" s="126"/>
    </row>
    <row r="108" spans="2:7">
      <c r="B108" s="59">
        <v>4</v>
      </c>
      <c r="C108" s="45" t="s">
        <v>11</v>
      </c>
      <c r="G108" s="126"/>
    </row>
    <row r="109" spans="2:7">
      <c r="B109" s="59">
        <v>5</v>
      </c>
      <c r="C109" s="45" t="s">
        <v>32</v>
      </c>
      <c r="G109" s="126"/>
    </row>
    <row r="110" spans="2:7">
      <c r="B110" s="59">
        <v>6</v>
      </c>
      <c r="C110" s="45" t="s">
        <v>12</v>
      </c>
      <c r="G110" s="126"/>
    </row>
    <row r="111" spans="2:7">
      <c r="B111" s="59">
        <v>7</v>
      </c>
      <c r="C111" s="45" t="s">
        <v>33</v>
      </c>
      <c r="G111" s="126"/>
    </row>
    <row r="112" spans="2:7">
      <c r="B112" s="59">
        <v>8</v>
      </c>
      <c r="C112" s="45" t="s">
        <v>13</v>
      </c>
      <c r="G112" s="126"/>
    </row>
    <row r="113" spans="2:7">
      <c r="B113" s="59">
        <v>9</v>
      </c>
      <c r="C113" s="45" t="s">
        <v>14</v>
      </c>
      <c r="G113" s="126"/>
    </row>
    <row r="114" spans="2:7">
      <c r="B114" s="59">
        <v>10</v>
      </c>
      <c r="C114" s="45" t="s">
        <v>15</v>
      </c>
      <c r="G114" s="126"/>
    </row>
    <row r="115" spans="2:7">
      <c r="B115" s="59">
        <v>11</v>
      </c>
      <c r="C115" s="45" t="s">
        <v>16</v>
      </c>
      <c r="G115" s="126"/>
    </row>
    <row r="116" spans="2:7">
      <c r="B116" s="59">
        <v>12</v>
      </c>
      <c r="C116" s="45" t="s">
        <v>17</v>
      </c>
      <c r="G116" s="126"/>
    </row>
    <row r="117" spans="2:7">
      <c r="B117" s="59">
        <v>13</v>
      </c>
      <c r="C117" s="45" t="s">
        <v>18</v>
      </c>
      <c r="G117" s="126"/>
    </row>
    <row r="118" spans="2:7">
      <c r="B118" s="59">
        <v>14</v>
      </c>
      <c r="C118" s="45" t="s">
        <v>19</v>
      </c>
      <c r="G118" s="126"/>
    </row>
    <row r="119" spans="2:7">
      <c r="B119" s="59">
        <v>15</v>
      </c>
      <c r="C119" s="45" t="s">
        <v>34</v>
      </c>
      <c r="G119" s="126"/>
    </row>
    <row r="120" spans="2:7">
      <c r="B120" s="125"/>
      <c r="G120" s="126"/>
    </row>
    <row r="121" spans="2:7">
      <c r="B121" s="125"/>
      <c r="C121" s="45" t="s">
        <v>395</v>
      </c>
      <c r="G121" s="126"/>
    </row>
    <row r="122" spans="2:7">
      <c r="B122" s="125"/>
      <c r="C122" s="45" t="s">
        <v>396</v>
      </c>
      <c r="G122" s="126"/>
    </row>
    <row r="123" spans="2:7">
      <c r="B123" s="125"/>
      <c r="C123" s="45" t="s">
        <v>397</v>
      </c>
      <c r="G123" s="126"/>
    </row>
    <row r="124" spans="2:7">
      <c r="B124" s="125"/>
      <c r="C124" s="45" t="s">
        <v>398</v>
      </c>
      <c r="G124" s="126"/>
    </row>
    <row r="125" spans="2:7">
      <c r="B125" s="125"/>
      <c r="C125" s="45" t="s">
        <v>399</v>
      </c>
      <c r="G125" s="126"/>
    </row>
    <row r="126" spans="2:7">
      <c r="B126" s="125"/>
      <c r="G126" s="126"/>
    </row>
    <row r="127" spans="2:7">
      <c r="B127" s="125"/>
      <c r="C127" s="124" t="s">
        <v>21</v>
      </c>
      <c r="G127" s="126"/>
    </row>
    <row r="128" spans="2:7">
      <c r="B128" s="125" t="s">
        <v>352</v>
      </c>
      <c r="C128" s="45" t="s">
        <v>13</v>
      </c>
      <c r="G128" s="126"/>
    </row>
    <row r="129" spans="2:7">
      <c r="B129" s="125" t="s">
        <v>352</v>
      </c>
      <c r="C129" s="45" t="s">
        <v>16</v>
      </c>
      <c r="G129" s="126"/>
    </row>
    <row r="130" spans="2:7">
      <c r="B130" s="125" t="s">
        <v>352</v>
      </c>
      <c r="C130" s="45" t="s">
        <v>19</v>
      </c>
      <c r="G130" s="126"/>
    </row>
    <row r="131" spans="2:7">
      <c r="B131" s="125" t="s">
        <v>336</v>
      </c>
      <c r="C131" s="45" t="s">
        <v>33</v>
      </c>
      <c r="G131" s="126"/>
    </row>
    <row r="132" spans="2:7">
      <c r="B132" s="125" t="s">
        <v>336</v>
      </c>
      <c r="C132" s="45" t="s">
        <v>14</v>
      </c>
      <c r="G132" s="126"/>
    </row>
    <row r="133" spans="2:7">
      <c r="B133" s="125" t="s">
        <v>336</v>
      </c>
      <c r="C133" s="45" t="s">
        <v>18</v>
      </c>
      <c r="G133" s="126"/>
    </row>
    <row r="134" spans="2:7">
      <c r="B134" s="125" t="s">
        <v>336</v>
      </c>
      <c r="C134" s="45" t="s">
        <v>35</v>
      </c>
      <c r="G134" s="126"/>
    </row>
    <row r="135" spans="2:7">
      <c r="B135" s="125"/>
      <c r="G135" s="126"/>
    </row>
    <row r="136" spans="2:7">
      <c r="B136" s="125"/>
      <c r="C136" s="44" t="s">
        <v>337</v>
      </c>
      <c r="G136" s="126"/>
    </row>
    <row r="137" spans="2:7">
      <c r="B137" s="125" t="s">
        <v>400</v>
      </c>
      <c r="C137" s="45" t="s">
        <v>18</v>
      </c>
      <c r="G137" s="126"/>
    </row>
    <row r="138" spans="2:7">
      <c r="B138" s="125"/>
      <c r="G138" s="126"/>
    </row>
    <row r="139" spans="2:7">
      <c r="B139" s="125"/>
      <c r="C139" s="44" t="s">
        <v>22</v>
      </c>
      <c r="G139" s="126"/>
    </row>
    <row r="140" spans="2:7">
      <c r="B140" s="125" t="s">
        <v>336</v>
      </c>
      <c r="C140" s="45" t="s">
        <v>18</v>
      </c>
      <c r="G140" s="126"/>
    </row>
    <row r="141" spans="2:7">
      <c r="B141" s="125"/>
      <c r="G141" s="126"/>
    </row>
    <row r="142" spans="2:7">
      <c r="B142" s="125"/>
      <c r="C142" s="44" t="s">
        <v>401</v>
      </c>
      <c r="G142" s="126"/>
    </row>
    <row r="143" spans="2:7" ht="13.5" thickBot="1">
      <c r="B143" s="140"/>
      <c r="C143" s="131" t="s">
        <v>339</v>
      </c>
      <c r="D143" s="131"/>
      <c r="E143" s="141"/>
      <c r="F143" s="131"/>
      <c r="G143" s="135"/>
    </row>
    <row r="145" spans="2:7" ht="13.5" thickBot="1"/>
    <row r="146" spans="2:7" ht="13.5" thickBot="1">
      <c r="B146" s="239" t="s">
        <v>402</v>
      </c>
      <c r="C146" s="240"/>
      <c r="D146" s="240"/>
      <c r="E146" s="240"/>
      <c r="F146" s="240"/>
      <c r="G146" s="241"/>
    </row>
    <row r="147" spans="2:7" ht="13.5" thickBot="1">
      <c r="B147" s="125"/>
      <c r="G147" s="126"/>
    </row>
    <row r="148" spans="2:7">
      <c r="B148" s="125"/>
      <c r="C148" s="127" t="s">
        <v>27</v>
      </c>
      <c r="D148" s="128"/>
      <c r="E148" s="128" t="s">
        <v>1</v>
      </c>
      <c r="F148" s="129">
        <v>36</v>
      </c>
      <c r="G148" s="126"/>
    </row>
    <row r="149" spans="2:7" ht="13.5" thickBot="1">
      <c r="B149" s="125"/>
      <c r="C149" s="130"/>
      <c r="D149" s="131"/>
      <c r="E149" s="131" t="s">
        <v>403</v>
      </c>
      <c r="F149" s="132">
        <v>29</v>
      </c>
      <c r="G149" s="126"/>
    </row>
    <row r="150" spans="2:7" ht="13.5" thickBot="1">
      <c r="B150" s="125"/>
      <c r="G150" s="126"/>
    </row>
    <row r="151" spans="2:7">
      <c r="B151" s="125"/>
      <c r="C151" s="127" t="s">
        <v>4</v>
      </c>
      <c r="D151" s="128"/>
      <c r="E151" s="128" t="s">
        <v>28</v>
      </c>
      <c r="F151" s="129" t="s">
        <v>390</v>
      </c>
      <c r="G151" s="126"/>
    </row>
    <row r="152" spans="2:7">
      <c r="B152" s="125"/>
      <c r="C152" s="59" t="s">
        <v>2</v>
      </c>
      <c r="E152" s="45" t="s">
        <v>404</v>
      </c>
      <c r="F152" s="126"/>
      <c r="G152" s="126"/>
    </row>
    <row r="153" spans="2:7" ht="13.5" thickBot="1">
      <c r="B153" s="125"/>
      <c r="C153" s="130" t="s">
        <v>3</v>
      </c>
      <c r="D153" s="131"/>
      <c r="E153" s="134" t="s">
        <v>326</v>
      </c>
      <c r="F153" s="135"/>
      <c r="G153" s="126"/>
    </row>
    <row r="154" spans="2:7">
      <c r="B154" s="125"/>
      <c r="G154" s="126"/>
    </row>
    <row r="155" spans="2:7" ht="13.5" thickBot="1">
      <c r="B155" s="125"/>
      <c r="G155" s="126"/>
    </row>
    <row r="156" spans="2:7" ht="13.5" thickBot="1">
      <c r="B156" s="125"/>
      <c r="C156" s="136" t="s">
        <v>29</v>
      </c>
      <c r="D156" s="137"/>
      <c r="E156" s="138" t="s">
        <v>275</v>
      </c>
      <c r="F156" s="139"/>
      <c r="G156" s="126"/>
    </row>
    <row r="157" spans="2:7">
      <c r="B157" s="125"/>
      <c r="G157" s="126"/>
    </row>
    <row r="158" spans="2:7">
      <c r="B158" s="125"/>
      <c r="C158" s="45" t="s">
        <v>5</v>
      </c>
      <c r="G158" s="126"/>
    </row>
    <row r="159" spans="2:7">
      <c r="B159" s="125"/>
      <c r="G159" s="126"/>
    </row>
    <row r="160" spans="2:7">
      <c r="B160" s="59">
        <v>1</v>
      </c>
      <c r="C160" s="45" t="s">
        <v>6</v>
      </c>
      <c r="G160" s="126"/>
    </row>
    <row r="161" spans="2:7">
      <c r="B161" s="59">
        <v>2</v>
      </c>
      <c r="C161" s="45" t="s">
        <v>8</v>
      </c>
      <c r="G161" s="126"/>
    </row>
    <row r="162" spans="2:7">
      <c r="B162" s="59">
        <v>3</v>
      </c>
      <c r="C162" s="45" t="s">
        <v>31</v>
      </c>
      <c r="G162" s="126"/>
    </row>
    <row r="163" spans="2:7">
      <c r="B163" s="59">
        <v>4</v>
      </c>
      <c r="C163" s="45" t="s">
        <v>11</v>
      </c>
      <c r="G163" s="126"/>
    </row>
    <row r="164" spans="2:7">
      <c r="B164" s="59">
        <v>5</v>
      </c>
      <c r="C164" s="45" t="s">
        <v>9</v>
      </c>
      <c r="G164" s="126"/>
    </row>
    <row r="165" spans="2:7">
      <c r="B165" s="59">
        <v>6</v>
      </c>
      <c r="C165" s="45" t="s">
        <v>12</v>
      </c>
      <c r="G165" s="126"/>
    </row>
    <row r="166" spans="2:7">
      <c r="B166" s="59">
        <v>7</v>
      </c>
      <c r="C166" s="45" t="s">
        <v>33</v>
      </c>
      <c r="G166" s="126"/>
    </row>
    <row r="167" spans="2:7">
      <c r="B167" s="59">
        <v>8</v>
      </c>
      <c r="C167" s="45" t="s">
        <v>13</v>
      </c>
      <c r="G167" s="126"/>
    </row>
    <row r="168" spans="2:7">
      <c r="B168" s="59">
        <v>9</v>
      </c>
      <c r="C168" s="45" t="s">
        <v>14</v>
      </c>
      <c r="G168" s="126"/>
    </row>
    <row r="169" spans="2:7">
      <c r="B169" s="59">
        <v>10</v>
      </c>
      <c r="C169" s="45" t="s">
        <v>15</v>
      </c>
      <c r="G169" s="126"/>
    </row>
    <row r="170" spans="2:7">
      <c r="B170" s="59">
        <v>11</v>
      </c>
      <c r="C170" s="45" t="s">
        <v>42</v>
      </c>
      <c r="G170" s="126"/>
    </row>
    <row r="171" spans="2:7">
      <c r="B171" s="59">
        <v>12</v>
      </c>
      <c r="C171" s="45" t="s">
        <v>17</v>
      </c>
      <c r="G171" s="126"/>
    </row>
    <row r="172" spans="2:7">
      <c r="B172" s="59">
        <v>13</v>
      </c>
      <c r="C172" s="45" t="s">
        <v>18</v>
      </c>
      <c r="G172" s="126"/>
    </row>
    <row r="173" spans="2:7">
      <c r="B173" s="59">
        <v>14</v>
      </c>
      <c r="C173" s="45" t="s">
        <v>19</v>
      </c>
      <c r="G173" s="126"/>
    </row>
    <row r="174" spans="2:7">
      <c r="B174" s="59">
        <v>15</v>
      </c>
      <c r="C174" s="45" t="s">
        <v>16</v>
      </c>
      <c r="G174" s="126"/>
    </row>
    <row r="175" spans="2:7">
      <c r="B175" s="125"/>
      <c r="G175" s="126"/>
    </row>
    <row r="176" spans="2:7">
      <c r="B176" s="125"/>
      <c r="C176" s="45" t="s">
        <v>405</v>
      </c>
      <c r="G176" s="126"/>
    </row>
    <row r="177" spans="2:7">
      <c r="B177" s="125"/>
      <c r="C177" s="45" t="s">
        <v>406</v>
      </c>
      <c r="G177" s="126"/>
    </row>
    <row r="178" spans="2:7">
      <c r="B178" s="125"/>
      <c r="G178" s="126"/>
    </row>
    <row r="179" spans="2:7">
      <c r="B179" s="125"/>
      <c r="C179" s="124" t="s">
        <v>21</v>
      </c>
      <c r="G179" s="126"/>
    </row>
    <row r="180" spans="2:7">
      <c r="B180" s="125" t="s">
        <v>336</v>
      </c>
      <c r="C180" s="45" t="s">
        <v>6</v>
      </c>
      <c r="G180" s="126"/>
    </row>
    <row r="181" spans="2:7">
      <c r="B181" s="125" t="s">
        <v>336</v>
      </c>
      <c r="C181" s="45" t="s">
        <v>16</v>
      </c>
      <c r="G181" s="126"/>
    </row>
    <row r="182" spans="2:7">
      <c r="B182" s="125" t="s">
        <v>336</v>
      </c>
      <c r="C182" s="45" t="s">
        <v>42</v>
      </c>
      <c r="G182" s="126"/>
    </row>
    <row r="183" spans="2:7">
      <c r="B183" s="125" t="s">
        <v>336</v>
      </c>
      <c r="C183" s="45" t="s">
        <v>33</v>
      </c>
      <c r="G183" s="126"/>
    </row>
    <row r="184" spans="2:7">
      <c r="B184" s="125" t="s">
        <v>336</v>
      </c>
      <c r="C184" s="45" t="s">
        <v>14</v>
      </c>
      <c r="G184" s="126"/>
    </row>
    <row r="185" spans="2:7">
      <c r="B185" s="125" t="s">
        <v>336</v>
      </c>
      <c r="C185" s="45" t="s">
        <v>18</v>
      </c>
      <c r="G185" s="126"/>
    </row>
    <row r="186" spans="2:7">
      <c r="B186" s="125"/>
      <c r="G186" s="126"/>
    </row>
    <row r="187" spans="2:7">
      <c r="B187" s="125"/>
      <c r="C187" s="44" t="s">
        <v>337</v>
      </c>
      <c r="G187" s="126"/>
    </row>
    <row r="188" spans="2:7">
      <c r="B188" s="125" t="s">
        <v>335</v>
      </c>
      <c r="C188" s="45" t="s">
        <v>18</v>
      </c>
      <c r="G188" s="126"/>
    </row>
    <row r="189" spans="2:7">
      <c r="B189" s="125"/>
      <c r="G189" s="126"/>
    </row>
    <row r="190" spans="2:7">
      <c r="B190" s="125"/>
      <c r="C190" s="44" t="s">
        <v>23</v>
      </c>
      <c r="G190" s="126"/>
    </row>
    <row r="191" spans="2:7">
      <c r="B191" s="125"/>
      <c r="C191" s="112" t="s">
        <v>11</v>
      </c>
      <c r="G191" s="126"/>
    </row>
    <row r="192" spans="2:7">
      <c r="B192" s="125"/>
      <c r="C192" s="112" t="s">
        <v>42</v>
      </c>
      <c r="G192" s="126"/>
    </row>
    <row r="193" spans="2:7">
      <c r="B193" s="125"/>
      <c r="C193" s="112" t="s">
        <v>147</v>
      </c>
      <c r="G193" s="126"/>
    </row>
    <row r="194" spans="2:7" ht="13.5" thickBot="1">
      <c r="B194" s="140"/>
      <c r="C194" s="131"/>
      <c r="D194" s="131"/>
      <c r="E194" s="141"/>
      <c r="F194" s="131"/>
      <c r="G194" s="135"/>
    </row>
    <row r="196" spans="2:7" ht="13.5" thickBot="1"/>
    <row r="197" spans="2:7" ht="13.5" thickBot="1">
      <c r="B197" s="239" t="s">
        <v>407</v>
      </c>
      <c r="C197" s="240"/>
      <c r="D197" s="240"/>
      <c r="E197" s="240"/>
      <c r="F197" s="240"/>
      <c r="G197" s="241"/>
    </row>
    <row r="198" spans="2:7" ht="13.5" thickBot="1">
      <c r="B198" s="125"/>
      <c r="G198" s="126"/>
    </row>
    <row r="199" spans="2:7">
      <c r="B199" s="125"/>
      <c r="C199" s="127" t="s">
        <v>27</v>
      </c>
      <c r="D199" s="128"/>
      <c r="E199" s="128" t="s">
        <v>45</v>
      </c>
      <c r="F199" s="129">
        <v>0</v>
      </c>
      <c r="G199" s="126"/>
    </row>
    <row r="200" spans="2:7" ht="13.5" thickBot="1">
      <c r="B200" s="125"/>
      <c r="C200" s="130"/>
      <c r="D200" s="131"/>
      <c r="E200" s="131" t="s">
        <v>1</v>
      </c>
      <c r="F200" s="132">
        <v>80</v>
      </c>
      <c r="G200" s="126"/>
    </row>
    <row r="201" spans="2:7" ht="13.5" thickBot="1">
      <c r="B201" s="125"/>
      <c r="G201" s="126"/>
    </row>
    <row r="202" spans="2:7">
      <c r="B202" s="125"/>
      <c r="C202" s="127" t="s">
        <v>4</v>
      </c>
      <c r="D202" s="128"/>
      <c r="E202" s="128" t="s">
        <v>28</v>
      </c>
      <c r="F202" s="129" t="s">
        <v>390</v>
      </c>
      <c r="G202" s="126"/>
    </row>
    <row r="203" spans="2:7">
      <c r="B203" s="125"/>
      <c r="C203" s="59" t="s">
        <v>2</v>
      </c>
      <c r="E203" s="45" t="s">
        <v>326</v>
      </c>
      <c r="F203" s="126"/>
      <c r="G203" s="126"/>
    </row>
    <row r="204" spans="2:7" ht="13.5" thickBot="1">
      <c r="B204" s="125"/>
      <c r="C204" s="130" t="s">
        <v>3</v>
      </c>
      <c r="D204" s="131"/>
      <c r="E204" s="134" t="s">
        <v>326</v>
      </c>
      <c r="F204" s="135"/>
      <c r="G204" s="126"/>
    </row>
    <row r="205" spans="2:7">
      <c r="B205" s="125"/>
      <c r="G205" s="126"/>
    </row>
    <row r="206" spans="2:7" ht="13.5" thickBot="1">
      <c r="B206" s="125"/>
      <c r="G206" s="126"/>
    </row>
    <row r="207" spans="2:7" ht="13.5" thickBot="1">
      <c r="B207" s="125"/>
      <c r="C207" s="136" t="s">
        <v>29</v>
      </c>
      <c r="D207" s="137"/>
      <c r="E207" s="138" t="s">
        <v>276</v>
      </c>
      <c r="F207" s="139"/>
      <c r="G207" s="126"/>
    </row>
    <row r="208" spans="2:7">
      <c r="B208" s="125"/>
      <c r="G208" s="126"/>
    </row>
    <row r="209" spans="2:7">
      <c r="B209" s="125"/>
      <c r="C209" s="45" t="s">
        <v>5</v>
      </c>
      <c r="G209" s="126"/>
    </row>
    <row r="210" spans="2:7">
      <c r="B210" s="125"/>
      <c r="G210" s="126"/>
    </row>
    <row r="211" spans="2:7">
      <c r="B211" s="59">
        <v>1</v>
      </c>
      <c r="C211" s="45" t="s">
        <v>6</v>
      </c>
      <c r="G211" s="126"/>
    </row>
    <row r="212" spans="2:7">
      <c r="B212" s="59">
        <v>2</v>
      </c>
      <c r="C212" s="45" t="s">
        <v>7</v>
      </c>
      <c r="G212" s="126"/>
    </row>
    <row r="213" spans="2:7">
      <c r="B213" s="59">
        <v>3</v>
      </c>
      <c r="C213" s="45" t="s">
        <v>8</v>
      </c>
      <c r="G213" s="126"/>
    </row>
    <row r="214" spans="2:7">
      <c r="B214" s="59">
        <v>4</v>
      </c>
      <c r="C214" s="45" t="s">
        <v>11</v>
      </c>
      <c r="G214" s="126"/>
    </row>
    <row r="215" spans="2:7">
      <c r="B215" s="59">
        <v>5</v>
      </c>
      <c r="C215" s="45" t="s">
        <v>9</v>
      </c>
      <c r="G215" s="126"/>
    </row>
    <row r="216" spans="2:7">
      <c r="B216" s="59">
        <v>6</v>
      </c>
      <c r="C216" s="45" t="s">
        <v>12</v>
      </c>
      <c r="G216" s="126"/>
    </row>
    <row r="217" spans="2:7">
      <c r="B217" s="59">
        <v>7</v>
      </c>
      <c r="C217" s="45" t="s">
        <v>33</v>
      </c>
      <c r="G217" s="126"/>
    </row>
    <row r="218" spans="2:7">
      <c r="B218" s="59">
        <v>8</v>
      </c>
      <c r="C218" s="45" t="s">
        <v>13</v>
      </c>
      <c r="G218" s="126"/>
    </row>
    <row r="219" spans="2:7">
      <c r="B219" s="59">
        <v>9</v>
      </c>
      <c r="C219" s="45" t="s">
        <v>14</v>
      </c>
      <c r="G219" s="126"/>
    </row>
    <row r="220" spans="2:7">
      <c r="B220" s="59">
        <v>10</v>
      </c>
      <c r="C220" s="45" t="s">
        <v>15</v>
      </c>
      <c r="G220" s="126"/>
    </row>
    <row r="221" spans="2:7">
      <c r="B221" s="59">
        <v>11</v>
      </c>
      <c r="C221" s="45" t="s">
        <v>42</v>
      </c>
      <c r="G221" s="126"/>
    </row>
    <row r="222" spans="2:7">
      <c r="B222" s="59">
        <v>12</v>
      </c>
      <c r="C222" s="45" t="s">
        <v>19</v>
      </c>
      <c r="G222" s="126"/>
    </row>
    <row r="223" spans="2:7">
      <c r="B223" s="59">
        <v>13</v>
      </c>
      <c r="C223" s="45" t="s">
        <v>18</v>
      </c>
      <c r="G223" s="126"/>
    </row>
    <row r="224" spans="2:7">
      <c r="B224" s="59">
        <v>14</v>
      </c>
      <c r="C224" s="45" t="s">
        <v>46</v>
      </c>
      <c r="G224" s="126"/>
    </row>
    <row r="225" spans="2:7">
      <c r="B225" s="59">
        <v>15</v>
      </c>
      <c r="C225" s="45" t="s">
        <v>16</v>
      </c>
      <c r="G225" s="126"/>
    </row>
    <row r="226" spans="2:7">
      <c r="B226" s="125"/>
      <c r="G226" s="126"/>
    </row>
    <row r="227" spans="2:7">
      <c r="B227" s="125"/>
      <c r="C227" s="45" t="s">
        <v>408</v>
      </c>
      <c r="G227" s="126"/>
    </row>
    <row r="228" spans="2:7">
      <c r="B228" s="125"/>
      <c r="C228" s="45" t="s">
        <v>406</v>
      </c>
      <c r="G228" s="126"/>
    </row>
    <row r="229" spans="2:7">
      <c r="B229" s="125"/>
      <c r="C229" s="45" t="s">
        <v>409</v>
      </c>
      <c r="G229" s="126"/>
    </row>
    <row r="230" spans="2:7">
      <c r="B230" s="125"/>
      <c r="C230" s="45" t="s">
        <v>410</v>
      </c>
      <c r="G230" s="126"/>
    </row>
    <row r="231" spans="2:7">
      <c r="B231" s="125"/>
      <c r="C231" s="45" t="s">
        <v>411</v>
      </c>
      <c r="G231" s="126"/>
    </row>
    <row r="232" spans="2:7">
      <c r="B232" s="125"/>
      <c r="G232" s="126"/>
    </row>
    <row r="233" spans="2:7">
      <c r="B233" s="125"/>
      <c r="C233" s="124" t="s">
        <v>21</v>
      </c>
      <c r="G233" s="126"/>
    </row>
    <row r="234" spans="2:7">
      <c r="B234" s="125" t="s">
        <v>336</v>
      </c>
      <c r="C234" s="45" t="s">
        <v>42</v>
      </c>
      <c r="G234" s="126"/>
    </row>
    <row r="235" spans="2:7">
      <c r="B235" s="125" t="s">
        <v>338</v>
      </c>
      <c r="C235" s="45" t="s">
        <v>16</v>
      </c>
      <c r="G235" s="126"/>
    </row>
    <row r="236" spans="2:7">
      <c r="B236" s="125" t="s">
        <v>336</v>
      </c>
      <c r="C236" s="45" t="s">
        <v>7</v>
      </c>
      <c r="G236" s="126"/>
    </row>
    <row r="237" spans="2:7">
      <c r="B237" s="125" t="s">
        <v>336</v>
      </c>
      <c r="C237" s="45" t="s">
        <v>19</v>
      </c>
      <c r="G237" s="126"/>
    </row>
    <row r="238" spans="2:7">
      <c r="B238" s="125" t="s">
        <v>336</v>
      </c>
      <c r="C238" s="45" t="s">
        <v>12</v>
      </c>
      <c r="G238" s="126"/>
    </row>
    <row r="239" spans="2:7">
      <c r="B239" s="125" t="s">
        <v>336</v>
      </c>
      <c r="C239" s="45" t="s">
        <v>33</v>
      </c>
      <c r="G239" s="126"/>
    </row>
    <row r="240" spans="2:7">
      <c r="B240" s="125" t="s">
        <v>336</v>
      </c>
      <c r="C240" s="45" t="s">
        <v>14</v>
      </c>
      <c r="G240" s="126"/>
    </row>
    <row r="241" spans="2:7">
      <c r="B241" s="125" t="s">
        <v>336</v>
      </c>
      <c r="C241" s="45" t="s">
        <v>18</v>
      </c>
      <c r="G241" s="126"/>
    </row>
    <row r="242" spans="2:7">
      <c r="B242" s="125" t="s">
        <v>336</v>
      </c>
      <c r="C242" s="45" t="s">
        <v>13</v>
      </c>
      <c r="G242" s="126"/>
    </row>
    <row r="243" spans="2:7">
      <c r="B243" s="125"/>
      <c r="G243" s="126"/>
    </row>
    <row r="244" spans="2:7">
      <c r="B244" s="125"/>
      <c r="C244" s="44" t="s">
        <v>337</v>
      </c>
      <c r="G244" s="126"/>
    </row>
    <row r="245" spans="2:7">
      <c r="B245" s="125" t="s">
        <v>412</v>
      </c>
      <c r="C245" s="45" t="s">
        <v>18</v>
      </c>
      <c r="G245" s="126"/>
    </row>
    <row r="246" spans="2:7">
      <c r="B246" s="125"/>
      <c r="G246" s="126"/>
    </row>
    <row r="247" spans="2:7">
      <c r="B247" s="125"/>
      <c r="C247" s="44" t="s">
        <v>401</v>
      </c>
      <c r="G247" s="126"/>
    </row>
    <row r="248" spans="2:7">
      <c r="B248" s="125"/>
      <c r="C248" s="45" t="s">
        <v>339</v>
      </c>
      <c r="G248" s="126"/>
    </row>
    <row r="249" spans="2:7" ht="13.5" thickBot="1">
      <c r="B249" s="140"/>
      <c r="C249" s="131"/>
      <c r="D249" s="131"/>
      <c r="E249" s="141"/>
      <c r="F249" s="131"/>
      <c r="G249" s="135"/>
    </row>
    <row r="251" spans="2:7" ht="13.5" thickBot="1"/>
    <row r="252" spans="2:7" ht="13.5" thickBot="1">
      <c r="B252" s="239" t="s">
        <v>413</v>
      </c>
      <c r="C252" s="240"/>
      <c r="D252" s="240"/>
      <c r="E252" s="240"/>
      <c r="F252" s="240"/>
      <c r="G252" s="241"/>
    </row>
    <row r="253" spans="2:7" ht="13.5" thickBot="1">
      <c r="B253" s="125"/>
      <c r="G253" s="126"/>
    </row>
    <row r="254" spans="2:7">
      <c r="B254" s="125"/>
      <c r="C254" s="127" t="s">
        <v>27</v>
      </c>
      <c r="D254" s="128"/>
      <c r="E254" s="128" t="s">
        <v>1</v>
      </c>
      <c r="F254" s="129">
        <v>62</v>
      </c>
      <c r="G254" s="126"/>
    </row>
    <row r="255" spans="2:7" ht="13.5" thickBot="1">
      <c r="B255" s="125"/>
      <c r="C255" s="130"/>
      <c r="D255" s="131"/>
      <c r="E255" s="131" t="s">
        <v>414</v>
      </c>
      <c r="F255" s="132">
        <v>0</v>
      </c>
      <c r="G255" s="126"/>
    </row>
    <row r="256" spans="2:7" ht="13.5" thickBot="1">
      <c r="B256" s="125"/>
      <c r="G256" s="126"/>
    </row>
    <row r="257" spans="2:7">
      <c r="B257" s="125"/>
      <c r="C257" s="127" t="s">
        <v>4</v>
      </c>
      <c r="D257" s="128"/>
      <c r="E257" s="128" t="s">
        <v>28</v>
      </c>
      <c r="F257" s="133" t="s">
        <v>415</v>
      </c>
      <c r="G257" s="126"/>
    </row>
    <row r="258" spans="2:7">
      <c r="B258" s="125"/>
      <c r="C258" s="59" t="s">
        <v>2</v>
      </c>
      <c r="E258" s="45" t="s">
        <v>326</v>
      </c>
      <c r="F258" s="126"/>
      <c r="G258" s="126"/>
    </row>
    <row r="259" spans="2:7" ht="13.5" thickBot="1">
      <c r="B259" s="125"/>
      <c r="C259" s="130" t="s">
        <v>3</v>
      </c>
      <c r="D259" s="131"/>
      <c r="E259" s="134" t="s">
        <v>326</v>
      </c>
      <c r="F259" s="135"/>
      <c r="G259" s="126"/>
    </row>
    <row r="260" spans="2:7">
      <c r="B260" s="125"/>
      <c r="G260" s="126"/>
    </row>
    <row r="261" spans="2:7" ht="13.5" thickBot="1">
      <c r="B261" s="125"/>
      <c r="G261" s="126"/>
    </row>
    <row r="262" spans="2:7" ht="13.5" thickBot="1">
      <c r="B262" s="125"/>
      <c r="C262" s="136" t="s">
        <v>29</v>
      </c>
      <c r="D262" s="137"/>
      <c r="E262" s="138" t="s">
        <v>277</v>
      </c>
      <c r="F262" s="139"/>
      <c r="G262" s="126"/>
    </row>
    <row r="263" spans="2:7">
      <c r="B263" s="125"/>
      <c r="G263" s="126"/>
    </row>
    <row r="264" spans="2:7">
      <c r="B264" s="125"/>
      <c r="C264" s="45" t="s">
        <v>5</v>
      </c>
      <c r="G264" s="126"/>
    </row>
    <row r="265" spans="2:7">
      <c r="B265" s="125"/>
      <c r="G265" s="126"/>
    </row>
    <row r="266" spans="2:7">
      <c r="B266" s="59">
        <v>1</v>
      </c>
      <c r="C266" s="45" t="s">
        <v>6</v>
      </c>
      <c r="G266" s="126"/>
    </row>
    <row r="267" spans="2:7">
      <c r="B267" s="59">
        <v>2</v>
      </c>
      <c r="C267" s="45" t="s">
        <v>7</v>
      </c>
      <c r="G267" s="126"/>
    </row>
    <row r="268" spans="2:7">
      <c r="B268" s="59">
        <v>3</v>
      </c>
      <c r="C268" s="45" t="s">
        <v>31</v>
      </c>
      <c r="G268" s="126"/>
    </row>
    <row r="269" spans="2:7">
      <c r="B269" s="59">
        <v>4</v>
      </c>
      <c r="C269" s="45" t="s">
        <v>11</v>
      </c>
      <c r="G269" s="126"/>
    </row>
    <row r="270" spans="2:7">
      <c r="B270" s="59">
        <v>5</v>
      </c>
      <c r="C270" s="45" t="s">
        <v>9</v>
      </c>
      <c r="G270" s="126"/>
    </row>
    <row r="271" spans="2:7">
      <c r="B271" s="59">
        <v>6</v>
      </c>
      <c r="C271" s="45" t="s">
        <v>12</v>
      </c>
      <c r="G271" s="126"/>
    </row>
    <row r="272" spans="2:7">
      <c r="B272" s="59">
        <v>7</v>
      </c>
      <c r="C272" s="45" t="s">
        <v>33</v>
      </c>
      <c r="G272" s="126"/>
    </row>
    <row r="273" spans="2:7">
      <c r="B273" s="59">
        <v>8</v>
      </c>
      <c r="C273" s="45" t="s">
        <v>13</v>
      </c>
      <c r="G273" s="126"/>
    </row>
    <row r="274" spans="2:7">
      <c r="B274" s="59">
        <v>9</v>
      </c>
      <c r="C274" s="45" t="s">
        <v>14</v>
      </c>
      <c r="G274" s="126"/>
    </row>
    <row r="275" spans="2:7">
      <c r="B275" s="59">
        <v>10</v>
      </c>
      <c r="C275" s="45" t="s">
        <v>15</v>
      </c>
      <c r="G275" s="126"/>
    </row>
    <row r="276" spans="2:7">
      <c r="B276" s="59">
        <v>11</v>
      </c>
      <c r="C276" s="45" t="s">
        <v>42</v>
      </c>
      <c r="G276" s="126"/>
    </row>
    <row r="277" spans="2:7">
      <c r="B277" s="59">
        <v>12</v>
      </c>
      <c r="C277" s="45" t="s">
        <v>19</v>
      </c>
      <c r="G277" s="126"/>
    </row>
    <row r="278" spans="2:7">
      <c r="B278" s="59">
        <v>13</v>
      </c>
      <c r="C278" s="45" t="s">
        <v>18</v>
      </c>
      <c r="G278" s="126"/>
    </row>
    <row r="279" spans="2:7">
      <c r="B279" s="59">
        <v>14</v>
      </c>
      <c r="C279" s="45" t="s">
        <v>46</v>
      </c>
      <c r="G279" s="126"/>
    </row>
    <row r="280" spans="2:7">
      <c r="B280" s="59">
        <v>15</v>
      </c>
      <c r="C280" s="45" t="s">
        <v>16</v>
      </c>
      <c r="G280" s="126"/>
    </row>
    <row r="281" spans="2:7">
      <c r="B281" s="125"/>
      <c r="G281" s="126"/>
    </row>
    <row r="282" spans="2:7">
      <c r="B282" s="125"/>
      <c r="C282" s="45" t="s">
        <v>416</v>
      </c>
      <c r="G282" s="126"/>
    </row>
    <row r="283" spans="2:7">
      <c r="B283" s="125"/>
      <c r="C283" s="45" t="s">
        <v>417</v>
      </c>
      <c r="G283" s="126"/>
    </row>
    <row r="284" spans="2:7">
      <c r="B284" s="125"/>
      <c r="G284" s="126"/>
    </row>
    <row r="285" spans="2:7">
      <c r="B285" s="125"/>
      <c r="C285" s="124" t="s">
        <v>21</v>
      </c>
      <c r="G285" s="126"/>
    </row>
    <row r="286" spans="2:7">
      <c r="B286" s="125" t="s">
        <v>352</v>
      </c>
      <c r="C286" s="45" t="s">
        <v>42</v>
      </c>
      <c r="G286" s="126"/>
    </row>
    <row r="287" spans="2:7">
      <c r="B287" s="125" t="s">
        <v>335</v>
      </c>
      <c r="C287" s="45" t="s">
        <v>16</v>
      </c>
      <c r="G287" s="126"/>
    </row>
    <row r="288" spans="2:7">
      <c r="B288" s="125" t="s">
        <v>336</v>
      </c>
      <c r="C288" s="45" t="s">
        <v>9</v>
      </c>
      <c r="G288" s="126"/>
    </row>
    <row r="289" spans="2:7">
      <c r="B289" s="125" t="s">
        <v>336</v>
      </c>
      <c r="C289" s="45" t="s">
        <v>19</v>
      </c>
      <c r="G289" s="126"/>
    </row>
    <row r="290" spans="2:7">
      <c r="B290" s="125" t="s">
        <v>336</v>
      </c>
      <c r="C290" s="45" t="s">
        <v>33</v>
      </c>
      <c r="G290" s="126"/>
    </row>
    <row r="291" spans="2:7">
      <c r="B291" s="125" t="s">
        <v>336</v>
      </c>
      <c r="C291" s="45" t="s">
        <v>18</v>
      </c>
      <c r="G291" s="126"/>
    </row>
    <row r="292" spans="2:7">
      <c r="B292" s="125"/>
      <c r="G292" s="126"/>
    </row>
    <row r="293" spans="2:7">
      <c r="B293" s="125"/>
      <c r="G293" s="126"/>
    </row>
    <row r="294" spans="2:7">
      <c r="B294" s="125"/>
      <c r="C294" s="44" t="s">
        <v>337</v>
      </c>
      <c r="G294" s="126"/>
    </row>
    <row r="295" spans="2:7">
      <c r="B295" s="125" t="s">
        <v>418</v>
      </c>
      <c r="C295" s="45" t="s">
        <v>18</v>
      </c>
      <c r="G295" s="126"/>
    </row>
    <row r="296" spans="2:7">
      <c r="B296" s="125"/>
      <c r="G296" s="126"/>
    </row>
    <row r="297" spans="2:7">
      <c r="B297" s="125"/>
      <c r="C297" s="44" t="s">
        <v>22</v>
      </c>
      <c r="G297" s="126"/>
    </row>
    <row r="298" spans="2:7">
      <c r="B298" s="125" t="s">
        <v>336</v>
      </c>
      <c r="C298" s="45" t="s">
        <v>18</v>
      </c>
      <c r="G298" s="126"/>
    </row>
    <row r="299" spans="2:7">
      <c r="B299" s="125"/>
      <c r="G299" s="126"/>
    </row>
    <row r="300" spans="2:7">
      <c r="B300" s="125"/>
      <c r="C300" s="44" t="s">
        <v>401</v>
      </c>
      <c r="G300" s="126"/>
    </row>
    <row r="301" spans="2:7">
      <c r="B301" s="125"/>
      <c r="C301" s="45" t="s">
        <v>339</v>
      </c>
      <c r="G301" s="126"/>
    </row>
    <row r="302" spans="2:7" ht="13.5" thickBot="1">
      <c r="B302" s="140"/>
      <c r="C302" s="131"/>
      <c r="D302" s="131"/>
      <c r="E302" s="141"/>
      <c r="F302" s="131"/>
      <c r="G302" s="135"/>
    </row>
    <row r="304" spans="2:7" ht="13.5" thickBot="1"/>
    <row r="305" spans="2:7" ht="13.5" thickBot="1">
      <c r="B305" s="239" t="s">
        <v>419</v>
      </c>
      <c r="C305" s="240"/>
      <c r="D305" s="240"/>
      <c r="E305" s="240"/>
      <c r="F305" s="240"/>
      <c r="G305" s="241"/>
    </row>
    <row r="306" spans="2:7" ht="13.5" thickBot="1">
      <c r="B306" s="125"/>
      <c r="G306" s="126"/>
    </row>
    <row r="307" spans="2:7">
      <c r="B307" s="125"/>
      <c r="C307" s="127" t="s">
        <v>27</v>
      </c>
      <c r="D307" s="128"/>
      <c r="E307" s="128" t="s">
        <v>50</v>
      </c>
      <c r="F307" s="129">
        <v>5</v>
      </c>
      <c r="G307" s="126"/>
    </row>
    <row r="308" spans="2:7" ht="13.5" thickBot="1">
      <c r="B308" s="125"/>
      <c r="C308" s="130"/>
      <c r="D308" s="131"/>
      <c r="E308" s="131" t="s">
        <v>1</v>
      </c>
      <c r="F308" s="132">
        <v>105</v>
      </c>
      <c r="G308" s="126"/>
    </row>
    <row r="309" spans="2:7" ht="13.5" thickBot="1">
      <c r="B309" s="125"/>
      <c r="G309" s="126"/>
    </row>
    <row r="310" spans="2:7">
      <c r="B310" s="125"/>
      <c r="C310" s="127" t="s">
        <v>4</v>
      </c>
      <c r="D310" s="128"/>
      <c r="E310" s="128" t="s">
        <v>51</v>
      </c>
      <c r="F310" s="133" t="s">
        <v>415</v>
      </c>
      <c r="G310" s="126"/>
    </row>
    <row r="311" spans="2:7">
      <c r="B311" s="125"/>
      <c r="C311" s="59" t="s">
        <v>2</v>
      </c>
      <c r="E311" s="45" t="s">
        <v>404</v>
      </c>
      <c r="F311" s="126"/>
      <c r="G311" s="126"/>
    </row>
    <row r="312" spans="2:7" ht="13.5" thickBot="1">
      <c r="B312" s="125"/>
      <c r="C312" s="130" t="s">
        <v>3</v>
      </c>
      <c r="D312" s="131"/>
      <c r="E312" s="134" t="s">
        <v>344</v>
      </c>
      <c r="F312" s="135"/>
      <c r="G312" s="126"/>
    </row>
    <row r="313" spans="2:7">
      <c r="B313" s="125"/>
      <c r="G313" s="126"/>
    </row>
    <row r="314" spans="2:7" ht="13.5" thickBot="1">
      <c r="B314" s="125"/>
      <c r="G314" s="126"/>
    </row>
    <row r="315" spans="2:7" ht="13.5" thickBot="1">
      <c r="B315" s="125"/>
      <c r="C315" s="136" t="s">
        <v>29</v>
      </c>
      <c r="D315" s="137"/>
      <c r="E315" s="138" t="s">
        <v>278</v>
      </c>
      <c r="F315" s="139"/>
      <c r="G315" s="126"/>
    </row>
    <row r="316" spans="2:7">
      <c r="B316" s="125"/>
      <c r="G316" s="126"/>
    </row>
    <row r="317" spans="2:7">
      <c r="B317" s="125"/>
      <c r="C317" s="45" t="s">
        <v>5</v>
      </c>
      <c r="G317" s="126"/>
    </row>
    <row r="318" spans="2:7">
      <c r="B318" s="125"/>
      <c r="G318" s="126"/>
    </row>
    <row r="319" spans="2:7">
      <c r="B319" s="59">
        <v>1</v>
      </c>
      <c r="C319" s="45" t="s">
        <v>31</v>
      </c>
      <c r="G319" s="126"/>
    </row>
    <row r="320" spans="2:7">
      <c r="B320" s="59">
        <v>2</v>
      </c>
      <c r="C320" s="45" t="s">
        <v>7</v>
      </c>
      <c r="G320" s="126"/>
    </row>
    <row r="321" spans="2:7">
      <c r="B321" s="59">
        <v>3</v>
      </c>
      <c r="C321" s="45" t="s">
        <v>35</v>
      </c>
      <c r="G321" s="126"/>
    </row>
    <row r="322" spans="2:7">
      <c r="B322" s="59">
        <v>4</v>
      </c>
      <c r="C322" s="45" t="s">
        <v>11</v>
      </c>
      <c r="G322" s="126"/>
    </row>
    <row r="323" spans="2:7">
      <c r="B323" s="59">
        <v>5</v>
      </c>
      <c r="C323" s="45" t="s">
        <v>9</v>
      </c>
      <c r="G323" s="126"/>
    </row>
    <row r="324" spans="2:7">
      <c r="B324" s="59">
        <v>6</v>
      </c>
      <c r="C324" s="45" t="s">
        <v>12</v>
      </c>
      <c r="G324" s="126"/>
    </row>
    <row r="325" spans="2:7">
      <c r="B325" s="59">
        <v>7</v>
      </c>
      <c r="C325" s="45" t="s">
        <v>33</v>
      </c>
      <c r="G325" s="126"/>
    </row>
    <row r="326" spans="2:7">
      <c r="B326" s="59">
        <v>8</v>
      </c>
      <c r="C326" s="45" t="s">
        <v>13</v>
      </c>
      <c r="G326" s="126"/>
    </row>
    <row r="327" spans="2:7">
      <c r="B327" s="59">
        <v>9</v>
      </c>
      <c r="C327" s="45" t="s">
        <v>14</v>
      </c>
      <c r="G327" s="126"/>
    </row>
    <row r="328" spans="2:7">
      <c r="B328" s="59">
        <v>10</v>
      </c>
      <c r="C328" s="45" t="s">
        <v>15</v>
      </c>
      <c r="G328" s="126"/>
    </row>
    <row r="329" spans="2:7">
      <c r="B329" s="59">
        <v>11</v>
      </c>
      <c r="C329" s="45" t="s">
        <v>42</v>
      </c>
      <c r="G329" s="126"/>
    </row>
    <row r="330" spans="2:7">
      <c r="B330" s="59">
        <v>12</v>
      </c>
      <c r="C330" s="45" t="s">
        <v>17</v>
      </c>
      <c r="G330" s="126"/>
    </row>
    <row r="331" spans="2:7">
      <c r="B331" s="59">
        <v>13</v>
      </c>
      <c r="C331" s="45" t="s">
        <v>18</v>
      </c>
      <c r="G331" s="126"/>
    </row>
    <row r="332" spans="2:7">
      <c r="B332" s="59">
        <v>14</v>
      </c>
      <c r="C332" s="45" t="s">
        <v>46</v>
      </c>
      <c r="G332" s="126"/>
    </row>
    <row r="333" spans="2:7">
      <c r="B333" s="59">
        <v>15</v>
      </c>
      <c r="C333" s="45" t="s">
        <v>16</v>
      </c>
      <c r="G333" s="126"/>
    </row>
    <row r="334" spans="2:7">
      <c r="B334" s="125"/>
      <c r="G334" s="126"/>
    </row>
    <row r="335" spans="2:7">
      <c r="B335" s="125"/>
      <c r="C335" s="45" t="s">
        <v>420</v>
      </c>
      <c r="G335" s="126"/>
    </row>
    <row r="336" spans="2:7">
      <c r="B336" s="125"/>
      <c r="C336" s="45" t="s">
        <v>421</v>
      </c>
      <c r="G336" s="126"/>
    </row>
    <row r="337" spans="2:7">
      <c r="B337" s="125"/>
      <c r="C337" s="45" t="s">
        <v>399</v>
      </c>
      <c r="G337" s="126"/>
    </row>
    <row r="338" spans="2:7">
      <c r="B338" s="125"/>
      <c r="C338" s="45" t="s">
        <v>422</v>
      </c>
      <c r="G338" s="126"/>
    </row>
    <row r="339" spans="2:7">
      <c r="B339" s="125"/>
      <c r="C339" s="45" t="s">
        <v>409</v>
      </c>
      <c r="G339" s="126"/>
    </row>
    <row r="340" spans="2:7">
      <c r="B340" s="125"/>
      <c r="C340" s="45" t="s">
        <v>423</v>
      </c>
      <c r="G340" s="126"/>
    </row>
    <row r="341" spans="2:7">
      <c r="B341" s="125"/>
      <c r="C341" s="45" t="s">
        <v>421</v>
      </c>
      <c r="G341" s="126"/>
    </row>
    <row r="342" spans="2:7">
      <c r="B342" s="125"/>
      <c r="C342" s="45" t="s">
        <v>424</v>
      </c>
      <c r="G342" s="126"/>
    </row>
    <row r="343" spans="2:7">
      <c r="B343" s="125"/>
      <c r="C343" s="45" t="s">
        <v>425</v>
      </c>
      <c r="G343" s="126"/>
    </row>
    <row r="344" spans="2:7">
      <c r="B344" s="125"/>
      <c r="G344" s="126"/>
    </row>
    <row r="345" spans="2:7">
      <c r="B345" s="125"/>
      <c r="C345" s="124" t="s">
        <v>21</v>
      </c>
      <c r="G345" s="126"/>
    </row>
    <row r="346" spans="2:7">
      <c r="B346" s="125" t="s">
        <v>336</v>
      </c>
      <c r="C346" s="45" t="s">
        <v>42</v>
      </c>
      <c r="G346" s="126"/>
    </row>
    <row r="347" spans="2:7">
      <c r="B347" s="125" t="s">
        <v>352</v>
      </c>
      <c r="C347" s="45" t="s">
        <v>16</v>
      </c>
      <c r="G347" s="126"/>
    </row>
    <row r="348" spans="2:7">
      <c r="B348" s="125" t="s">
        <v>336</v>
      </c>
      <c r="C348" s="45" t="s">
        <v>9</v>
      </c>
      <c r="G348" s="126"/>
    </row>
    <row r="349" spans="2:7">
      <c r="B349" s="125" t="s">
        <v>336</v>
      </c>
      <c r="C349" s="45" t="s">
        <v>53</v>
      </c>
      <c r="G349" s="126"/>
    </row>
    <row r="350" spans="2:7">
      <c r="B350" s="125" t="s">
        <v>352</v>
      </c>
      <c r="C350" s="45" t="s">
        <v>33</v>
      </c>
      <c r="G350" s="126"/>
    </row>
    <row r="351" spans="2:7">
      <c r="B351" s="125" t="s">
        <v>352</v>
      </c>
      <c r="C351" s="45" t="s">
        <v>18</v>
      </c>
      <c r="G351" s="126"/>
    </row>
    <row r="352" spans="2:7">
      <c r="B352" s="125" t="s">
        <v>336</v>
      </c>
      <c r="C352" s="45" t="s">
        <v>6</v>
      </c>
      <c r="G352" s="126"/>
    </row>
    <row r="353" spans="2:7">
      <c r="B353" s="125" t="s">
        <v>336</v>
      </c>
      <c r="C353" s="45" t="s">
        <v>35</v>
      </c>
      <c r="G353" s="126"/>
    </row>
    <row r="354" spans="2:7">
      <c r="B354" s="125" t="s">
        <v>338</v>
      </c>
      <c r="C354" s="45" t="s">
        <v>52</v>
      </c>
      <c r="G354" s="126"/>
    </row>
    <row r="355" spans="2:7">
      <c r="B355" s="125" t="s">
        <v>336</v>
      </c>
      <c r="C355" s="45" t="s">
        <v>17</v>
      </c>
      <c r="G355" s="126"/>
    </row>
    <row r="356" spans="2:7">
      <c r="B356" s="125">
        <v>1</v>
      </c>
      <c r="C356" s="45" t="s">
        <v>13</v>
      </c>
      <c r="G356" s="126"/>
    </row>
    <row r="357" spans="2:7">
      <c r="B357" s="125"/>
      <c r="G357" s="126"/>
    </row>
    <row r="358" spans="2:7">
      <c r="B358" s="125"/>
      <c r="C358" s="44" t="s">
        <v>337</v>
      </c>
      <c r="G358" s="126"/>
    </row>
    <row r="359" spans="2:7">
      <c r="B359" s="125" t="s">
        <v>412</v>
      </c>
      <c r="C359" s="45" t="s">
        <v>18</v>
      </c>
      <c r="G359" s="126"/>
    </row>
    <row r="360" spans="2:7">
      <c r="B360" s="125"/>
      <c r="G360" s="126"/>
    </row>
    <row r="361" spans="2:7">
      <c r="B361" s="125"/>
      <c r="C361" s="44" t="s">
        <v>401</v>
      </c>
      <c r="G361" s="126"/>
    </row>
    <row r="362" spans="2:7">
      <c r="B362" s="125"/>
      <c r="C362" s="45" t="s">
        <v>339</v>
      </c>
      <c r="G362" s="126"/>
    </row>
    <row r="363" spans="2:7" ht="13.5" thickBot="1">
      <c r="B363" s="140"/>
      <c r="C363" s="131"/>
      <c r="D363" s="131"/>
      <c r="E363" s="141"/>
      <c r="F363" s="131"/>
      <c r="G363" s="135"/>
    </row>
    <row r="365" spans="2:7" ht="13.5" thickBot="1"/>
    <row r="366" spans="2:7" ht="13.5" thickBot="1">
      <c r="B366" s="239" t="s">
        <v>426</v>
      </c>
      <c r="C366" s="240"/>
      <c r="D366" s="240"/>
      <c r="E366" s="240"/>
      <c r="F366" s="240"/>
      <c r="G366" s="241"/>
    </row>
    <row r="367" spans="2:7" ht="13.5" thickBot="1">
      <c r="B367" s="125"/>
      <c r="G367" s="126"/>
    </row>
    <row r="368" spans="2:7">
      <c r="B368" s="125"/>
      <c r="C368" s="127" t="s">
        <v>27</v>
      </c>
      <c r="D368" s="128"/>
      <c r="E368" s="128" t="s">
        <v>1</v>
      </c>
      <c r="F368" s="129">
        <v>88</v>
      </c>
      <c r="G368" s="126"/>
    </row>
    <row r="369" spans="2:7" ht="13.5" thickBot="1">
      <c r="B369" s="125"/>
      <c r="C369" s="130"/>
      <c r="D369" s="131"/>
      <c r="E369" s="131" t="s">
        <v>54</v>
      </c>
      <c r="F369" s="132">
        <v>10</v>
      </c>
      <c r="G369" s="126"/>
    </row>
    <row r="370" spans="2:7" ht="13.5" thickBot="1">
      <c r="B370" s="125"/>
      <c r="G370" s="126"/>
    </row>
    <row r="371" spans="2:7">
      <c r="B371" s="125"/>
      <c r="C371" s="127" t="s">
        <v>4</v>
      </c>
      <c r="D371" s="128"/>
      <c r="E371" s="128" t="s">
        <v>28</v>
      </c>
      <c r="F371" s="133" t="s">
        <v>427</v>
      </c>
      <c r="G371" s="126"/>
    </row>
    <row r="372" spans="2:7">
      <c r="B372" s="125"/>
      <c r="C372" s="59" t="s">
        <v>2</v>
      </c>
      <c r="E372" s="45" t="s">
        <v>326</v>
      </c>
      <c r="F372" s="126"/>
      <c r="G372" s="126"/>
    </row>
    <row r="373" spans="2:7" ht="13.5" thickBot="1">
      <c r="B373" s="125"/>
      <c r="C373" s="130" t="s">
        <v>3</v>
      </c>
      <c r="D373" s="131"/>
      <c r="E373" s="134" t="s">
        <v>344</v>
      </c>
      <c r="F373" s="135"/>
      <c r="G373" s="126"/>
    </row>
    <row r="374" spans="2:7">
      <c r="B374" s="125"/>
      <c r="G374" s="126"/>
    </row>
    <row r="375" spans="2:7" ht="13.5" thickBot="1">
      <c r="B375" s="125"/>
      <c r="G375" s="126"/>
    </row>
    <row r="376" spans="2:7" ht="13.5" thickBot="1">
      <c r="B376" s="125"/>
      <c r="C376" s="136" t="s">
        <v>29</v>
      </c>
      <c r="D376" s="137"/>
      <c r="E376" s="138" t="s">
        <v>279</v>
      </c>
      <c r="F376" s="139"/>
      <c r="G376" s="126"/>
    </row>
    <row r="377" spans="2:7">
      <c r="B377" s="125"/>
      <c r="G377" s="126"/>
    </row>
    <row r="378" spans="2:7">
      <c r="B378" s="125"/>
      <c r="C378" s="45" t="s">
        <v>5</v>
      </c>
      <c r="G378" s="126"/>
    </row>
    <row r="379" spans="2:7">
      <c r="B379" s="125"/>
      <c r="G379" s="126"/>
    </row>
    <row r="380" spans="2:7">
      <c r="B380" s="59">
        <v>1</v>
      </c>
      <c r="C380" s="45" t="s">
        <v>6</v>
      </c>
      <c r="G380" s="126"/>
    </row>
    <row r="381" spans="2:7">
      <c r="B381" s="59">
        <v>2</v>
      </c>
      <c r="C381" s="45" t="s">
        <v>7</v>
      </c>
      <c r="G381" s="126"/>
    </row>
    <row r="382" spans="2:7">
      <c r="B382" s="59">
        <v>3</v>
      </c>
      <c r="C382" s="45" t="s">
        <v>35</v>
      </c>
      <c r="G382" s="126"/>
    </row>
    <row r="383" spans="2:7">
      <c r="B383" s="59">
        <v>4</v>
      </c>
      <c r="C383" s="45" t="s">
        <v>11</v>
      </c>
      <c r="G383" s="126"/>
    </row>
    <row r="384" spans="2:7">
      <c r="B384" s="59">
        <v>5</v>
      </c>
      <c r="C384" s="45" t="s">
        <v>9</v>
      </c>
      <c r="G384" s="126"/>
    </row>
    <row r="385" spans="2:7">
      <c r="B385" s="59">
        <v>6</v>
      </c>
      <c r="C385" s="45" t="s">
        <v>12</v>
      </c>
      <c r="G385" s="126"/>
    </row>
    <row r="386" spans="2:7">
      <c r="B386" s="59">
        <v>7</v>
      </c>
      <c r="C386" s="45" t="s">
        <v>33</v>
      </c>
      <c r="G386" s="126"/>
    </row>
    <row r="387" spans="2:7">
      <c r="B387" s="59">
        <v>8</v>
      </c>
      <c r="C387" s="45" t="s">
        <v>13</v>
      </c>
      <c r="G387" s="126"/>
    </row>
    <row r="388" spans="2:7">
      <c r="B388" s="59">
        <v>9</v>
      </c>
      <c r="C388" s="45" t="s">
        <v>14</v>
      </c>
      <c r="G388" s="126"/>
    </row>
    <row r="389" spans="2:7">
      <c r="B389" s="59">
        <v>10</v>
      </c>
      <c r="C389" s="45" t="s">
        <v>15</v>
      </c>
      <c r="G389" s="126"/>
    </row>
    <row r="390" spans="2:7">
      <c r="B390" s="59">
        <v>11</v>
      </c>
      <c r="C390" s="45" t="s">
        <v>42</v>
      </c>
      <c r="G390" s="126"/>
    </row>
    <row r="391" spans="2:7">
      <c r="B391" s="59">
        <v>12</v>
      </c>
      <c r="C391" s="45" t="s">
        <v>17</v>
      </c>
      <c r="G391" s="126"/>
    </row>
    <row r="392" spans="2:7">
      <c r="B392" s="59">
        <v>13</v>
      </c>
      <c r="C392" s="45" t="s">
        <v>18</v>
      </c>
      <c r="G392" s="126"/>
    </row>
    <row r="393" spans="2:7">
      <c r="B393" s="59">
        <v>14</v>
      </c>
      <c r="C393" s="45" t="s">
        <v>52</v>
      </c>
      <c r="G393" s="126"/>
    </row>
    <row r="394" spans="2:7">
      <c r="B394" s="59">
        <v>15</v>
      </c>
      <c r="C394" s="45" t="s">
        <v>16</v>
      </c>
      <c r="G394" s="126"/>
    </row>
    <row r="395" spans="2:7">
      <c r="B395" s="125"/>
      <c r="G395" s="126"/>
    </row>
    <row r="396" spans="2:7">
      <c r="B396" s="125"/>
      <c r="C396" s="45" t="s">
        <v>428</v>
      </c>
      <c r="G396" s="126"/>
    </row>
    <row r="397" spans="2:7">
      <c r="B397" s="125"/>
      <c r="C397" s="45" t="s">
        <v>423</v>
      </c>
      <c r="G397" s="126"/>
    </row>
    <row r="398" spans="2:7">
      <c r="B398" s="125"/>
      <c r="C398" s="45" t="s">
        <v>429</v>
      </c>
      <c r="G398" s="126"/>
    </row>
    <row r="399" spans="2:7">
      <c r="B399" s="125"/>
      <c r="C399" s="45" t="s">
        <v>430</v>
      </c>
      <c r="G399" s="126"/>
    </row>
    <row r="400" spans="2:7">
      <c r="B400" s="125"/>
      <c r="C400" s="45" t="s">
        <v>398</v>
      </c>
      <c r="G400" s="126"/>
    </row>
    <row r="401" spans="2:8">
      <c r="B401" s="125"/>
      <c r="C401" s="45" t="s">
        <v>431</v>
      </c>
      <c r="G401" s="126"/>
    </row>
    <row r="402" spans="2:8">
      <c r="B402" s="125"/>
      <c r="C402" s="45" t="s">
        <v>432</v>
      </c>
      <c r="G402" s="126"/>
    </row>
    <row r="403" spans="2:8">
      <c r="B403" s="125"/>
      <c r="C403" s="45" t="s">
        <v>433</v>
      </c>
      <c r="G403" s="126"/>
    </row>
    <row r="404" spans="2:8">
      <c r="B404" s="125"/>
      <c r="G404" s="126"/>
    </row>
    <row r="405" spans="2:8">
      <c r="B405" s="125"/>
      <c r="C405" s="124" t="s">
        <v>21</v>
      </c>
      <c r="G405" s="126"/>
    </row>
    <row r="406" spans="2:8">
      <c r="B406" s="142">
        <v>2</v>
      </c>
      <c r="C406" s="45" t="s">
        <v>42</v>
      </c>
      <c r="G406" s="126"/>
    </row>
    <row r="407" spans="2:8">
      <c r="B407" s="142" t="s">
        <v>336</v>
      </c>
      <c r="C407" s="45" t="s">
        <v>16</v>
      </c>
      <c r="G407" s="126"/>
      <c r="H407" s="45">
        <f>14*5</f>
        <v>70</v>
      </c>
    </row>
    <row r="408" spans="2:8">
      <c r="B408" s="142">
        <v>2</v>
      </c>
      <c r="C408" s="45" t="s">
        <v>33</v>
      </c>
      <c r="G408" s="126"/>
      <c r="H408" s="45">
        <f>18/2</f>
        <v>9</v>
      </c>
    </row>
    <row r="409" spans="2:8">
      <c r="B409" s="142">
        <v>1</v>
      </c>
      <c r="C409" s="45" t="s">
        <v>18</v>
      </c>
      <c r="G409" s="126"/>
    </row>
    <row r="410" spans="2:8">
      <c r="B410" s="142">
        <v>1</v>
      </c>
      <c r="C410" s="45" t="s">
        <v>14</v>
      </c>
      <c r="G410" s="126"/>
    </row>
    <row r="411" spans="2:8">
      <c r="B411" s="142">
        <v>3</v>
      </c>
      <c r="C411" s="45" t="s">
        <v>35</v>
      </c>
      <c r="G411" s="126"/>
    </row>
    <row r="412" spans="2:8">
      <c r="B412" s="142">
        <v>1</v>
      </c>
      <c r="C412" s="45" t="s">
        <v>52</v>
      </c>
      <c r="G412" s="126"/>
    </row>
    <row r="413" spans="2:8">
      <c r="B413" s="142">
        <v>3</v>
      </c>
      <c r="C413" s="45" t="s">
        <v>17</v>
      </c>
      <c r="G413" s="126"/>
    </row>
    <row r="414" spans="2:8">
      <c r="B414" s="143"/>
      <c r="G414" s="126"/>
    </row>
    <row r="415" spans="2:8">
      <c r="B415" s="125"/>
      <c r="C415" s="44" t="s">
        <v>337</v>
      </c>
      <c r="G415" s="126"/>
    </row>
    <row r="416" spans="2:8">
      <c r="B416" s="125" t="s">
        <v>381</v>
      </c>
      <c r="C416" s="45" t="s">
        <v>18</v>
      </c>
      <c r="G416" s="126"/>
    </row>
    <row r="417" spans="2:7">
      <c r="B417" s="125"/>
      <c r="G417" s="126"/>
    </row>
    <row r="418" spans="2:7">
      <c r="B418" s="125"/>
      <c r="C418" s="44" t="s">
        <v>401</v>
      </c>
      <c r="G418" s="126"/>
    </row>
    <row r="419" spans="2:7">
      <c r="B419" s="125"/>
      <c r="C419" s="45" t="s">
        <v>339</v>
      </c>
      <c r="G419" s="126"/>
    </row>
    <row r="420" spans="2:7" ht="13.5" thickBot="1">
      <c r="B420" s="140"/>
      <c r="C420" s="131"/>
      <c r="D420" s="131"/>
      <c r="E420" s="141"/>
      <c r="F420" s="131"/>
      <c r="G420" s="135"/>
    </row>
    <row r="422" spans="2:7" ht="13.5" thickBot="1"/>
    <row r="423" spans="2:7" ht="13.5" thickBot="1">
      <c r="B423" s="239" t="s">
        <v>434</v>
      </c>
      <c r="C423" s="240"/>
      <c r="D423" s="240"/>
      <c r="E423" s="240"/>
      <c r="F423" s="240"/>
      <c r="G423" s="241"/>
    </row>
    <row r="424" spans="2:7" ht="13.5" thickBot="1">
      <c r="B424" s="125"/>
      <c r="G424" s="126"/>
    </row>
    <row r="425" spans="2:7">
      <c r="B425" s="125"/>
      <c r="C425" s="127" t="s">
        <v>27</v>
      </c>
      <c r="D425" s="128"/>
      <c r="E425" s="128" t="s">
        <v>55</v>
      </c>
      <c r="F425" s="129">
        <v>5</v>
      </c>
      <c r="G425" s="126"/>
    </row>
    <row r="426" spans="2:7" ht="13.5" thickBot="1">
      <c r="B426" s="125"/>
      <c r="C426" s="130"/>
      <c r="D426" s="131"/>
      <c r="E426" s="131" t="s">
        <v>1</v>
      </c>
      <c r="F426" s="132">
        <v>80</v>
      </c>
      <c r="G426" s="126"/>
    </row>
    <row r="427" spans="2:7" ht="13.5" thickBot="1">
      <c r="B427" s="125"/>
      <c r="G427" s="126"/>
    </row>
    <row r="428" spans="2:7">
      <c r="B428" s="125"/>
      <c r="C428" s="127" t="s">
        <v>4</v>
      </c>
      <c r="D428" s="128"/>
      <c r="E428" s="128" t="s">
        <v>55</v>
      </c>
      <c r="F428" s="133"/>
      <c r="G428" s="126"/>
    </row>
    <row r="429" spans="2:7">
      <c r="B429" s="125"/>
      <c r="C429" s="59" t="s">
        <v>2</v>
      </c>
      <c r="E429" s="45" t="s">
        <v>404</v>
      </c>
      <c r="F429" s="126"/>
      <c r="G429" s="126"/>
    </row>
    <row r="430" spans="2:7" ht="13.5" thickBot="1">
      <c r="B430" s="125"/>
      <c r="C430" s="130" t="s">
        <v>3</v>
      </c>
      <c r="D430" s="131"/>
      <c r="E430" s="134" t="s">
        <v>344</v>
      </c>
      <c r="F430" s="135"/>
      <c r="G430" s="126"/>
    </row>
    <row r="431" spans="2:7">
      <c r="B431" s="125"/>
      <c r="G431" s="126"/>
    </row>
    <row r="432" spans="2:7" ht="13.5" thickBot="1">
      <c r="B432" s="125"/>
      <c r="G432" s="126"/>
    </row>
    <row r="433" spans="2:7" ht="13.5" thickBot="1">
      <c r="B433" s="125"/>
      <c r="C433" s="136" t="s">
        <v>29</v>
      </c>
      <c r="D433" s="137"/>
      <c r="E433" s="138" t="s">
        <v>280</v>
      </c>
      <c r="F433" s="139"/>
      <c r="G433" s="126"/>
    </row>
    <row r="434" spans="2:7">
      <c r="B434" s="125"/>
      <c r="G434" s="126"/>
    </row>
    <row r="435" spans="2:7">
      <c r="B435" s="125"/>
      <c r="C435" s="45" t="s">
        <v>5</v>
      </c>
      <c r="G435" s="126"/>
    </row>
    <row r="436" spans="2:7">
      <c r="B436" s="125"/>
      <c r="G436" s="126"/>
    </row>
    <row r="437" spans="2:7">
      <c r="B437" s="59">
        <v>1</v>
      </c>
      <c r="C437" s="45" t="s">
        <v>6</v>
      </c>
      <c r="G437" s="126"/>
    </row>
    <row r="438" spans="2:7">
      <c r="B438" s="59">
        <v>2</v>
      </c>
      <c r="C438" s="45" t="s">
        <v>7</v>
      </c>
      <c r="G438" s="126"/>
    </row>
    <row r="439" spans="2:7">
      <c r="B439" s="59">
        <v>3</v>
      </c>
      <c r="C439" s="45" t="s">
        <v>35</v>
      </c>
      <c r="G439" s="126"/>
    </row>
    <row r="440" spans="2:7">
      <c r="B440" s="59">
        <v>4</v>
      </c>
      <c r="C440" s="45" t="s">
        <v>11</v>
      </c>
      <c r="G440" s="126"/>
    </row>
    <row r="441" spans="2:7">
      <c r="B441" s="59">
        <v>5</v>
      </c>
      <c r="C441" s="45" t="s">
        <v>9</v>
      </c>
      <c r="G441" s="126"/>
    </row>
    <row r="442" spans="2:7">
      <c r="B442" s="59">
        <v>6</v>
      </c>
      <c r="C442" s="45" t="s">
        <v>12</v>
      </c>
      <c r="G442" s="126"/>
    </row>
    <row r="443" spans="2:7">
      <c r="B443" s="59">
        <v>7</v>
      </c>
      <c r="C443" s="45" t="s">
        <v>33</v>
      </c>
      <c r="G443" s="126"/>
    </row>
    <row r="444" spans="2:7">
      <c r="B444" s="59">
        <v>8</v>
      </c>
      <c r="C444" s="45" t="s">
        <v>13</v>
      </c>
      <c r="G444" s="126"/>
    </row>
    <row r="445" spans="2:7">
      <c r="B445" s="59">
        <v>9</v>
      </c>
      <c r="C445" s="45" t="s">
        <v>14</v>
      </c>
      <c r="G445" s="126"/>
    </row>
    <row r="446" spans="2:7">
      <c r="B446" s="59">
        <v>10</v>
      </c>
      <c r="C446" s="45" t="s">
        <v>15</v>
      </c>
      <c r="G446" s="126"/>
    </row>
    <row r="447" spans="2:7">
      <c r="B447" s="59">
        <v>11</v>
      </c>
      <c r="C447" s="45" t="s">
        <v>42</v>
      </c>
      <c r="G447" s="126"/>
    </row>
    <row r="448" spans="2:7">
      <c r="B448" s="59">
        <v>12</v>
      </c>
      <c r="C448" s="45" t="s">
        <v>17</v>
      </c>
      <c r="G448" s="126"/>
    </row>
    <row r="449" spans="2:7">
      <c r="B449" s="59">
        <v>13</v>
      </c>
      <c r="C449" s="45" t="s">
        <v>18</v>
      </c>
      <c r="G449" s="126"/>
    </row>
    <row r="450" spans="2:7">
      <c r="B450" s="59">
        <v>14</v>
      </c>
      <c r="C450" s="45" t="s">
        <v>52</v>
      </c>
      <c r="G450" s="126"/>
    </row>
    <row r="451" spans="2:7">
      <c r="B451" s="59">
        <v>15</v>
      </c>
      <c r="C451" s="45" t="s">
        <v>16</v>
      </c>
      <c r="G451" s="126"/>
    </row>
    <row r="452" spans="2:7">
      <c r="B452" s="125"/>
      <c r="G452" s="126"/>
    </row>
    <row r="453" spans="2:7">
      <c r="B453" s="125"/>
      <c r="C453" s="45" t="s">
        <v>435</v>
      </c>
      <c r="G453" s="126"/>
    </row>
    <row r="454" spans="2:7">
      <c r="B454" s="125"/>
      <c r="C454" s="45" t="s">
        <v>423</v>
      </c>
      <c r="G454" s="126"/>
    </row>
    <row r="455" spans="2:7">
      <c r="B455" s="125"/>
      <c r="C455" s="45" t="s">
        <v>436</v>
      </c>
      <c r="G455" s="126"/>
    </row>
    <row r="456" spans="2:7">
      <c r="B456" s="125"/>
      <c r="C456" s="45" t="s">
        <v>431</v>
      </c>
      <c r="G456" s="126"/>
    </row>
    <row r="457" spans="2:7">
      <c r="B457" s="125"/>
      <c r="G457" s="126"/>
    </row>
    <row r="458" spans="2:7">
      <c r="B458" s="125"/>
      <c r="C458" s="124" t="s">
        <v>21</v>
      </c>
      <c r="G458" s="126"/>
    </row>
    <row r="459" spans="2:7">
      <c r="B459" s="142">
        <v>2</v>
      </c>
      <c r="C459" s="45" t="s">
        <v>42</v>
      </c>
      <c r="G459" s="126"/>
    </row>
    <row r="460" spans="2:7">
      <c r="B460" s="142">
        <v>1</v>
      </c>
      <c r="C460" s="45" t="s">
        <v>16</v>
      </c>
      <c r="G460" s="126"/>
    </row>
    <row r="461" spans="2:7">
      <c r="B461" s="142">
        <v>2</v>
      </c>
      <c r="C461" s="45" t="s">
        <v>33</v>
      </c>
      <c r="G461" s="126"/>
    </row>
    <row r="462" spans="2:7">
      <c r="B462" s="142">
        <v>1</v>
      </c>
      <c r="C462" s="45" t="s">
        <v>18</v>
      </c>
      <c r="G462" s="126"/>
    </row>
    <row r="463" spans="2:7">
      <c r="B463" s="142">
        <v>1</v>
      </c>
      <c r="C463" s="45" t="s">
        <v>14</v>
      </c>
      <c r="G463" s="126"/>
    </row>
    <row r="464" spans="2:7">
      <c r="B464" s="142">
        <v>2</v>
      </c>
      <c r="C464" s="45" t="s">
        <v>35</v>
      </c>
      <c r="G464" s="126"/>
    </row>
    <row r="465" spans="2:7">
      <c r="B465" s="142">
        <v>1</v>
      </c>
      <c r="C465" s="45" t="s">
        <v>6</v>
      </c>
      <c r="G465" s="126"/>
    </row>
    <row r="466" spans="2:7">
      <c r="B466" s="142">
        <v>2</v>
      </c>
      <c r="C466" s="45" t="s">
        <v>17</v>
      </c>
      <c r="G466" s="126"/>
    </row>
    <row r="467" spans="2:7">
      <c r="B467" s="142">
        <v>1</v>
      </c>
      <c r="C467" s="45" t="s">
        <v>15</v>
      </c>
      <c r="G467" s="126"/>
    </row>
    <row r="468" spans="2:7">
      <c r="B468" s="142">
        <v>1</v>
      </c>
      <c r="C468" s="45" t="s">
        <v>56</v>
      </c>
      <c r="G468" s="126"/>
    </row>
    <row r="469" spans="2:7">
      <c r="B469" s="143"/>
      <c r="G469" s="126"/>
    </row>
    <row r="470" spans="2:7">
      <c r="B470" s="125"/>
      <c r="C470" s="44" t="s">
        <v>337</v>
      </c>
      <c r="G470" s="126"/>
    </row>
    <row r="471" spans="2:7">
      <c r="B471" s="125" t="s">
        <v>351</v>
      </c>
      <c r="C471" s="45" t="s">
        <v>17</v>
      </c>
      <c r="G471" s="126"/>
    </row>
    <row r="472" spans="2:7">
      <c r="B472" s="125"/>
      <c r="G472" s="126"/>
    </row>
    <row r="473" spans="2:7">
      <c r="B473" s="125"/>
      <c r="C473" s="44" t="s">
        <v>401</v>
      </c>
      <c r="G473" s="126"/>
    </row>
    <row r="474" spans="2:7">
      <c r="B474" s="125"/>
      <c r="C474" s="45" t="s">
        <v>339</v>
      </c>
      <c r="G474" s="126"/>
    </row>
    <row r="475" spans="2:7" ht="13.5" thickBot="1">
      <c r="B475" s="140"/>
      <c r="C475" s="131"/>
      <c r="D475" s="131"/>
      <c r="E475" s="141"/>
      <c r="F475" s="131"/>
      <c r="G475" s="135"/>
    </row>
    <row r="477" spans="2:7" ht="13.5" thickBot="1"/>
    <row r="478" spans="2:7" ht="13.5" thickBot="1">
      <c r="B478" s="239" t="s">
        <v>437</v>
      </c>
      <c r="C478" s="240"/>
      <c r="D478" s="240"/>
      <c r="E478" s="240"/>
      <c r="F478" s="240"/>
      <c r="G478" s="241"/>
    </row>
    <row r="479" spans="2:7" ht="13.5" thickBot="1">
      <c r="B479" s="125"/>
      <c r="G479" s="126"/>
    </row>
    <row r="480" spans="2:7">
      <c r="B480" s="125"/>
      <c r="C480" s="127" t="s">
        <v>27</v>
      </c>
      <c r="D480" s="128"/>
      <c r="E480" s="128" t="s">
        <v>1</v>
      </c>
      <c r="F480" s="129">
        <v>58</v>
      </c>
      <c r="G480" s="126"/>
    </row>
    <row r="481" spans="2:7" ht="13.5" thickBot="1">
      <c r="B481" s="125"/>
      <c r="C481" s="130"/>
      <c r="D481" s="131"/>
      <c r="E481" s="131" t="s">
        <v>57</v>
      </c>
      <c r="F481" s="132">
        <v>0</v>
      </c>
      <c r="G481" s="126"/>
    </row>
    <row r="482" spans="2:7" ht="13.5" thickBot="1">
      <c r="B482" s="125"/>
      <c r="G482" s="126"/>
    </row>
    <row r="483" spans="2:7">
      <c r="B483" s="125"/>
      <c r="C483" s="127" t="s">
        <v>4</v>
      </c>
      <c r="D483" s="128"/>
      <c r="E483" s="128" t="s">
        <v>28</v>
      </c>
      <c r="F483" s="133" t="s">
        <v>427</v>
      </c>
      <c r="G483" s="126"/>
    </row>
    <row r="484" spans="2:7">
      <c r="B484" s="125"/>
      <c r="C484" s="59" t="s">
        <v>2</v>
      </c>
      <c r="E484" s="45" t="s">
        <v>326</v>
      </c>
      <c r="F484" s="126"/>
      <c r="G484" s="126"/>
    </row>
    <row r="485" spans="2:7" ht="13.5" thickBot="1">
      <c r="B485" s="125"/>
      <c r="C485" s="130" t="s">
        <v>3</v>
      </c>
      <c r="D485" s="131"/>
      <c r="E485" s="134" t="s">
        <v>326</v>
      </c>
      <c r="F485" s="135"/>
      <c r="G485" s="126"/>
    </row>
    <row r="486" spans="2:7">
      <c r="B486" s="125"/>
      <c r="G486" s="126"/>
    </row>
    <row r="487" spans="2:7" ht="13.5" thickBot="1">
      <c r="B487" s="125"/>
      <c r="G487" s="126"/>
    </row>
    <row r="488" spans="2:7" ht="13.5" thickBot="1">
      <c r="B488" s="125"/>
      <c r="C488" s="136" t="s">
        <v>29</v>
      </c>
      <c r="D488" s="137"/>
      <c r="E488" s="138" t="s">
        <v>281</v>
      </c>
      <c r="F488" s="139"/>
      <c r="G488" s="126"/>
    </row>
    <row r="489" spans="2:7">
      <c r="B489" s="125"/>
      <c r="G489" s="126"/>
    </row>
    <row r="490" spans="2:7">
      <c r="B490" s="125"/>
      <c r="C490" s="45" t="s">
        <v>5</v>
      </c>
      <c r="G490" s="126"/>
    </row>
    <row r="491" spans="2:7">
      <c r="B491" s="125"/>
      <c r="G491" s="126"/>
    </row>
    <row r="492" spans="2:7">
      <c r="B492" s="59">
        <v>1</v>
      </c>
      <c r="C492" s="45" t="s">
        <v>6</v>
      </c>
      <c r="G492" s="126"/>
    </row>
    <row r="493" spans="2:7">
      <c r="B493" s="59">
        <v>2</v>
      </c>
      <c r="C493" s="45" t="s">
        <v>7</v>
      </c>
      <c r="G493" s="126"/>
    </row>
    <row r="494" spans="2:7">
      <c r="B494" s="59">
        <v>3</v>
      </c>
      <c r="C494" s="45" t="s">
        <v>35</v>
      </c>
      <c r="G494" s="126"/>
    </row>
    <row r="495" spans="2:7">
      <c r="B495" s="59">
        <v>4</v>
      </c>
      <c r="C495" s="45" t="s">
        <v>11</v>
      </c>
      <c r="G495" s="126"/>
    </row>
    <row r="496" spans="2:7">
      <c r="B496" s="59">
        <v>5</v>
      </c>
      <c r="C496" s="45" t="s">
        <v>9</v>
      </c>
      <c r="G496" s="126"/>
    </row>
    <row r="497" spans="2:7">
      <c r="B497" s="59">
        <v>6</v>
      </c>
      <c r="C497" s="45" t="s">
        <v>12</v>
      </c>
      <c r="G497" s="126"/>
    </row>
    <row r="498" spans="2:7">
      <c r="B498" s="59">
        <v>7</v>
      </c>
      <c r="C498" s="45" t="s">
        <v>33</v>
      </c>
      <c r="G498" s="126"/>
    </row>
    <row r="499" spans="2:7">
      <c r="B499" s="59">
        <v>8</v>
      </c>
      <c r="C499" s="45" t="s">
        <v>13</v>
      </c>
      <c r="G499" s="126"/>
    </row>
    <row r="500" spans="2:7">
      <c r="B500" s="59">
        <v>9</v>
      </c>
      <c r="C500" s="45" t="s">
        <v>14</v>
      </c>
      <c r="G500" s="126"/>
    </row>
    <row r="501" spans="2:7">
      <c r="B501" s="59">
        <v>10</v>
      </c>
      <c r="C501" s="45" t="s">
        <v>15</v>
      </c>
      <c r="G501" s="126"/>
    </row>
    <row r="502" spans="2:7">
      <c r="B502" s="59">
        <v>11</v>
      </c>
      <c r="C502" s="45" t="s">
        <v>42</v>
      </c>
      <c r="G502" s="126"/>
    </row>
    <row r="503" spans="2:7">
      <c r="B503" s="59">
        <v>12</v>
      </c>
      <c r="C503" s="45" t="s">
        <v>17</v>
      </c>
      <c r="G503" s="126"/>
    </row>
    <row r="504" spans="2:7">
      <c r="B504" s="59">
        <v>13</v>
      </c>
      <c r="C504" s="45" t="s">
        <v>18</v>
      </c>
      <c r="G504" s="126"/>
    </row>
    <row r="505" spans="2:7">
      <c r="B505" s="59">
        <v>14</v>
      </c>
      <c r="C505" s="45" t="s">
        <v>19</v>
      </c>
      <c r="G505" s="126"/>
    </row>
    <row r="506" spans="2:7">
      <c r="B506" s="59">
        <v>15</v>
      </c>
      <c r="C506" s="45" t="s">
        <v>16</v>
      </c>
      <c r="G506" s="126"/>
    </row>
    <row r="507" spans="2:7">
      <c r="B507" s="125"/>
      <c r="G507" s="126"/>
    </row>
    <row r="508" spans="2:7">
      <c r="B508" s="125"/>
      <c r="C508" s="45" t="s">
        <v>438</v>
      </c>
      <c r="G508" s="126"/>
    </row>
    <row r="509" spans="2:7">
      <c r="B509" s="125"/>
      <c r="C509" s="45" t="s">
        <v>439</v>
      </c>
      <c r="G509" s="126"/>
    </row>
    <row r="510" spans="2:7">
      <c r="B510" s="125"/>
      <c r="C510" s="45" t="s">
        <v>440</v>
      </c>
      <c r="G510" s="126"/>
    </row>
    <row r="511" spans="2:7">
      <c r="B511" s="125"/>
      <c r="C511" s="45" t="s">
        <v>441</v>
      </c>
      <c r="G511" s="126"/>
    </row>
    <row r="512" spans="2:7">
      <c r="B512" s="125"/>
      <c r="C512" s="45" t="s">
        <v>442</v>
      </c>
      <c r="G512" s="126"/>
    </row>
    <row r="513" spans="2:7">
      <c r="B513" s="125"/>
      <c r="G513" s="126"/>
    </row>
    <row r="514" spans="2:7">
      <c r="B514" s="125"/>
      <c r="C514" s="124" t="s">
        <v>21</v>
      </c>
      <c r="G514" s="126"/>
    </row>
    <row r="515" spans="2:7">
      <c r="B515" s="142">
        <v>1</v>
      </c>
      <c r="C515" s="45" t="s">
        <v>42</v>
      </c>
      <c r="G515" s="126"/>
    </row>
    <row r="516" spans="2:7">
      <c r="B516" s="142">
        <v>2</v>
      </c>
      <c r="C516" s="45" t="s">
        <v>16</v>
      </c>
      <c r="G516" s="126"/>
    </row>
    <row r="517" spans="2:7">
      <c r="B517" s="142">
        <v>2</v>
      </c>
      <c r="C517" s="45" t="s">
        <v>33</v>
      </c>
      <c r="G517" s="126"/>
    </row>
    <row r="518" spans="2:7">
      <c r="B518" s="142">
        <v>1</v>
      </c>
      <c r="C518" s="45" t="s">
        <v>18</v>
      </c>
      <c r="G518" s="126"/>
    </row>
    <row r="519" spans="2:7">
      <c r="B519" s="142">
        <v>1</v>
      </c>
      <c r="C519" s="45" t="s">
        <v>11</v>
      </c>
      <c r="G519" s="126"/>
    </row>
    <row r="520" spans="2:7">
      <c r="B520" s="142">
        <v>1</v>
      </c>
      <c r="C520" s="45" t="s">
        <v>13</v>
      </c>
      <c r="G520" s="126"/>
    </row>
    <row r="521" spans="2:7">
      <c r="B521" s="142">
        <v>2</v>
      </c>
      <c r="C521" s="45" t="s">
        <v>17</v>
      </c>
      <c r="G521" s="126"/>
    </row>
    <row r="522" spans="2:7">
      <c r="B522" s="143"/>
      <c r="G522" s="126"/>
    </row>
    <row r="523" spans="2:7">
      <c r="B523" s="125"/>
      <c r="C523" s="44" t="s">
        <v>337</v>
      </c>
      <c r="G523" s="126"/>
    </row>
    <row r="524" spans="2:7">
      <c r="B524" s="125" t="s">
        <v>338</v>
      </c>
      <c r="C524" s="45" t="s">
        <v>17</v>
      </c>
      <c r="G524" s="126"/>
    </row>
    <row r="525" spans="2:7">
      <c r="B525" s="125"/>
      <c r="G525" s="126"/>
    </row>
    <row r="526" spans="2:7">
      <c r="B526" s="125"/>
      <c r="C526" s="44" t="s">
        <v>401</v>
      </c>
      <c r="G526" s="126"/>
    </row>
    <row r="527" spans="2:7">
      <c r="B527" s="125"/>
      <c r="C527" s="45" t="s">
        <v>339</v>
      </c>
      <c r="G527" s="126"/>
    </row>
    <row r="528" spans="2:7" ht="13.5" thickBot="1">
      <c r="B528" s="140"/>
      <c r="C528" s="131"/>
      <c r="D528" s="131"/>
      <c r="E528" s="141"/>
      <c r="F528" s="131"/>
      <c r="G528" s="135"/>
    </row>
    <row r="531" spans="2:9">
      <c r="C531" s="45" t="s">
        <v>443</v>
      </c>
    </row>
    <row r="532" spans="2:9" ht="13.5" thickBot="1"/>
    <row r="533" spans="2:9" ht="13.5" thickBot="1">
      <c r="B533" s="239" t="s">
        <v>444</v>
      </c>
      <c r="C533" s="240"/>
      <c r="D533" s="240"/>
      <c r="E533" s="240"/>
      <c r="F533" s="240"/>
      <c r="G533" s="241"/>
    </row>
    <row r="534" spans="2:9" ht="13.5" thickBot="1">
      <c r="B534" s="125"/>
      <c r="G534" s="126"/>
    </row>
    <row r="535" spans="2:9">
      <c r="B535" s="125"/>
      <c r="C535" s="127" t="s">
        <v>27</v>
      </c>
      <c r="D535" s="128"/>
      <c r="E535" s="128" t="s">
        <v>49</v>
      </c>
      <c r="F535" s="129">
        <v>13</v>
      </c>
      <c r="G535" s="126"/>
      <c r="H535" s="45">
        <f>+F536+F579+F630+F676+F728+F769+F818+F867+F919+F972</f>
        <v>330</v>
      </c>
      <c r="I535" s="45">
        <v>33</v>
      </c>
    </row>
    <row r="536" spans="2:9" ht="13.5" thickBot="1">
      <c r="B536" s="125"/>
      <c r="C536" s="130"/>
      <c r="D536" s="131"/>
      <c r="E536" s="131" t="s">
        <v>1</v>
      </c>
      <c r="F536" s="132">
        <v>13</v>
      </c>
      <c r="G536" s="126"/>
      <c r="H536" s="45">
        <f>+F535+F580+F629+F677+F727+F770+F817+F868+F918+F973</f>
        <v>162</v>
      </c>
      <c r="I536" s="45">
        <v>16</v>
      </c>
    </row>
    <row r="537" spans="2:9" ht="13.5" thickBot="1">
      <c r="B537" s="125"/>
      <c r="G537" s="126"/>
    </row>
    <row r="538" spans="2:9">
      <c r="B538" s="125"/>
      <c r="C538" s="127" t="s">
        <v>4</v>
      </c>
      <c r="D538" s="128"/>
      <c r="E538" s="128" t="s">
        <v>49</v>
      </c>
      <c r="F538" s="133"/>
      <c r="G538" s="126"/>
    </row>
    <row r="539" spans="2:9">
      <c r="B539" s="125"/>
      <c r="C539" s="59" t="s">
        <v>2</v>
      </c>
      <c r="E539" s="45" t="s">
        <v>384</v>
      </c>
      <c r="F539" s="126"/>
      <c r="G539" s="126"/>
    </row>
    <row r="540" spans="2:9" ht="13.5" thickBot="1">
      <c r="B540" s="125"/>
      <c r="C540" s="130" t="s">
        <v>3</v>
      </c>
      <c r="D540" s="131"/>
      <c r="E540" s="134" t="s">
        <v>445</v>
      </c>
      <c r="F540" s="135"/>
      <c r="G540" s="126"/>
    </row>
    <row r="541" spans="2:9">
      <c r="B541" s="125"/>
      <c r="G541" s="126"/>
    </row>
    <row r="542" spans="2:9" ht="13.5" thickBot="1">
      <c r="B542" s="125"/>
      <c r="G542" s="126"/>
    </row>
    <row r="543" spans="2:9" ht="13.5" thickBot="1">
      <c r="B543" s="125"/>
      <c r="C543" s="136" t="s">
        <v>29</v>
      </c>
      <c r="D543" s="137"/>
      <c r="E543" s="138" t="s">
        <v>274</v>
      </c>
      <c r="F543" s="139"/>
      <c r="G543" s="126"/>
    </row>
    <row r="544" spans="2:9">
      <c r="B544" s="125"/>
      <c r="G544" s="126"/>
    </row>
    <row r="545" spans="2:7">
      <c r="B545" s="125"/>
      <c r="C545" s="45" t="s">
        <v>5</v>
      </c>
      <c r="G545" s="126"/>
    </row>
    <row r="546" spans="2:7">
      <c r="B546" s="125"/>
      <c r="G546" s="126"/>
    </row>
    <row r="547" spans="2:7">
      <c r="B547" s="59">
        <v>1</v>
      </c>
      <c r="C547" s="45" t="s">
        <v>6</v>
      </c>
      <c r="G547" s="126"/>
    </row>
    <row r="548" spans="2:7">
      <c r="B548" s="59">
        <v>2</v>
      </c>
      <c r="C548" s="45" t="s">
        <v>7</v>
      </c>
      <c r="G548" s="126"/>
    </row>
    <row r="549" spans="2:7">
      <c r="B549" s="59">
        <v>3</v>
      </c>
      <c r="C549" s="45" t="s">
        <v>35</v>
      </c>
      <c r="G549" s="126"/>
    </row>
    <row r="550" spans="2:7">
      <c r="B550" s="59">
        <v>4</v>
      </c>
      <c r="C550" s="45" t="s">
        <v>11</v>
      </c>
      <c r="G550" s="126"/>
    </row>
    <row r="551" spans="2:7">
      <c r="B551" s="59">
        <v>5</v>
      </c>
      <c r="C551" s="45" t="s">
        <v>9</v>
      </c>
      <c r="G551" s="126"/>
    </row>
    <row r="552" spans="2:7">
      <c r="B552" s="59">
        <v>6</v>
      </c>
      <c r="C552" s="45" t="s">
        <v>12</v>
      </c>
      <c r="G552" s="126"/>
    </row>
    <row r="553" spans="2:7">
      <c r="B553" s="59">
        <v>7</v>
      </c>
      <c r="C553" s="45" t="s">
        <v>33</v>
      </c>
      <c r="G553" s="126"/>
    </row>
    <row r="554" spans="2:7">
      <c r="B554" s="59">
        <v>8</v>
      </c>
      <c r="C554" s="45" t="s">
        <v>13</v>
      </c>
      <c r="G554" s="126"/>
    </row>
    <row r="555" spans="2:7">
      <c r="B555" s="59">
        <v>9</v>
      </c>
      <c r="C555" s="45" t="s">
        <v>14</v>
      </c>
      <c r="G555" s="126"/>
    </row>
    <row r="556" spans="2:7">
      <c r="B556" s="59">
        <v>10</v>
      </c>
      <c r="C556" s="45" t="s">
        <v>15</v>
      </c>
      <c r="G556" s="126"/>
    </row>
    <row r="557" spans="2:7">
      <c r="B557" s="59">
        <v>11</v>
      </c>
      <c r="C557" s="45" t="s">
        <v>42</v>
      </c>
      <c r="G557" s="126"/>
    </row>
    <row r="558" spans="2:7">
      <c r="B558" s="59">
        <v>12</v>
      </c>
      <c r="C558" s="45" t="s">
        <v>19</v>
      </c>
      <c r="G558" s="126"/>
    </row>
    <row r="559" spans="2:7">
      <c r="B559" s="59">
        <v>13</v>
      </c>
      <c r="C559" s="45" t="s">
        <v>18</v>
      </c>
      <c r="G559" s="126"/>
    </row>
    <row r="560" spans="2:7">
      <c r="B560" s="59">
        <v>14</v>
      </c>
      <c r="C560" s="45" t="s">
        <v>52</v>
      </c>
      <c r="G560" s="126"/>
    </row>
    <row r="561" spans="2:7">
      <c r="B561" s="59">
        <v>15</v>
      </c>
      <c r="C561" s="45" t="s">
        <v>16</v>
      </c>
      <c r="G561" s="126"/>
    </row>
    <row r="562" spans="2:7">
      <c r="B562" s="125"/>
      <c r="G562" s="126"/>
    </row>
    <row r="563" spans="2:7">
      <c r="B563" s="125"/>
      <c r="C563" s="45" t="s">
        <v>446</v>
      </c>
      <c r="G563" s="126"/>
    </row>
    <row r="564" spans="2:7">
      <c r="B564" s="125"/>
      <c r="G564" s="126"/>
    </row>
    <row r="565" spans="2:7">
      <c r="B565" s="125"/>
      <c r="C565" s="124" t="s">
        <v>21</v>
      </c>
      <c r="G565" s="126"/>
    </row>
    <row r="566" spans="2:7">
      <c r="B566" s="142">
        <v>1</v>
      </c>
      <c r="C566" s="45" t="s">
        <v>33</v>
      </c>
      <c r="G566" s="126"/>
    </row>
    <row r="567" spans="2:7">
      <c r="B567" s="142">
        <v>1</v>
      </c>
      <c r="C567" s="45" t="s">
        <v>59</v>
      </c>
      <c r="G567" s="126"/>
    </row>
    <row r="568" spans="2:7">
      <c r="B568" s="143"/>
      <c r="G568" s="126"/>
    </row>
    <row r="569" spans="2:7">
      <c r="B569" s="125"/>
      <c r="C569" s="44" t="s">
        <v>22</v>
      </c>
      <c r="G569" s="126"/>
    </row>
    <row r="570" spans="2:7">
      <c r="B570" s="125" t="s">
        <v>336</v>
      </c>
      <c r="C570" s="45" t="s">
        <v>18</v>
      </c>
      <c r="G570" s="126"/>
    </row>
    <row r="571" spans="2:7">
      <c r="B571" s="125"/>
      <c r="G571" s="126"/>
    </row>
    <row r="572" spans="2:7">
      <c r="B572" s="125"/>
      <c r="C572" s="44" t="s">
        <v>401</v>
      </c>
      <c r="G572" s="126"/>
    </row>
    <row r="573" spans="2:7">
      <c r="B573" s="125"/>
      <c r="C573" s="45" t="s">
        <v>7</v>
      </c>
      <c r="G573" s="126"/>
    </row>
    <row r="574" spans="2:7" ht="13.5" thickBot="1">
      <c r="B574" s="140"/>
      <c r="C574" s="131"/>
      <c r="D574" s="131"/>
      <c r="E574" s="141"/>
      <c r="F574" s="131"/>
      <c r="G574" s="135"/>
    </row>
    <row r="576" spans="2:7" ht="13.5" thickBot="1"/>
    <row r="577" spans="2:7" ht="13.5" thickBot="1">
      <c r="B577" s="239" t="s">
        <v>447</v>
      </c>
      <c r="C577" s="240"/>
      <c r="D577" s="240"/>
      <c r="E577" s="240"/>
      <c r="F577" s="240"/>
      <c r="G577" s="241"/>
    </row>
    <row r="578" spans="2:7" ht="13.5" thickBot="1">
      <c r="B578" s="125"/>
      <c r="G578" s="126"/>
    </row>
    <row r="579" spans="2:7">
      <c r="B579" s="125"/>
      <c r="C579" s="127" t="s">
        <v>27</v>
      </c>
      <c r="D579" s="128"/>
      <c r="E579" s="128" t="s">
        <v>1</v>
      </c>
      <c r="F579" s="129">
        <v>46</v>
      </c>
      <c r="G579" s="126"/>
    </row>
    <row r="580" spans="2:7" ht="13.5" thickBot="1">
      <c r="B580" s="125"/>
      <c r="C580" s="130"/>
      <c r="D580" s="131"/>
      <c r="E580" s="131" t="s">
        <v>40</v>
      </c>
      <c r="F580" s="132">
        <v>7</v>
      </c>
      <c r="G580" s="126"/>
    </row>
    <row r="581" spans="2:7" ht="13.5" thickBot="1">
      <c r="B581" s="125"/>
      <c r="G581" s="126"/>
    </row>
    <row r="582" spans="2:7">
      <c r="B582" s="125"/>
      <c r="C582" s="127" t="s">
        <v>4</v>
      </c>
      <c r="D582" s="128"/>
      <c r="E582" s="128" t="s">
        <v>28</v>
      </c>
      <c r="F582" s="133" t="s">
        <v>427</v>
      </c>
      <c r="G582" s="126"/>
    </row>
    <row r="583" spans="2:7">
      <c r="B583" s="125"/>
      <c r="C583" s="59" t="s">
        <v>2</v>
      </c>
      <c r="E583" s="45" t="s">
        <v>326</v>
      </c>
      <c r="F583" s="126"/>
      <c r="G583" s="126"/>
    </row>
    <row r="584" spans="2:7" ht="13.5" thickBot="1">
      <c r="B584" s="125"/>
      <c r="C584" s="130" t="s">
        <v>3</v>
      </c>
      <c r="D584" s="131"/>
      <c r="E584" s="134" t="s">
        <v>326</v>
      </c>
      <c r="F584" s="135"/>
      <c r="G584" s="126"/>
    </row>
    <row r="585" spans="2:7">
      <c r="B585" s="125"/>
      <c r="G585" s="126"/>
    </row>
    <row r="586" spans="2:7" ht="13.5" thickBot="1">
      <c r="B586" s="125"/>
      <c r="G586" s="126"/>
    </row>
    <row r="587" spans="2:7" ht="13.5" thickBot="1">
      <c r="B587" s="125"/>
      <c r="C587" s="136" t="s">
        <v>29</v>
      </c>
      <c r="D587" s="137"/>
      <c r="E587" s="138" t="s">
        <v>282</v>
      </c>
      <c r="F587" s="139"/>
      <c r="G587" s="126"/>
    </row>
    <row r="588" spans="2:7">
      <c r="B588" s="125"/>
      <c r="G588" s="126"/>
    </row>
    <row r="589" spans="2:7">
      <c r="B589" s="125"/>
      <c r="C589" s="45" t="s">
        <v>5</v>
      </c>
      <c r="G589" s="126"/>
    </row>
    <row r="590" spans="2:7">
      <c r="B590" s="125"/>
      <c r="G590" s="126"/>
    </row>
    <row r="591" spans="2:7">
      <c r="B591" s="59">
        <v>1</v>
      </c>
      <c r="C591" s="45" t="s">
        <v>6</v>
      </c>
      <c r="G591" s="126"/>
    </row>
    <row r="592" spans="2:7">
      <c r="B592" s="59">
        <v>2</v>
      </c>
      <c r="C592" s="45" t="s">
        <v>7</v>
      </c>
      <c r="G592" s="126"/>
    </row>
    <row r="593" spans="2:7">
      <c r="B593" s="59">
        <v>3</v>
      </c>
      <c r="C593" s="45" t="s">
        <v>35</v>
      </c>
      <c r="G593" s="126"/>
    </row>
    <row r="594" spans="2:7">
      <c r="B594" s="59">
        <v>4</v>
      </c>
      <c r="C594" s="45" t="s">
        <v>11</v>
      </c>
      <c r="G594" s="126"/>
    </row>
    <row r="595" spans="2:7">
      <c r="B595" s="59">
        <v>5</v>
      </c>
      <c r="C595" s="45" t="s">
        <v>9</v>
      </c>
      <c r="G595" s="126"/>
    </row>
    <row r="596" spans="2:7">
      <c r="B596" s="59">
        <v>6</v>
      </c>
      <c r="C596" s="45" t="s">
        <v>12</v>
      </c>
      <c r="G596" s="126"/>
    </row>
    <row r="597" spans="2:7">
      <c r="B597" s="59">
        <v>7</v>
      </c>
      <c r="C597" s="45" t="s">
        <v>33</v>
      </c>
      <c r="G597" s="126"/>
    </row>
    <row r="598" spans="2:7">
      <c r="B598" s="59">
        <v>8</v>
      </c>
      <c r="C598" s="45" t="s">
        <v>13</v>
      </c>
      <c r="G598" s="126"/>
    </row>
    <row r="599" spans="2:7">
      <c r="B599" s="59">
        <v>9</v>
      </c>
      <c r="C599" s="45" t="s">
        <v>14</v>
      </c>
      <c r="G599" s="126"/>
    </row>
    <row r="600" spans="2:7">
      <c r="B600" s="59">
        <v>10</v>
      </c>
      <c r="C600" s="45" t="s">
        <v>15</v>
      </c>
      <c r="G600" s="126"/>
    </row>
    <row r="601" spans="2:7">
      <c r="B601" s="59">
        <v>11</v>
      </c>
      <c r="C601" s="45" t="s">
        <v>42</v>
      </c>
      <c r="G601" s="126"/>
    </row>
    <row r="602" spans="2:7">
      <c r="B602" s="59">
        <v>12</v>
      </c>
      <c r="C602" s="45" t="s">
        <v>19</v>
      </c>
      <c r="G602" s="126"/>
    </row>
    <row r="603" spans="2:7">
      <c r="B603" s="59">
        <v>13</v>
      </c>
      <c r="C603" s="45" t="s">
        <v>18</v>
      </c>
      <c r="G603" s="126"/>
    </row>
    <row r="604" spans="2:7">
      <c r="B604" s="59">
        <v>14</v>
      </c>
      <c r="C604" s="45" t="s">
        <v>52</v>
      </c>
      <c r="G604" s="126"/>
    </row>
    <row r="605" spans="2:7">
      <c r="B605" s="59">
        <v>15</v>
      </c>
      <c r="C605" s="45" t="s">
        <v>16</v>
      </c>
      <c r="G605" s="126"/>
    </row>
    <row r="606" spans="2:7">
      <c r="B606" s="125"/>
      <c r="G606" s="126"/>
    </row>
    <row r="607" spans="2:7">
      <c r="B607" s="125"/>
      <c r="C607" s="45" t="s">
        <v>448</v>
      </c>
      <c r="G607" s="126"/>
    </row>
    <row r="608" spans="2:7">
      <c r="B608" s="125"/>
      <c r="C608" s="45" t="s">
        <v>423</v>
      </c>
      <c r="G608" s="126"/>
    </row>
    <row r="609" spans="2:9">
      <c r="B609" s="125"/>
      <c r="C609" s="45" t="s">
        <v>422</v>
      </c>
      <c r="G609" s="126"/>
    </row>
    <row r="610" spans="2:9">
      <c r="B610" s="125"/>
      <c r="C610" s="45" t="s">
        <v>449</v>
      </c>
      <c r="G610" s="126"/>
    </row>
    <row r="611" spans="2:9">
      <c r="B611" s="125"/>
      <c r="G611" s="126"/>
    </row>
    <row r="612" spans="2:9">
      <c r="B612" s="125"/>
      <c r="C612" s="124" t="s">
        <v>21</v>
      </c>
      <c r="G612" s="126"/>
    </row>
    <row r="613" spans="2:9">
      <c r="B613" s="142">
        <v>1</v>
      </c>
      <c r="C613" s="45" t="s">
        <v>33</v>
      </c>
      <c r="G613" s="126"/>
    </row>
    <row r="614" spans="2:9">
      <c r="B614" s="142">
        <v>3</v>
      </c>
      <c r="C614" s="45" t="s">
        <v>16</v>
      </c>
      <c r="G614" s="126"/>
      <c r="I614" s="45">
        <f>1306*4</f>
        <v>5224</v>
      </c>
    </row>
    <row r="615" spans="2:9">
      <c r="B615" s="142">
        <v>2</v>
      </c>
      <c r="C615" s="45" t="s">
        <v>13</v>
      </c>
      <c r="G615" s="126"/>
      <c r="I615" s="45">
        <f>+I614*0.9</f>
        <v>4701.6000000000004</v>
      </c>
    </row>
    <row r="616" spans="2:9">
      <c r="B616" s="142">
        <v>1</v>
      </c>
      <c r="C616" s="45" t="s">
        <v>14</v>
      </c>
      <c r="G616" s="126"/>
      <c r="I616" s="45">
        <f>+I615*0.2</f>
        <v>940.32000000000016</v>
      </c>
    </row>
    <row r="617" spans="2:9">
      <c r="B617" s="142">
        <v>1</v>
      </c>
      <c r="C617" s="45" t="s">
        <v>52</v>
      </c>
      <c r="G617" s="126"/>
    </row>
    <row r="618" spans="2:9">
      <c r="B618" s="143"/>
      <c r="G618" s="126"/>
    </row>
    <row r="619" spans="2:9">
      <c r="B619" s="125"/>
      <c r="C619" s="44" t="s">
        <v>337</v>
      </c>
      <c r="G619" s="126"/>
    </row>
    <row r="620" spans="2:9">
      <c r="B620" s="125" t="s">
        <v>335</v>
      </c>
      <c r="C620" s="45" t="s">
        <v>18</v>
      </c>
      <c r="G620" s="126"/>
    </row>
    <row r="621" spans="2:9">
      <c r="B621" s="125"/>
      <c r="G621" s="126"/>
    </row>
    <row r="622" spans="2:9">
      <c r="B622" s="125"/>
      <c r="C622" s="44" t="s">
        <v>401</v>
      </c>
      <c r="G622" s="126"/>
    </row>
    <row r="623" spans="2:9">
      <c r="B623" s="125"/>
      <c r="C623" s="45" t="s">
        <v>339</v>
      </c>
      <c r="G623" s="126"/>
    </row>
    <row r="624" spans="2:9" ht="13.5" thickBot="1">
      <c r="B624" s="140"/>
      <c r="C624" s="131"/>
      <c r="D624" s="131"/>
      <c r="E624" s="141"/>
      <c r="F624" s="131"/>
      <c r="G624" s="135"/>
    </row>
    <row r="626" spans="2:7" ht="13.5" thickBot="1"/>
    <row r="627" spans="2:7" ht="13.5" thickBot="1">
      <c r="B627" s="239" t="s">
        <v>450</v>
      </c>
      <c r="C627" s="240"/>
      <c r="D627" s="240"/>
      <c r="E627" s="240"/>
      <c r="F627" s="240"/>
      <c r="G627" s="241"/>
    </row>
    <row r="628" spans="2:7" ht="13.5" thickBot="1">
      <c r="B628" s="125"/>
      <c r="G628" s="126"/>
    </row>
    <row r="629" spans="2:7">
      <c r="B629" s="125"/>
      <c r="C629" s="127" t="s">
        <v>27</v>
      </c>
      <c r="D629" s="128"/>
      <c r="E629" s="128" t="s">
        <v>60</v>
      </c>
      <c r="F629" s="129">
        <v>15</v>
      </c>
      <c r="G629" s="126"/>
    </row>
    <row r="630" spans="2:7" ht="13.5" thickBot="1">
      <c r="B630" s="125"/>
      <c r="C630" s="130"/>
      <c r="D630" s="131"/>
      <c r="E630" s="131" t="s">
        <v>1</v>
      </c>
      <c r="F630" s="132">
        <v>22</v>
      </c>
      <c r="G630" s="126"/>
    </row>
    <row r="631" spans="2:7" ht="13.5" thickBot="1">
      <c r="B631" s="125"/>
      <c r="G631" s="126"/>
    </row>
    <row r="632" spans="2:7">
      <c r="B632" s="125"/>
      <c r="C632" s="127" t="s">
        <v>4</v>
      </c>
      <c r="D632" s="128"/>
      <c r="E632" s="128" t="s">
        <v>60</v>
      </c>
      <c r="F632" s="133"/>
      <c r="G632" s="126"/>
    </row>
    <row r="633" spans="2:7">
      <c r="B633" s="125"/>
      <c r="C633" s="59" t="s">
        <v>2</v>
      </c>
      <c r="E633" s="45" t="s">
        <v>451</v>
      </c>
      <c r="F633" s="126"/>
      <c r="G633" s="126"/>
    </row>
    <row r="634" spans="2:7" ht="13.5" thickBot="1">
      <c r="B634" s="125"/>
      <c r="C634" s="130" t="s">
        <v>3</v>
      </c>
      <c r="D634" s="131"/>
      <c r="E634" s="134" t="s">
        <v>344</v>
      </c>
      <c r="F634" s="135"/>
      <c r="G634" s="126"/>
    </row>
    <row r="635" spans="2:7">
      <c r="B635" s="125"/>
      <c r="G635" s="126"/>
    </row>
    <row r="636" spans="2:7" ht="13.5" thickBot="1">
      <c r="B636" s="125"/>
      <c r="G636" s="126"/>
    </row>
    <row r="637" spans="2:7" ht="13.5" thickBot="1">
      <c r="B637" s="125"/>
      <c r="C637" s="136" t="s">
        <v>29</v>
      </c>
      <c r="D637" s="137"/>
      <c r="E637" s="138" t="s">
        <v>280</v>
      </c>
      <c r="F637" s="139"/>
      <c r="G637" s="126"/>
    </row>
    <row r="638" spans="2:7">
      <c r="B638" s="125"/>
      <c r="G638" s="126"/>
    </row>
    <row r="639" spans="2:7">
      <c r="B639" s="125"/>
      <c r="C639" s="45" t="s">
        <v>5</v>
      </c>
      <c r="G639" s="126"/>
    </row>
    <row r="640" spans="2:7">
      <c r="B640" s="125"/>
      <c r="G640" s="126"/>
    </row>
    <row r="641" spans="2:7">
      <c r="B641" s="59">
        <v>1</v>
      </c>
      <c r="C641" s="45" t="s">
        <v>6</v>
      </c>
      <c r="G641" s="126"/>
    </row>
    <row r="642" spans="2:7">
      <c r="B642" s="59">
        <v>2</v>
      </c>
      <c r="C642" s="45" t="s">
        <v>7</v>
      </c>
      <c r="G642" s="126"/>
    </row>
    <row r="643" spans="2:7">
      <c r="B643" s="59">
        <v>3</v>
      </c>
      <c r="C643" s="45" t="s">
        <v>35</v>
      </c>
      <c r="G643" s="126"/>
    </row>
    <row r="644" spans="2:7">
      <c r="B644" s="59">
        <v>4</v>
      </c>
      <c r="C644" s="45" t="s">
        <v>11</v>
      </c>
      <c r="G644" s="126"/>
    </row>
    <row r="645" spans="2:7">
      <c r="B645" s="59">
        <v>5</v>
      </c>
      <c r="C645" s="45" t="s">
        <v>9</v>
      </c>
      <c r="G645" s="126"/>
    </row>
    <row r="646" spans="2:7">
      <c r="B646" s="59">
        <v>6</v>
      </c>
      <c r="C646" s="45" t="s">
        <v>12</v>
      </c>
      <c r="G646" s="126"/>
    </row>
    <row r="647" spans="2:7">
      <c r="B647" s="59">
        <v>7</v>
      </c>
      <c r="C647" s="45" t="s">
        <v>32</v>
      </c>
      <c r="G647" s="126"/>
    </row>
    <row r="648" spans="2:7">
      <c r="B648" s="59">
        <v>8</v>
      </c>
      <c r="C648" s="45" t="s">
        <v>13</v>
      </c>
      <c r="G648" s="126"/>
    </row>
    <row r="649" spans="2:7">
      <c r="B649" s="59">
        <v>9</v>
      </c>
      <c r="C649" s="45" t="s">
        <v>14</v>
      </c>
      <c r="G649" s="126"/>
    </row>
    <row r="650" spans="2:7">
      <c r="B650" s="59">
        <v>10</v>
      </c>
      <c r="C650" s="45" t="s">
        <v>15</v>
      </c>
      <c r="G650" s="126"/>
    </row>
    <row r="651" spans="2:7">
      <c r="B651" s="59">
        <v>11</v>
      </c>
      <c r="C651" s="45" t="s">
        <v>42</v>
      </c>
      <c r="G651" s="126"/>
    </row>
    <row r="652" spans="2:7">
      <c r="B652" s="59">
        <v>12</v>
      </c>
      <c r="C652" s="45" t="s">
        <v>17</v>
      </c>
      <c r="G652" s="126"/>
    </row>
    <row r="653" spans="2:7">
      <c r="B653" s="59">
        <v>13</v>
      </c>
      <c r="C653" s="45" t="s">
        <v>18</v>
      </c>
      <c r="G653" s="126"/>
    </row>
    <row r="654" spans="2:7">
      <c r="B654" s="59">
        <v>14</v>
      </c>
      <c r="C654" s="45" t="s">
        <v>19</v>
      </c>
      <c r="G654" s="126"/>
    </row>
    <row r="655" spans="2:7">
      <c r="B655" s="59">
        <v>15</v>
      </c>
      <c r="C655" s="45" t="s">
        <v>16</v>
      </c>
      <c r="G655" s="126"/>
    </row>
    <row r="656" spans="2:7">
      <c r="B656" s="125"/>
      <c r="G656" s="126"/>
    </row>
    <row r="657" spans="2:7">
      <c r="B657" s="125"/>
      <c r="C657" s="45" t="s">
        <v>452</v>
      </c>
      <c r="G657" s="126"/>
    </row>
    <row r="658" spans="2:7">
      <c r="B658" s="125"/>
      <c r="G658" s="126"/>
    </row>
    <row r="659" spans="2:7">
      <c r="B659" s="125"/>
      <c r="C659" s="124" t="s">
        <v>21</v>
      </c>
      <c r="G659" s="126"/>
    </row>
    <row r="660" spans="2:7">
      <c r="B660" s="142">
        <v>1</v>
      </c>
      <c r="C660" s="45" t="s">
        <v>17</v>
      </c>
      <c r="G660" s="126"/>
    </row>
    <row r="661" spans="2:7">
      <c r="B661" s="142">
        <v>1</v>
      </c>
      <c r="C661" s="45" t="s">
        <v>16</v>
      </c>
      <c r="G661" s="126"/>
    </row>
    <row r="662" spans="2:7">
      <c r="B662" s="142">
        <v>1</v>
      </c>
      <c r="C662" s="45" t="s">
        <v>35</v>
      </c>
      <c r="G662" s="126"/>
    </row>
    <row r="663" spans="2:7">
      <c r="B663" s="142">
        <v>1</v>
      </c>
      <c r="C663" s="45" t="s">
        <v>14</v>
      </c>
      <c r="G663" s="126"/>
    </row>
    <row r="664" spans="2:7">
      <c r="B664" s="142"/>
      <c r="G664" s="126"/>
    </row>
    <row r="665" spans="2:7">
      <c r="B665" s="143"/>
      <c r="G665" s="126"/>
    </row>
    <row r="666" spans="2:7">
      <c r="B666" s="125"/>
      <c r="C666" s="44" t="s">
        <v>337</v>
      </c>
      <c r="G666" s="126"/>
    </row>
    <row r="667" spans="2:7">
      <c r="B667" s="125" t="s">
        <v>336</v>
      </c>
      <c r="C667" s="45" t="s">
        <v>18</v>
      </c>
      <c r="G667" s="126"/>
    </row>
    <row r="668" spans="2:7">
      <c r="B668" s="125"/>
      <c r="G668" s="126"/>
    </row>
    <row r="669" spans="2:7">
      <c r="B669" s="125"/>
      <c r="C669" s="44" t="s">
        <v>401</v>
      </c>
      <c r="G669" s="126"/>
    </row>
    <row r="670" spans="2:7">
      <c r="B670" s="125"/>
      <c r="C670" s="45" t="s">
        <v>339</v>
      </c>
      <c r="G670" s="126"/>
    </row>
    <row r="671" spans="2:7" ht="13.5" thickBot="1">
      <c r="B671" s="140"/>
      <c r="C671" s="131"/>
      <c r="D671" s="131"/>
      <c r="E671" s="141"/>
      <c r="F671" s="131"/>
      <c r="G671" s="135"/>
    </row>
    <row r="673" spans="2:7" ht="13.5" thickBot="1"/>
    <row r="674" spans="2:7" ht="13.5" thickBot="1">
      <c r="B674" s="239" t="s">
        <v>453</v>
      </c>
      <c r="C674" s="240"/>
      <c r="D674" s="240"/>
      <c r="E674" s="240"/>
      <c r="F674" s="240"/>
      <c r="G674" s="241"/>
    </row>
    <row r="675" spans="2:7" ht="13.5" thickBot="1">
      <c r="B675" s="125"/>
      <c r="G675" s="126"/>
    </row>
    <row r="676" spans="2:7">
      <c r="B676" s="125"/>
      <c r="C676" s="127" t="s">
        <v>27</v>
      </c>
      <c r="D676" s="128"/>
      <c r="E676" s="128" t="s">
        <v>1</v>
      </c>
      <c r="F676" s="129">
        <v>39</v>
      </c>
      <c r="G676" s="126"/>
    </row>
    <row r="677" spans="2:7" ht="13.5" thickBot="1">
      <c r="B677" s="125"/>
      <c r="C677" s="130"/>
      <c r="D677" s="131"/>
      <c r="E677" s="131" t="s">
        <v>454</v>
      </c>
      <c r="F677" s="132">
        <v>7</v>
      </c>
      <c r="G677" s="126"/>
    </row>
    <row r="678" spans="2:7" ht="13.5" thickBot="1">
      <c r="B678" s="125"/>
      <c r="G678" s="126"/>
    </row>
    <row r="679" spans="2:7">
      <c r="B679" s="125"/>
      <c r="C679" s="127" t="s">
        <v>4</v>
      </c>
      <c r="D679" s="128"/>
      <c r="E679" s="128" t="s">
        <v>28</v>
      </c>
      <c r="F679" s="133" t="s">
        <v>427</v>
      </c>
      <c r="G679" s="126"/>
    </row>
    <row r="680" spans="2:7">
      <c r="B680" s="125"/>
      <c r="C680" s="59" t="s">
        <v>2</v>
      </c>
      <c r="E680" s="45" t="s">
        <v>404</v>
      </c>
      <c r="F680" s="126"/>
      <c r="G680" s="126"/>
    </row>
    <row r="681" spans="2:7" ht="13.5" thickBot="1">
      <c r="B681" s="125"/>
      <c r="C681" s="130" t="s">
        <v>3</v>
      </c>
      <c r="D681" s="131"/>
      <c r="E681" s="134" t="s">
        <v>344</v>
      </c>
      <c r="F681" s="135"/>
      <c r="G681" s="126"/>
    </row>
    <row r="682" spans="2:7">
      <c r="B682" s="125"/>
      <c r="G682" s="126"/>
    </row>
    <row r="683" spans="2:7" ht="13.5" thickBot="1">
      <c r="B683" s="125"/>
      <c r="G683" s="126"/>
    </row>
    <row r="684" spans="2:7" ht="13.5" thickBot="1">
      <c r="B684" s="125"/>
      <c r="C684" s="136" t="s">
        <v>29</v>
      </c>
      <c r="D684" s="137"/>
      <c r="E684" s="138" t="s">
        <v>273</v>
      </c>
      <c r="F684" s="139"/>
      <c r="G684" s="126"/>
    </row>
    <row r="685" spans="2:7">
      <c r="B685" s="125"/>
      <c r="G685" s="126"/>
    </row>
    <row r="686" spans="2:7">
      <c r="B686" s="125"/>
      <c r="C686" s="45" t="s">
        <v>5</v>
      </c>
      <c r="G686" s="126"/>
    </row>
    <row r="687" spans="2:7">
      <c r="B687" s="125"/>
      <c r="G687" s="126"/>
    </row>
    <row r="688" spans="2:7">
      <c r="B688" s="59">
        <v>1</v>
      </c>
      <c r="C688" s="45" t="s">
        <v>6</v>
      </c>
      <c r="G688" s="126"/>
    </row>
    <row r="689" spans="2:7">
      <c r="B689" s="59">
        <v>2</v>
      </c>
      <c r="C689" s="45" t="s">
        <v>7</v>
      </c>
      <c r="G689" s="126"/>
    </row>
    <row r="690" spans="2:7">
      <c r="B690" s="59">
        <v>3</v>
      </c>
      <c r="C690" s="45" t="s">
        <v>35</v>
      </c>
      <c r="G690" s="126"/>
    </row>
    <row r="691" spans="2:7">
      <c r="B691" s="59">
        <v>4</v>
      </c>
      <c r="C691" s="45" t="s">
        <v>11</v>
      </c>
      <c r="G691" s="126"/>
    </row>
    <row r="692" spans="2:7">
      <c r="B692" s="59">
        <v>5</v>
      </c>
      <c r="C692" s="45" t="s">
        <v>9</v>
      </c>
      <c r="G692" s="126"/>
    </row>
    <row r="693" spans="2:7">
      <c r="B693" s="59">
        <v>6</v>
      </c>
      <c r="C693" s="45" t="s">
        <v>12</v>
      </c>
      <c r="G693" s="126"/>
    </row>
    <row r="694" spans="2:7">
      <c r="B694" s="59">
        <v>7</v>
      </c>
      <c r="C694" s="45" t="s">
        <v>13</v>
      </c>
      <c r="G694" s="126"/>
    </row>
    <row r="695" spans="2:7">
      <c r="B695" s="59">
        <v>8</v>
      </c>
      <c r="C695" s="45" t="s">
        <v>33</v>
      </c>
      <c r="G695" s="126"/>
    </row>
    <row r="696" spans="2:7">
      <c r="B696" s="59">
        <v>9</v>
      </c>
      <c r="C696" s="45" t="s">
        <v>14</v>
      </c>
      <c r="G696" s="126"/>
    </row>
    <row r="697" spans="2:7">
      <c r="B697" s="59">
        <v>10</v>
      </c>
      <c r="C697" s="45" t="s">
        <v>18</v>
      </c>
      <c r="G697" s="126"/>
    </row>
    <row r="698" spans="2:7">
      <c r="B698" s="59">
        <v>11</v>
      </c>
      <c r="C698" s="45" t="s">
        <v>16</v>
      </c>
      <c r="G698" s="126"/>
    </row>
    <row r="699" spans="2:7">
      <c r="B699" s="59">
        <v>12</v>
      </c>
      <c r="C699" s="45" t="s">
        <v>17</v>
      </c>
      <c r="G699" s="126"/>
    </row>
    <row r="700" spans="2:7">
      <c r="B700" s="59">
        <v>13</v>
      </c>
      <c r="C700" s="45" t="s">
        <v>19</v>
      </c>
      <c r="G700" s="126"/>
    </row>
    <row r="701" spans="2:7">
      <c r="B701" s="59">
        <v>14</v>
      </c>
      <c r="C701" s="45" t="s">
        <v>42</v>
      </c>
      <c r="G701" s="126"/>
    </row>
    <row r="702" spans="2:7">
      <c r="B702" s="59">
        <v>15</v>
      </c>
      <c r="C702" s="45" t="s">
        <v>20</v>
      </c>
      <c r="G702" s="126"/>
    </row>
    <row r="703" spans="2:7">
      <c r="B703" s="125"/>
      <c r="G703" s="126"/>
    </row>
    <row r="704" spans="2:7">
      <c r="B704" s="125"/>
      <c r="C704" s="45" t="s">
        <v>455</v>
      </c>
      <c r="G704" s="126"/>
    </row>
    <row r="705" spans="2:7">
      <c r="B705" s="125"/>
      <c r="C705" s="45" t="s">
        <v>456</v>
      </c>
      <c r="G705" s="126"/>
    </row>
    <row r="706" spans="2:7">
      <c r="B706" s="125"/>
      <c r="C706" s="45" t="s">
        <v>423</v>
      </c>
      <c r="G706" s="126"/>
    </row>
    <row r="707" spans="2:7">
      <c r="B707" s="125"/>
      <c r="G707" s="126"/>
    </row>
    <row r="708" spans="2:7">
      <c r="B708" s="125"/>
      <c r="C708" s="124" t="s">
        <v>21</v>
      </c>
      <c r="G708" s="126"/>
    </row>
    <row r="709" spans="2:7">
      <c r="B709" s="142">
        <v>2</v>
      </c>
      <c r="C709" s="45" t="s">
        <v>17</v>
      </c>
      <c r="G709" s="126"/>
    </row>
    <row r="710" spans="2:7">
      <c r="B710" s="142">
        <v>1</v>
      </c>
      <c r="C710" s="45" t="s">
        <v>42</v>
      </c>
      <c r="G710" s="126"/>
    </row>
    <row r="711" spans="2:7">
      <c r="B711" s="142">
        <v>1</v>
      </c>
      <c r="C711" s="45" t="s">
        <v>457</v>
      </c>
      <c r="G711" s="126"/>
    </row>
    <row r="712" spans="2:7">
      <c r="B712" s="142">
        <v>1</v>
      </c>
      <c r="C712" s="45" t="s">
        <v>458</v>
      </c>
      <c r="G712" s="126"/>
    </row>
    <row r="713" spans="2:7">
      <c r="B713" s="142"/>
      <c r="G713" s="126"/>
    </row>
    <row r="714" spans="2:7">
      <c r="B714" s="125"/>
      <c r="C714" s="44" t="s">
        <v>337</v>
      </c>
      <c r="G714" s="126"/>
    </row>
    <row r="715" spans="2:7">
      <c r="B715" s="125" t="s">
        <v>338</v>
      </c>
      <c r="C715" s="45" t="s">
        <v>17</v>
      </c>
      <c r="G715" s="126"/>
    </row>
    <row r="716" spans="2:7">
      <c r="B716" s="125"/>
      <c r="G716" s="126"/>
    </row>
    <row r="717" spans="2:7">
      <c r="B717" s="125"/>
      <c r="C717" s="44" t="s">
        <v>22</v>
      </c>
      <c r="G717" s="126"/>
    </row>
    <row r="718" spans="2:7">
      <c r="B718" s="125" t="s">
        <v>352</v>
      </c>
      <c r="C718" s="45" t="s">
        <v>17</v>
      </c>
      <c r="G718" s="126"/>
    </row>
    <row r="719" spans="2:7">
      <c r="B719" s="125"/>
      <c r="G719" s="126"/>
    </row>
    <row r="720" spans="2:7">
      <c r="B720" s="125"/>
      <c r="C720" s="44" t="s">
        <v>401</v>
      </c>
      <c r="G720" s="126"/>
    </row>
    <row r="721" spans="2:7">
      <c r="B721" s="125"/>
      <c r="C721" s="45" t="s">
        <v>339</v>
      </c>
      <c r="G721" s="126"/>
    </row>
    <row r="722" spans="2:7" ht="13.5" thickBot="1">
      <c r="B722" s="140"/>
      <c r="C722" s="131"/>
      <c r="D722" s="131"/>
      <c r="E722" s="141"/>
      <c r="F722" s="131"/>
      <c r="G722" s="135"/>
    </row>
    <row r="724" spans="2:7" ht="13.5" thickBot="1"/>
    <row r="725" spans="2:7" ht="13.5" thickBot="1">
      <c r="B725" s="239" t="s">
        <v>459</v>
      </c>
      <c r="C725" s="240"/>
      <c r="D725" s="240"/>
      <c r="E725" s="240"/>
      <c r="F725" s="240"/>
      <c r="G725" s="241"/>
    </row>
    <row r="726" spans="2:7" ht="13.5" thickBot="1">
      <c r="B726" s="125"/>
      <c r="G726" s="126"/>
    </row>
    <row r="727" spans="2:7">
      <c r="B727" s="125"/>
      <c r="C727" s="127" t="s">
        <v>27</v>
      </c>
      <c r="D727" s="128"/>
      <c r="E727" s="128" t="s">
        <v>58</v>
      </c>
      <c r="F727" s="129">
        <v>21</v>
      </c>
      <c r="G727" s="126"/>
    </row>
    <row r="728" spans="2:7" ht="13.5" thickBot="1">
      <c r="B728" s="125"/>
      <c r="C728" s="130"/>
      <c r="D728" s="131"/>
      <c r="E728" s="131" t="s">
        <v>1</v>
      </c>
      <c r="F728" s="132">
        <v>5</v>
      </c>
      <c r="G728" s="126"/>
    </row>
    <row r="729" spans="2:7" ht="13.5" thickBot="1">
      <c r="B729" s="125"/>
      <c r="G729" s="126"/>
    </row>
    <row r="730" spans="2:7">
      <c r="B730" s="125"/>
      <c r="C730" s="127" t="s">
        <v>4</v>
      </c>
      <c r="D730" s="128"/>
      <c r="E730" s="128" t="s">
        <v>58</v>
      </c>
      <c r="F730" s="133"/>
      <c r="G730" s="126"/>
    </row>
    <row r="731" spans="2:7">
      <c r="B731" s="125"/>
      <c r="C731" s="59" t="s">
        <v>2</v>
      </c>
      <c r="E731" s="45" t="s">
        <v>326</v>
      </c>
      <c r="F731" s="126"/>
      <c r="G731" s="126"/>
    </row>
    <row r="732" spans="2:7" ht="13.5" thickBot="1">
      <c r="B732" s="125"/>
      <c r="C732" s="130" t="s">
        <v>3</v>
      </c>
      <c r="D732" s="131"/>
      <c r="E732" s="134" t="s">
        <v>326</v>
      </c>
      <c r="F732" s="135"/>
      <c r="G732" s="126"/>
    </row>
    <row r="733" spans="2:7">
      <c r="B733" s="125"/>
      <c r="G733" s="126"/>
    </row>
    <row r="734" spans="2:7" ht="13.5" thickBot="1">
      <c r="B734" s="125"/>
      <c r="G734" s="126"/>
    </row>
    <row r="735" spans="2:7" ht="13.5" thickBot="1">
      <c r="B735" s="125"/>
      <c r="C735" s="136" t="s">
        <v>29</v>
      </c>
      <c r="D735" s="137"/>
      <c r="E735" s="138" t="s">
        <v>283</v>
      </c>
      <c r="F735" s="139"/>
      <c r="G735" s="126"/>
    </row>
    <row r="736" spans="2:7">
      <c r="B736" s="125"/>
      <c r="G736" s="126"/>
    </row>
    <row r="737" spans="2:7">
      <c r="B737" s="125"/>
      <c r="C737" s="45" t="s">
        <v>5</v>
      </c>
      <c r="G737" s="126"/>
    </row>
    <row r="738" spans="2:7">
      <c r="B738" s="125"/>
      <c r="G738" s="126"/>
    </row>
    <row r="739" spans="2:7">
      <c r="B739" s="59">
        <v>1</v>
      </c>
      <c r="C739" s="45" t="s">
        <v>6</v>
      </c>
      <c r="G739" s="126"/>
    </row>
    <row r="740" spans="2:7">
      <c r="B740" s="59">
        <v>2</v>
      </c>
      <c r="C740" s="45" t="s">
        <v>7</v>
      </c>
      <c r="G740" s="126"/>
    </row>
    <row r="741" spans="2:7">
      <c r="B741" s="59">
        <v>3</v>
      </c>
      <c r="C741" s="45" t="s">
        <v>35</v>
      </c>
      <c r="G741" s="126"/>
    </row>
    <row r="742" spans="2:7">
      <c r="B742" s="59">
        <v>4</v>
      </c>
      <c r="C742" s="45" t="s">
        <v>11</v>
      </c>
      <c r="G742" s="126"/>
    </row>
    <row r="743" spans="2:7">
      <c r="B743" s="59">
        <v>5</v>
      </c>
      <c r="C743" s="45" t="s">
        <v>9</v>
      </c>
      <c r="G743" s="126"/>
    </row>
    <row r="744" spans="2:7">
      <c r="B744" s="59">
        <v>6</v>
      </c>
      <c r="C744" s="45" t="s">
        <v>12</v>
      </c>
      <c r="G744" s="126"/>
    </row>
    <row r="745" spans="2:7">
      <c r="B745" s="59">
        <v>7</v>
      </c>
      <c r="C745" s="45" t="s">
        <v>13</v>
      </c>
      <c r="G745" s="126"/>
    </row>
    <row r="746" spans="2:7">
      <c r="B746" s="59">
        <v>8</v>
      </c>
      <c r="C746" s="45" t="s">
        <v>33</v>
      </c>
      <c r="G746" s="126"/>
    </row>
    <row r="747" spans="2:7">
      <c r="B747" s="59">
        <v>9</v>
      </c>
      <c r="C747" s="45" t="s">
        <v>14</v>
      </c>
      <c r="G747" s="126"/>
    </row>
    <row r="748" spans="2:7">
      <c r="B748" s="59">
        <v>10</v>
      </c>
      <c r="C748" s="45" t="s">
        <v>15</v>
      </c>
      <c r="G748" s="126"/>
    </row>
    <row r="749" spans="2:7">
      <c r="B749" s="59">
        <v>11</v>
      </c>
      <c r="C749" s="45" t="s">
        <v>19</v>
      </c>
      <c r="G749" s="126"/>
    </row>
    <row r="750" spans="2:7">
      <c r="B750" s="59">
        <v>12</v>
      </c>
      <c r="C750" s="45" t="s">
        <v>17</v>
      </c>
      <c r="G750" s="126"/>
    </row>
    <row r="751" spans="2:7">
      <c r="B751" s="59">
        <v>13</v>
      </c>
      <c r="C751" s="45" t="s">
        <v>18</v>
      </c>
      <c r="G751" s="126"/>
    </row>
    <row r="752" spans="2:7">
      <c r="B752" s="59">
        <v>14</v>
      </c>
      <c r="C752" s="45" t="s">
        <v>42</v>
      </c>
      <c r="G752" s="126"/>
    </row>
    <row r="753" spans="2:7">
      <c r="B753" s="59">
        <v>15</v>
      </c>
      <c r="C753" s="45" t="s">
        <v>16</v>
      </c>
      <c r="G753" s="126"/>
    </row>
    <row r="754" spans="2:7">
      <c r="B754" s="125"/>
      <c r="G754" s="126"/>
    </row>
    <row r="755" spans="2:7">
      <c r="B755" s="125"/>
      <c r="C755" s="45" t="s">
        <v>460</v>
      </c>
      <c r="G755" s="126"/>
    </row>
    <row r="756" spans="2:7">
      <c r="B756" s="125"/>
      <c r="C756" s="45" t="s">
        <v>439</v>
      </c>
      <c r="G756" s="126"/>
    </row>
    <row r="757" spans="2:7">
      <c r="B757" s="125"/>
      <c r="C757" s="45" t="s">
        <v>461</v>
      </c>
      <c r="G757" s="126"/>
    </row>
    <row r="758" spans="2:7">
      <c r="B758" s="125"/>
      <c r="G758" s="126"/>
    </row>
    <row r="759" spans="2:7">
      <c r="B759" s="125"/>
      <c r="C759" s="124" t="s">
        <v>21</v>
      </c>
      <c r="G759" s="126"/>
    </row>
    <row r="760" spans="2:7">
      <c r="B760" s="142">
        <v>1</v>
      </c>
      <c r="C760" s="45" t="s">
        <v>42</v>
      </c>
      <c r="G760" s="126"/>
    </row>
    <row r="761" spans="2:7">
      <c r="B761" s="142"/>
      <c r="G761" s="126"/>
    </row>
    <row r="762" spans="2:7">
      <c r="B762" s="125"/>
      <c r="C762" s="44" t="s">
        <v>401</v>
      </c>
      <c r="G762" s="126"/>
    </row>
    <row r="763" spans="2:7">
      <c r="B763" s="125"/>
      <c r="C763" s="45" t="s">
        <v>339</v>
      </c>
      <c r="G763" s="126"/>
    </row>
    <row r="764" spans="2:7" ht="13.5" thickBot="1">
      <c r="B764" s="140"/>
      <c r="C764" s="131"/>
      <c r="D764" s="131"/>
      <c r="E764" s="141"/>
      <c r="F764" s="131"/>
      <c r="G764" s="135"/>
    </row>
    <row r="766" spans="2:7" ht="13.5" thickBot="1"/>
    <row r="767" spans="2:7" ht="13.5" thickBot="1">
      <c r="B767" s="239" t="s">
        <v>462</v>
      </c>
      <c r="C767" s="240"/>
      <c r="D767" s="240"/>
      <c r="E767" s="240"/>
      <c r="F767" s="240"/>
      <c r="G767" s="241"/>
    </row>
    <row r="768" spans="2:7" ht="13.5" thickBot="1">
      <c r="B768" s="125"/>
      <c r="G768" s="126"/>
    </row>
    <row r="769" spans="2:7">
      <c r="B769" s="125"/>
      <c r="C769" s="127" t="s">
        <v>27</v>
      </c>
      <c r="D769" s="128"/>
      <c r="E769" s="128" t="s">
        <v>1</v>
      </c>
      <c r="F769" s="129">
        <v>30</v>
      </c>
      <c r="G769" s="126"/>
    </row>
    <row r="770" spans="2:7" ht="13.5" thickBot="1">
      <c r="B770" s="125"/>
      <c r="C770" s="130"/>
      <c r="D770" s="131"/>
      <c r="E770" s="131" t="s">
        <v>36</v>
      </c>
      <c r="F770" s="132">
        <v>31</v>
      </c>
      <c r="G770" s="126"/>
    </row>
    <row r="771" spans="2:7" ht="13.5" thickBot="1">
      <c r="B771" s="125"/>
      <c r="G771" s="126"/>
    </row>
    <row r="772" spans="2:7">
      <c r="B772" s="125"/>
      <c r="C772" s="127" t="s">
        <v>4</v>
      </c>
      <c r="D772" s="128"/>
      <c r="E772" s="128" t="s">
        <v>28</v>
      </c>
      <c r="F772" s="133" t="s">
        <v>427</v>
      </c>
      <c r="G772" s="126"/>
    </row>
    <row r="773" spans="2:7">
      <c r="B773" s="125"/>
      <c r="C773" s="59" t="s">
        <v>2</v>
      </c>
      <c r="E773" s="45" t="s">
        <v>326</v>
      </c>
      <c r="F773" s="126"/>
      <c r="G773" s="126"/>
    </row>
    <row r="774" spans="2:7" ht="13.5" thickBot="1">
      <c r="B774" s="125"/>
      <c r="C774" s="130" t="s">
        <v>3</v>
      </c>
      <c r="D774" s="131"/>
      <c r="E774" s="134" t="s">
        <v>344</v>
      </c>
      <c r="F774" s="135"/>
      <c r="G774" s="126"/>
    </row>
    <row r="775" spans="2:7">
      <c r="B775" s="125"/>
      <c r="G775" s="126"/>
    </row>
    <row r="776" spans="2:7" ht="13.5" thickBot="1">
      <c r="B776" s="125"/>
      <c r="G776" s="126"/>
    </row>
    <row r="777" spans="2:7" ht="13.5" thickBot="1">
      <c r="B777" s="125"/>
      <c r="C777" s="136" t="s">
        <v>29</v>
      </c>
      <c r="D777" s="137"/>
      <c r="E777" s="138" t="s">
        <v>284</v>
      </c>
      <c r="F777" s="139"/>
      <c r="G777" s="126"/>
    </row>
    <row r="778" spans="2:7">
      <c r="B778" s="125"/>
      <c r="G778" s="126"/>
    </row>
    <row r="779" spans="2:7">
      <c r="B779" s="125"/>
      <c r="C779" s="45" t="s">
        <v>5</v>
      </c>
      <c r="G779" s="126"/>
    </row>
    <row r="780" spans="2:7">
      <c r="B780" s="125"/>
      <c r="G780" s="126"/>
    </row>
    <row r="781" spans="2:7">
      <c r="B781" s="59">
        <v>1</v>
      </c>
      <c r="C781" s="45" t="s">
        <v>6</v>
      </c>
      <c r="G781" s="126"/>
    </row>
    <row r="782" spans="2:7">
      <c r="B782" s="59">
        <v>2</v>
      </c>
      <c r="C782" s="45" t="s">
        <v>7</v>
      </c>
      <c r="G782" s="126"/>
    </row>
    <row r="783" spans="2:7">
      <c r="B783" s="59">
        <v>3</v>
      </c>
      <c r="C783" s="45" t="s">
        <v>35</v>
      </c>
      <c r="G783" s="126"/>
    </row>
    <row r="784" spans="2:7">
      <c r="B784" s="59">
        <v>4</v>
      </c>
      <c r="C784" s="45" t="s">
        <v>12</v>
      </c>
      <c r="G784" s="126"/>
    </row>
    <row r="785" spans="2:7">
      <c r="B785" s="59">
        <v>5</v>
      </c>
      <c r="C785" s="45" t="s">
        <v>9</v>
      </c>
      <c r="G785" s="126"/>
    </row>
    <row r="786" spans="2:7">
      <c r="B786" s="59">
        <v>6</v>
      </c>
      <c r="C786" s="45" t="s">
        <v>32</v>
      </c>
      <c r="G786" s="126"/>
    </row>
    <row r="787" spans="2:7">
      <c r="B787" s="59">
        <v>7</v>
      </c>
      <c r="C787" s="45" t="s">
        <v>13</v>
      </c>
      <c r="G787" s="126"/>
    </row>
    <row r="788" spans="2:7">
      <c r="B788" s="59">
        <v>8</v>
      </c>
      <c r="C788" s="45" t="s">
        <v>33</v>
      </c>
      <c r="G788" s="126"/>
    </row>
    <row r="789" spans="2:7">
      <c r="B789" s="59">
        <v>9</v>
      </c>
      <c r="C789" s="45" t="s">
        <v>14</v>
      </c>
      <c r="G789" s="126"/>
    </row>
    <row r="790" spans="2:7">
      <c r="B790" s="59">
        <v>10</v>
      </c>
      <c r="C790" s="45" t="s">
        <v>15</v>
      </c>
      <c r="G790" s="126"/>
    </row>
    <row r="791" spans="2:7">
      <c r="B791" s="59">
        <v>11</v>
      </c>
      <c r="C791" s="45" t="s">
        <v>19</v>
      </c>
      <c r="G791" s="126"/>
    </row>
    <row r="792" spans="2:7">
      <c r="B792" s="59">
        <v>12</v>
      </c>
      <c r="C792" s="45" t="s">
        <v>17</v>
      </c>
      <c r="G792" s="126"/>
    </row>
    <row r="793" spans="2:7">
      <c r="B793" s="59">
        <v>13</v>
      </c>
      <c r="C793" s="45" t="s">
        <v>18</v>
      </c>
      <c r="G793" s="126"/>
    </row>
    <row r="794" spans="2:7">
      <c r="B794" s="59">
        <v>14</v>
      </c>
      <c r="C794" s="45" t="s">
        <v>42</v>
      </c>
      <c r="G794" s="126"/>
    </row>
    <row r="795" spans="2:7">
      <c r="B795" s="59">
        <v>15</v>
      </c>
      <c r="C795" s="45" t="s">
        <v>16</v>
      </c>
      <c r="G795" s="126"/>
    </row>
    <row r="796" spans="2:7">
      <c r="B796" s="125"/>
      <c r="G796" s="126"/>
    </row>
    <row r="797" spans="2:7">
      <c r="B797" s="125"/>
      <c r="C797" s="45" t="s">
        <v>463</v>
      </c>
      <c r="G797" s="126"/>
    </row>
    <row r="798" spans="2:7">
      <c r="B798" s="125"/>
      <c r="G798" s="126"/>
    </row>
    <row r="799" spans="2:7">
      <c r="B799" s="125"/>
      <c r="C799" s="124" t="s">
        <v>21</v>
      </c>
      <c r="G799" s="126"/>
    </row>
    <row r="800" spans="2:7">
      <c r="B800" s="142">
        <v>2</v>
      </c>
      <c r="C800" s="45" t="s">
        <v>42</v>
      </c>
      <c r="G800" s="126"/>
    </row>
    <row r="801" spans="2:7">
      <c r="B801" s="142">
        <v>1</v>
      </c>
      <c r="C801" s="45" t="s">
        <v>33</v>
      </c>
      <c r="G801" s="126"/>
    </row>
    <row r="802" spans="2:7">
      <c r="B802" s="142">
        <v>1</v>
      </c>
      <c r="C802" s="45" t="s">
        <v>19</v>
      </c>
      <c r="G802" s="126"/>
    </row>
    <row r="803" spans="2:7">
      <c r="B803" s="142"/>
      <c r="G803" s="126"/>
    </row>
    <row r="804" spans="2:7">
      <c r="B804" s="142"/>
      <c r="C804" s="44" t="s">
        <v>337</v>
      </c>
      <c r="G804" s="126"/>
    </row>
    <row r="805" spans="2:7">
      <c r="B805" s="142">
        <v>2</v>
      </c>
      <c r="C805" s="45" t="s">
        <v>17</v>
      </c>
      <c r="G805" s="126"/>
    </row>
    <row r="806" spans="2:7">
      <c r="B806" s="142"/>
      <c r="G806" s="126"/>
    </row>
    <row r="807" spans="2:7">
      <c r="B807" s="142"/>
      <c r="C807" s="44" t="s">
        <v>22</v>
      </c>
      <c r="G807" s="126"/>
    </row>
    <row r="808" spans="2:7">
      <c r="B808" s="142">
        <v>2</v>
      </c>
      <c r="C808" s="45" t="s">
        <v>17</v>
      </c>
      <c r="G808" s="126"/>
    </row>
    <row r="809" spans="2:7">
      <c r="B809" s="142"/>
      <c r="G809" s="126"/>
    </row>
    <row r="810" spans="2:7">
      <c r="B810" s="125"/>
      <c r="C810" s="44" t="s">
        <v>401</v>
      </c>
      <c r="G810" s="126"/>
    </row>
    <row r="811" spans="2:7">
      <c r="B811" s="125"/>
      <c r="C811" s="45" t="s">
        <v>339</v>
      </c>
      <c r="G811" s="126"/>
    </row>
    <row r="812" spans="2:7" ht="13.5" thickBot="1">
      <c r="B812" s="140"/>
      <c r="C812" s="131"/>
      <c r="D812" s="131"/>
      <c r="E812" s="141"/>
      <c r="F812" s="131"/>
      <c r="G812" s="135"/>
    </row>
    <row r="814" spans="2:7" ht="13.5" thickBot="1"/>
    <row r="815" spans="2:7" ht="13.5" thickBot="1">
      <c r="B815" s="239" t="s">
        <v>464</v>
      </c>
      <c r="C815" s="240"/>
      <c r="D815" s="240"/>
      <c r="E815" s="240"/>
      <c r="F815" s="240"/>
      <c r="G815" s="241"/>
    </row>
    <row r="816" spans="2:7" ht="13.5" thickBot="1">
      <c r="B816" s="125"/>
      <c r="G816" s="126"/>
    </row>
    <row r="817" spans="2:7">
      <c r="B817" s="125"/>
      <c r="C817" s="127" t="s">
        <v>27</v>
      </c>
      <c r="D817" s="128"/>
      <c r="E817" s="128" t="s">
        <v>0</v>
      </c>
      <c r="F817" s="129">
        <v>19</v>
      </c>
      <c r="G817" s="126"/>
    </row>
    <row r="818" spans="2:7" ht="13.5" thickBot="1">
      <c r="B818" s="125"/>
      <c r="C818" s="130"/>
      <c r="D818" s="131"/>
      <c r="E818" s="131" t="s">
        <v>1</v>
      </c>
      <c r="F818" s="132">
        <v>45</v>
      </c>
      <c r="G818" s="126"/>
    </row>
    <row r="819" spans="2:7" ht="13.5" thickBot="1">
      <c r="B819" s="125"/>
      <c r="G819" s="126"/>
    </row>
    <row r="820" spans="2:7">
      <c r="B820" s="125"/>
      <c r="C820" s="127" t="s">
        <v>4</v>
      </c>
      <c r="D820" s="128"/>
      <c r="E820" s="128" t="s">
        <v>0</v>
      </c>
      <c r="F820" s="133"/>
      <c r="G820" s="126"/>
    </row>
    <row r="821" spans="2:7">
      <c r="B821" s="125"/>
      <c r="C821" s="59" t="s">
        <v>2</v>
      </c>
      <c r="E821" s="45" t="s">
        <v>326</v>
      </c>
      <c r="F821" s="126"/>
      <c r="G821" s="126"/>
    </row>
    <row r="822" spans="2:7" ht="13.5" thickBot="1">
      <c r="B822" s="125"/>
      <c r="C822" s="130" t="s">
        <v>3</v>
      </c>
      <c r="D822" s="131"/>
      <c r="E822" s="134" t="s">
        <v>326</v>
      </c>
      <c r="F822" s="135"/>
      <c r="G822" s="126"/>
    </row>
    <row r="823" spans="2:7">
      <c r="B823" s="125"/>
      <c r="G823" s="126"/>
    </row>
    <row r="824" spans="2:7" ht="13.5" thickBot="1">
      <c r="B824" s="125"/>
      <c r="G824" s="126"/>
    </row>
    <row r="825" spans="2:7" ht="13.5" thickBot="1">
      <c r="B825" s="125"/>
      <c r="C825" s="136" t="s">
        <v>29</v>
      </c>
      <c r="D825" s="137"/>
      <c r="E825" s="138" t="s">
        <v>232</v>
      </c>
      <c r="F825" s="139"/>
      <c r="G825" s="126"/>
    </row>
    <row r="826" spans="2:7">
      <c r="B826" s="125"/>
      <c r="G826" s="126"/>
    </row>
    <row r="827" spans="2:7">
      <c r="B827" s="125"/>
      <c r="C827" s="45" t="s">
        <v>5</v>
      </c>
      <c r="G827" s="126"/>
    </row>
    <row r="828" spans="2:7">
      <c r="B828" s="125"/>
      <c r="G828" s="126"/>
    </row>
    <row r="829" spans="2:7">
      <c r="B829" s="59">
        <v>1</v>
      </c>
      <c r="C829" s="45" t="s">
        <v>6</v>
      </c>
      <c r="G829" s="126"/>
    </row>
    <row r="830" spans="2:7">
      <c r="B830" s="59">
        <v>2</v>
      </c>
      <c r="C830" s="45" t="s">
        <v>7</v>
      </c>
      <c r="G830" s="126"/>
    </row>
    <row r="831" spans="2:7">
      <c r="B831" s="59">
        <v>3</v>
      </c>
      <c r="C831" s="45" t="s">
        <v>35</v>
      </c>
      <c r="G831" s="126"/>
    </row>
    <row r="832" spans="2:7">
      <c r="B832" s="59">
        <v>4</v>
      </c>
      <c r="C832" s="45" t="s">
        <v>11</v>
      </c>
      <c r="G832" s="126"/>
    </row>
    <row r="833" spans="2:7">
      <c r="B833" s="59">
        <v>5</v>
      </c>
      <c r="C833" s="45" t="s">
        <v>9</v>
      </c>
      <c r="G833" s="126"/>
    </row>
    <row r="834" spans="2:7">
      <c r="B834" s="59">
        <v>6</v>
      </c>
      <c r="C834" s="45" t="s">
        <v>12</v>
      </c>
      <c r="G834" s="126"/>
    </row>
    <row r="835" spans="2:7">
      <c r="B835" s="59">
        <v>7</v>
      </c>
      <c r="C835" s="45" t="s">
        <v>13</v>
      </c>
      <c r="G835" s="126"/>
    </row>
    <row r="836" spans="2:7">
      <c r="B836" s="59">
        <v>8</v>
      </c>
      <c r="C836" s="45" t="s">
        <v>33</v>
      </c>
      <c r="G836" s="126"/>
    </row>
    <row r="837" spans="2:7">
      <c r="B837" s="59">
        <v>9</v>
      </c>
      <c r="C837" s="45" t="s">
        <v>14</v>
      </c>
      <c r="G837" s="126"/>
    </row>
    <row r="838" spans="2:7">
      <c r="B838" s="59">
        <v>10</v>
      </c>
      <c r="C838" s="45" t="s">
        <v>15</v>
      </c>
      <c r="G838" s="126"/>
    </row>
    <row r="839" spans="2:7">
      <c r="B839" s="59">
        <v>11</v>
      </c>
      <c r="C839" s="45" t="s">
        <v>19</v>
      </c>
      <c r="G839" s="126"/>
    </row>
    <row r="840" spans="2:7">
      <c r="B840" s="59">
        <v>12</v>
      </c>
      <c r="C840" s="45" t="s">
        <v>17</v>
      </c>
      <c r="G840" s="126"/>
    </row>
    <row r="841" spans="2:7">
      <c r="B841" s="59">
        <v>13</v>
      </c>
      <c r="C841" s="45" t="s">
        <v>18</v>
      </c>
      <c r="G841" s="126"/>
    </row>
    <row r="842" spans="2:7">
      <c r="B842" s="59">
        <v>14</v>
      </c>
      <c r="C842" s="45" t="s">
        <v>16</v>
      </c>
      <c r="G842" s="126"/>
    </row>
    <row r="843" spans="2:7">
      <c r="B843" s="59">
        <v>15</v>
      </c>
      <c r="C843" s="45" t="s">
        <v>20</v>
      </c>
      <c r="G843" s="126"/>
    </row>
    <row r="844" spans="2:7">
      <c r="B844" s="125"/>
      <c r="G844" s="126"/>
    </row>
    <row r="845" spans="2:7">
      <c r="B845" s="125"/>
      <c r="C845" s="45" t="s">
        <v>465</v>
      </c>
      <c r="G845" s="126"/>
    </row>
    <row r="846" spans="2:7">
      <c r="B846" s="125"/>
      <c r="C846" s="45" t="s">
        <v>466</v>
      </c>
      <c r="G846" s="126"/>
    </row>
    <row r="847" spans="2:7">
      <c r="B847" s="125"/>
      <c r="C847" s="45" t="s">
        <v>406</v>
      </c>
      <c r="G847" s="126"/>
    </row>
    <row r="848" spans="2:7">
      <c r="B848" s="125"/>
      <c r="G848" s="126"/>
    </row>
    <row r="849" spans="2:7">
      <c r="B849" s="125"/>
      <c r="C849" s="124" t="s">
        <v>21</v>
      </c>
      <c r="G849" s="126"/>
    </row>
    <row r="850" spans="2:7">
      <c r="B850" s="142">
        <v>2</v>
      </c>
      <c r="C850" s="45" t="s">
        <v>15</v>
      </c>
      <c r="G850" s="126"/>
    </row>
    <row r="851" spans="2:7">
      <c r="B851" s="142">
        <v>1</v>
      </c>
      <c r="C851" s="45" t="s">
        <v>18</v>
      </c>
      <c r="G851" s="126"/>
    </row>
    <row r="852" spans="2:7">
      <c r="B852" s="142">
        <v>1</v>
      </c>
      <c r="C852" s="45" t="s">
        <v>19</v>
      </c>
      <c r="G852" s="126"/>
    </row>
    <row r="853" spans="2:7">
      <c r="B853" s="142">
        <v>1</v>
      </c>
      <c r="C853" s="45" t="s">
        <v>20</v>
      </c>
      <c r="G853" s="126"/>
    </row>
    <row r="854" spans="2:7">
      <c r="B854" s="142">
        <v>1</v>
      </c>
      <c r="C854" s="45" t="s">
        <v>13</v>
      </c>
      <c r="G854" s="126"/>
    </row>
    <row r="855" spans="2:7">
      <c r="B855" s="142">
        <v>1</v>
      </c>
      <c r="C855" s="45" t="s">
        <v>56</v>
      </c>
      <c r="G855" s="126"/>
    </row>
    <row r="856" spans="2:7">
      <c r="B856" s="142"/>
      <c r="G856" s="126"/>
    </row>
    <row r="857" spans="2:7">
      <c r="B857" s="142"/>
      <c r="C857" s="44" t="s">
        <v>337</v>
      </c>
      <c r="G857" s="126"/>
    </row>
    <row r="858" spans="2:7">
      <c r="B858" s="142">
        <v>5</v>
      </c>
      <c r="C858" s="45" t="s">
        <v>17</v>
      </c>
      <c r="G858" s="126"/>
    </row>
    <row r="859" spans="2:7">
      <c r="B859" s="142"/>
      <c r="G859" s="126"/>
    </row>
    <row r="860" spans="2:7">
      <c r="B860" s="125"/>
      <c r="C860" s="44" t="s">
        <v>401</v>
      </c>
      <c r="G860" s="126"/>
    </row>
    <row r="861" spans="2:7">
      <c r="B861" s="125"/>
      <c r="C861" s="45" t="s">
        <v>13</v>
      </c>
      <c r="G861" s="126"/>
    </row>
    <row r="862" spans="2:7" ht="13.5" thickBot="1">
      <c r="B862" s="140"/>
      <c r="C862" s="131"/>
      <c r="D862" s="131"/>
      <c r="E862" s="141"/>
      <c r="F862" s="131"/>
      <c r="G862" s="135"/>
    </row>
    <row r="864" spans="2:7" ht="13.5" thickBot="1"/>
    <row r="865" spans="2:7" ht="13.5" thickBot="1">
      <c r="B865" s="239" t="s">
        <v>467</v>
      </c>
      <c r="C865" s="240"/>
      <c r="D865" s="240"/>
      <c r="E865" s="240"/>
      <c r="F865" s="240"/>
      <c r="G865" s="241"/>
    </row>
    <row r="866" spans="2:7" ht="13.5" thickBot="1">
      <c r="B866" s="125"/>
      <c r="G866" s="126"/>
    </row>
    <row r="867" spans="2:7">
      <c r="B867" s="125"/>
      <c r="C867" s="127" t="s">
        <v>27</v>
      </c>
      <c r="D867" s="128"/>
      <c r="E867" s="128" t="s">
        <v>1</v>
      </c>
      <c r="F867" s="129">
        <v>30</v>
      </c>
      <c r="G867" s="126"/>
    </row>
    <row r="868" spans="2:7" ht="13.5" thickBot="1">
      <c r="B868" s="125"/>
      <c r="C868" s="130"/>
      <c r="D868" s="131"/>
      <c r="E868" s="131" t="s">
        <v>202</v>
      </c>
      <c r="F868" s="132">
        <v>23</v>
      </c>
      <c r="G868" s="126"/>
    </row>
    <row r="869" spans="2:7" ht="13.5" thickBot="1">
      <c r="B869" s="125"/>
      <c r="G869" s="126"/>
    </row>
    <row r="870" spans="2:7">
      <c r="B870" s="125"/>
      <c r="C870" s="127" t="s">
        <v>4</v>
      </c>
      <c r="D870" s="128"/>
      <c r="E870" s="128" t="s">
        <v>28</v>
      </c>
      <c r="F870" s="133" t="s">
        <v>427</v>
      </c>
      <c r="G870" s="126"/>
    </row>
    <row r="871" spans="2:7">
      <c r="B871" s="125"/>
      <c r="C871" s="59" t="s">
        <v>2</v>
      </c>
      <c r="E871" s="45" t="s">
        <v>468</v>
      </c>
      <c r="F871" s="126"/>
      <c r="G871" s="126"/>
    </row>
    <row r="872" spans="2:7" ht="13.5" thickBot="1">
      <c r="B872" s="125"/>
      <c r="C872" s="130" t="s">
        <v>3</v>
      </c>
      <c r="D872" s="131"/>
      <c r="E872" s="134" t="s">
        <v>344</v>
      </c>
      <c r="F872" s="135"/>
      <c r="G872" s="126"/>
    </row>
    <row r="873" spans="2:7">
      <c r="B873" s="125"/>
      <c r="G873" s="126"/>
    </row>
    <row r="874" spans="2:7" ht="13.5" thickBot="1">
      <c r="B874" s="125"/>
      <c r="G874" s="126"/>
    </row>
    <row r="875" spans="2:7" ht="13.5" thickBot="1">
      <c r="B875" s="125"/>
      <c r="C875" s="136" t="s">
        <v>29</v>
      </c>
      <c r="D875" s="137"/>
      <c r="E875" s="138" t="s">
        <v>285</v>
      </c>
      <c r="F875" s="139"/>
      <c r="G875" s="126"/>
    </row>
    <row r="876" spans="2:7">
      <c r="B876" s="125"/>
      <c r="G876" s="126"/>
    </row>
    <row r="877" spans="2:7">
      <c r="B877" s="125"/>
      <c r="C877" s="45" t="s">
        <v>5</v>
      </c>
      <c r="G877" s="126"/>
    </row>
    <row r="878" spans="2:7">
      <c r="B878" s="125"/>
      <c r="G878" s="126"/>
    </row>
    <row r="879" spans="2:7">
      <c r="B879" s="59">
        <v>1</v>
      </c>
      <c r="C879" s="45" t="s">
        <v>6</v>
      </c>
      <c r="G879" s="126"/>
    </row>
    <row r="880" spans="2:7">
      <c r="B880" s="59">
        <v>2</v>
      </c>
      <c r="C880" s="45" t="s">
        <v>7</v>
      </c>
      <c r="G880" s="126"/>
    </row>
    <row r="881" spans="2:7">
      <c r="B881" s="59">
        <v>3</v>
      </c>
      <c r="C881" s="45" t="s">
        <v>35</v>
      </c>
      <c r="G881" s="126"/>
    </row>
    <row r="882" spans="2:7">
      <c r="B882" s="59">
        <v>4</v>
      </c>
      <c r="C882" s="45" t="s">
        <v>11</v>
      </c>
      <c r="G882" s="126"/>
    </row>
    <row r="883" spans="2:7">
      <c r="B883" s="59">
        <v>5</v>
      </c>
      <c r="C883" s="45" t="s">
        <v>9</v>
      </c>
      <c r="G883" s="126"/>
    </row>
    <row r="884" spans="2:7">
      <c r="B884" s="59">
        <v>6</v>
      </c>
      <c r="C884" s="45" t="s">
        <v>12</v>
      </c>
      <c r="G884" s="126"/>
    </row>
    <row r="885" spans="2:7">
      <c r="B885" s="59">
        <v>7</v>
      </c>
      <c r="C885" s="45" t="s">
        <v>13</v>
      </c>
      <c r="G885" s="126"/>
    </row>
    <row r="886" spans="2:7">
      <c r="B886" s="59">
        <v>8</v>
      </c>
      <c r="C886" s="45" t="s">
        <v>33</v>
      </c>
      <c r="G886" s="126"/>
    </row>
    <row r="887" spans="2:7">
      <c r="B887" s="59">
        <v>9</v>
      </c>
      <c r="C887" s="45" t="s">
        <v>14</v>
      </c>
      <c r="G887" s="126"/>
    </row>
    <row r="888" spans="2:7">
      <c r="B888" s="59">
        <v>10</v>
      </c>
      <c r="C888" s="45" t="s">
        <v>15</v>
      </c>
      <c r="G888" s="126"/>
    </row>
    <row r="889" spans="2:7">
      <c r="B889" s="59">
        <v>11</v>
      </c>
      <c r="C889" s="45" t="s">
        <v>16</v>
      </c>
      <c r="G889" s="126"/>
    </row>
    <row r="890" spans="2:7">
      <c r="B890" s="59">
        <v>12</v>
      </c>
      <c r="C890" s="45" t="s">
        <v>18</v>
      </c>
      <c r="G890" s="126"/>
    </row>
    <row r="891" spans="2:7">
      <c r="B891" s="59">
        <v>13</v>
      </c>
      <c r="C891" s="45" t="s">
        <v>19</v>
      </c>
      <c r="G891" s="126"/>
    </row>
    <row r="892" spans="2:7">
      <c r="B892" s="59">
        <v>14</v>
      </c>
      <c r="C892" s="45" t="s">
        <v>42</v>
      </c>
      <c r="G892" s="126"/>
    </row>
    <row r="893" spans="2:7">
      <c r="B893" s="59">
        <v>15</v>
      </c>
      <c r="C893" s="45" t="s">
        <v>20</v>
      </c>
      <c r="G893" s="126"/>
    </row>
    <row r="894" spans="2:7">
      <c r="B894" s="125"/>
      <c r="G894" s="126"/>
    </row>
    <row r="895" spans="2:7">
      <c r="B895" s="125"/>
      <c r="C895" s="45" t="s">
        <v>465</v>
      </c>
      <c r="G895" s="126"/>
    </row>
    <row r="896" spans="2:7">
      <c r="B896" s="125"/>
      <c r="C896" s="45" t="s">
        <v>469</v>
      </c>
      <c r="G896" s="126"/>
    </row>
    <row r="897" spans="2:7">
      <c r="B897" s="125"/>
      <c r="G897" s="126"/>
    </row>
    <row r="898" spans="2:7">
      <c r="B898" s="125"/>
      <c r="C898" s="124" t="s">
        <v>21</v>
      </c>
      <c r="G898" s="126"/>
    </row>
    <row r="899" spans="2:7">
      <c r="B899" s="142">
        <v>1</v>
      </c>
      <c r="C899" s="45" t="s">
        <v>19</v>
      </c>
      <c r="G899" s="126"/>
    </row>
    <row r="900" spans="2:7">
      <c r="B900" s="142">
        <v>1</v>
      </c>
      <c r="C900" s="45" t="s">
        <v>14</v>
      </c>
      <c r="G900" s="126"/>
    </row>
    <row r="901" spans="2:7">
      <c r="B901" s="142">
        <v>1</v>
      </c>
      <c r="C901" s="45" t="s">
        <v>13</v>
      </c>
      <c r="G901" s="126"/>
    </row>
    <row r="902" spans="2:7">
      <c r="B902" s="142">
        <v>2</v>
      </c>
      <c r="C902" s="45" t="s">
        <v>59</v>
      </c>
      <c r="G902" s="126"/>
    </row>
    <row r="903" spans="2:7">
      <c r="B903" s="142"/>
      <c r="G903" s="126"/>
    </row>
    <row r="904" spans="2:7">
      <c r="B904" s="142"/>
      <c r="C904" s="44" t="s">
        <v>337</v>
      </c>
      <c r="G904" s="126"/>
    </row>
    <row r="905" spans="2:7">
      <c r="B905" s="142">
        <v>1</v>
      </c>
      <c r="C905" s="45" t="s">
        <v>18</v>
      </c>
      <c r="G905" s="126"/>
    </row>
    <row r="906" spans="2:7">
      <c r="B906" s="142"/>
      <c r="G906" s="126"/>
    </row>
    <row r="907" spans="2:7">
      <c r="B907" s="142"/>
      <c r="C907" s="44" t="s">
        <v>22</v>
      </c>
      <c r="G907" s="126"/>
    </row>
    <row r="908" spans="2:7">
      <c r="B908" s="142">
        <v>1</v>
      </c>
      <c r="C908" s="45" t="s">
        <v>18</v>
      </c>
      <c r="G908" s="126"/>
    </row>
    <row r="909" spans="2:7">
      <c r="B909" s="142"/>
      <c r="G909" s="126"/>
    </row>
    <row r="910" spans="2:7">
      <c r="B910" s="125"/>
      <c r="C910" s="44" t="s">
        <v>401</v>
      </c>
      <c r="G910" s="126"/>
    </row>
    <row r="911" spans="2:7">
      <c r="B911" s="125"/>
      <c r="C911" s="45" t="s">
        <v>13</v>
      </c>
      <c r="G911" s="126"/>
    </row>
    <row r="912" spans="2:7">
      <c r="B912" s="125"/>
      <c r="C912" s="45" t="s">
        <v>18</v>
      </c>
      <c r="G912" s="126"/>
    </row>
    <row r="913" spans="2:7" ht="13.5" thickBot="1">
      <c r="B913" s="140"/>
      <c r="C913" s="131"/>
      <c r="D913" s="131"/>
      <c r="E913" s="141"/>
      <c r="F913" s="131"/>
      <c r="G913" s="135"/>
    </row>
    <row r="915" spans="2:7" ht="13.5" thickBot="1"/>
    <row r="916" spans="2:7" ht="13.5" thickBot="1">
      <c r="B916" s="239" t="s">
        <v>470</v>
      </c>
      <c r="C916" s="240"/>
      <c r="D916" s="240"/>
      <c r="E916" s="240"/>
      <c r="F916" s="240"/>
      <c r="G916" s="241"/>
    </row>
    <row r="917" spans="2:7" ht="13.5" thickBot="1">
      <c r="B917" s="125"/>
      <c r="G917" s="126"/>
    </row>
    <row r="918" spans="2:7">
      <c r="B918" s="125"/>
      <c r="C918" s="127" t="s">
        <v>27</v>
      </c>
      <c r="D918" s="128"/>
      <c r="E918" s="128" t="s">
        <v>38</v>
      </c>
      <c r="F918" s="129">
        <v>6</v>
      </c>
      <c r="G918" s="126"/>
    </row>
    <row r="919" spans="2:7" ht="13.5" thickBot="1">
      <c r="B919" s="125"/>
      <c r="C919" s="130"/>
      <c r="D919" s="131"/>
      <c r="E919" s="131" t="s">
        <v>1</v>
      </c>
      <c r="F919" s="132">
        <v>36</v>
      </c>
      <c r="G919" s="126"/>
    </row>
    <row r="920" spans="2:7" ht="13.5" thickBot="1">
      <c r="B920" s="125"/>
      <c r="G920" s="126"/>
    </row>
    <row r="921" spans="2:7">
      <c r="B921" s="125"/>
      <c r="C921" s="127" t="s">
        <v>4</v>
      </c>
      <c r="D921" s="128"/>
      <c r="E921" s="128" t="s">
        <v>38</v>
      </c>
      <c r="F921" s="133"/>
      <c r="G921" s="126"/>
    </row>
    <row r="922" spans="2:7">
      <c r="B922" s="125"/>
      <c r="C922" s="59" t="s">
        <v>2</v>
      </c>
      <c r="E922" s="45" t="s">
        <v>404</v>
      </c>
      <c r="F922" s="126"/>
      <c r="G922" s="126"/>
    </row>
    <row r="923" spans="2:7" ht="13.5" thickBot="1">
      <c r="B923" s="125"/>
      <c r="C923" s="130" t="s">
        <v>3</v>
      </c>
      <c r="D923" s="131"/>
      <c r="E923" s="134" t="s">
        <v>344</v>
      </c>
      <c r="F923" s="135"/>
      <c r="G923" s="126"/>
    </row>
    <row r="924" spans="2:7">
      <c r="B924" s="125"/>
      <c r="G924" s="126"/>
    </row>
    <row r="925" spans="2:7" ht="13.5" thickBot="1">
      <c r="B925" s="125"/>
      <c r="G925" s="126"/>
    </row>
    <row r="926" spans="2:7" ht="13.5" thickBot="1">
      <c r="B926" s="125"/>
      <c r="C926" s="136" t="s">
        <v>29</v>
      </c>
      <c r="D926" s="137"/>
      <c r="E926" s="138" t="s">
        <v>471</v>
      </c>
      <c r="F926" s="139"/>
      <c r="G926" s="126"/>
    </row>
    <row r="927" spans="2:7">
      <c r="B927" s="125"/>
      <c r="G927" s="126"/>
    </row>
    <row r="928" spans="2:7">
      <c r="B928" s="125"/>
      <c r="C928" s="45" t="s">
        <v>5</v>
      </c>
      <c r="G928" s="126"/>
    </row>
    <row r="929" spans="2:7">
      <c r="B929" s="125"/>
      <c r="G929" s="126"/>
    </row>
    <row r="930" spans="2:7">
      <c r="B930" s="59">
        <v>1</v>
      </c>
      <c r="C930" s="45" t="s">
        <v>6</v>
      </c>
      <c r="G930" s="126"/>
    </row>
    <row r="931" spans="2:7">
      <c r="B931" s="59">
        <v>2</v>
      </c>
      <c r="C931" s="45" t="s">
        <v>7</v>
      </c>
      <c r="G931" s="126"/>
    </row>
    <row r="932" spans="2:7">
      <c r="B932" s="59">
        <v>3</v>
      </c>
      <c r="C932" s="45" t="s">
        <v>35</v>
      </c>
      <c r="G932" s="126"/>
    </row>
    <row r="933" spans="2:7">
      <c r="B933" s="59">
        <v>4</v>
      </c>
      <c r="C933" s="45" t="s">
        <v>11</v>
      </c>
      <c r="G933" s="126"/>
    </row>
    <row r="934" spans="2:7">
      <c r="B934" s="59">
        <v>5</v>
      </c>
      <c r="C934" s="45" t="s">
        <v>9</v>
      </c>
      <c r="G934" s="126"/>
    </row>
    <row r="935" spans="2:7">
      <c r="B935" s="59">
        <v>6</v>
      </c>
      <c r="C935" s="45" t="s">
        <v>12</v>
      </c>
      <c r="G935" s="126"/>
    </row>
    <row r="936" spans="2:7">
      <c r="B936" s="59">
        <v>7</v>
      </c>
      <c r="C936" s="45" t="s">
        <v>13</v>
      </c>
      <c r="G936" s="126"/>
    </row>
    <row r="937" spans="2:7">
      <c r="B937" s="59">
        <v>8</v>
      </c>
      <c r="C937" s="45" t="s">
        <v>33</v>
      </c>
      <c r="G937" s="126"/>
    </row>
    <row r="938" spans="2:7">
      <c r="B938" s="59">
        <v>9</v>
      </c>
      <c r="C938" s="45" t="s">
        <v>14</v>
      </c>
      <c r="G938" s="126"/>
    </row>
    <row r="939" spans="2:7">
      <c r="B939" s="59">
        <v>10</v>
      </c>
      <c r="C939" s="45" t="s">
        <v>15</v>
      </c>
      <c r="G939" s="126"/>
    </row>
    <row r="940" spans="2:7">
      <c r="B940" s="59">
        <v>11</v>
      </c>
      <c r="C940" s="45" t="s">
        <v>16</v>
      </c>
      <c r="G940" s="126"/>
    </row>
    <row r="941" spans="2:7">
      <c r="B941" s="59">
        <v>12</v>
      </c>
      <c r="C941" s="45" t="s">
        <v>18</v>
      </c>
      <c r="G941" s="126"/>
    </row>
    <row r="942" spans="2:7">
      <c r="B942" s="59">
        <v>13</v>
      </c>
      <c r="C942" s="45" t="s">
        <v>19</v>
      </c>
      <c r="G942" s="126"/>
    </row>
    <row r="943" spans="2:7">
      <c r="B943" s="59">
        <v>14</v>
      </c>
      <c r="C943" s="45" t="s">
        <v>42</v>
      </c>
      <c r="G943" s="126"/>
    </row>
    <row r="944" spans="2:7">
      <c r="B944" s="59">
        <v>15</v>
      </c>
      <c r="C944" s="45" t="s">
        <v>20</v>
      </c>
      <c r="G944" s="126"/>
    </row>
    <row r="945" spans="2:7">
      <c r="B945" s="125"/>
      <c r="G945" s="126"/>
    </row>
    <row r="946" spans="2:7">
      <c r="B946" s="125"/>
      <c r="C946" s="45" t="s">
        <v>465</v>
      </c>
      <c r="G946" s="126"/>
    </row>
    <row r="947" spans="2:7">
      <c r="B947" s="125"/>
      <c r="C947" s="45" t="s">
        <v>472</v>
      </c>
      <c r="G947" s="126"/>
    </row>
    <row r="948" spans="2:7">
      <c r="B948" s="125"/>
      <c r="C948" s="45" t="s">
        <v>473</v>
      </c>
      <c r="G948" s="126"/>
    </row>
    <row r="949" spans="2:7">
      <c r="B949" s="125"/>
      <c r="C949" s="45" t="s">
        <v>474</v>
      </c>
      <c r="G949" s="126"/>
    </row>
    <row r="950" spans="2:7">
      <c r="B950" s="125"/>
      <c r="C950" s="45" t="s">
        <v>456</v>
      </c>
      <c r="G950" s="126"/>
    </row>
    <row r="951" spans="2:7">
      <c r="B951" s="125"/>
      <c r="C951" s="45" t="s">
        <v>475</v>
      </c>
      <c r="G951" s="126"/>
    </row>
    <row r="952" spans="2:7">
      <c r="B952" s="125"/>
      <c r="C952" s="45" t="s">
        <v>476</v>
      </c>
      <c r="G952" s="126"/>
    </row>
    <row r="953" spans="2:7">
      <c r="B953" s="125"/>
      <c r="C953" s="45" t="s">
        <v>477</v>
      </c>
      <c r="G953" s="126"/>
    </row>
    <row r="954" spans="2:7">
      <c r="B954" s="125"/>
      <c r="G954" s="126"/>
    </row>
    <row r="955" spans="2:7">
      <c r="B955" s="125"/>
      <c r="C955" s="124" t="s">
        <v>21</v>
      </c>
      <c r="G955" s="126"/>
    </row>
    <row r="956" spans="2:7">
      <c r="B956" s="142">
        <v>1</v>
      </c>
      <c r="C956" s="45" t="s">
        <v>20</v>
      </c>
      <c r="G956" s="126"/>
    </row>
    <row r="957" spans="2:7">
      <c r="B957" s="142">
        <v>1</v>
      </c>
      <c r="C957" s="45" t="s">
        <v>75</v>
      </c>
      <c r="G957" s="126"/>
    </row>
    <row r="958" spans="2:7">
      <c r="B958" s="142">
        <v>1</v>
      </c>
      <c r="C958" s="45" t="s">
        <v>33</v>
      </c>
      <c r="G958" s="126"/>
    </row>
    <row r="959" spans="2:7">
      <c r="B959" s="142">
        <v>3</v>
      </c>
      <c r="C959" s="45" t="s">
        <v>16</v>
      </c>
      <c r="G959" s="126"/>
    </row>
    <row r="960" spans="2:7">
      <c r="B960" s="142"/>
      <c r="G960" s="126"/>
    </row>
    <row r="961" spans="2:7">
      <c r="B961" s="142"/>
      <c r="C961" s="44" t="s">
        <v>337</v>
      </c>
      <c r="G961" s="126"/>
    </row>
    <row r="962" spans="2:7">
      <c r="B962" s="142">
        <v>3</v>
      </c>
      <c r="C962" s="45" t="s">
        <v>18</v>
      </c>
      <c r="G962" s="126"/>
    </row>
    <row r="963" spans="2:7">
      <c r="B963" s="142"/>
      <c r="G963" s="126"/>
    </row>
    <row r="964" spans="2:7">
      <c r="B964" s="125"/>
      <c r="C964" s="44" t="s">
        <v>401</v>
      </c>
      <c r="G964" s="126"/>
    </row>
    <row r="965" spans="2:7">
      <c r="B965" s="125"/>
      <c r="C965" s="45" t="s">
        <v>339</v>
      </c>
      <c r="G965" s="126"/>
    </row>
    <row r="966" spans="2:7">
      <c r="B966" s="125"/>
      <c r="G966" s="126"/>
    </row>
    <row r="967" spans="2:7" ht="13.5" thickBot="1">
      <c r="B967" s="140"/>
      <c r="C967" s="131"/>
      <c r="D967" s="131"/>
      <c r="E967" s="141"/>
      <c r="F967" s="131"/>
      <c r="G967" s="135"/>
    </row>
    <row r="969" spans="2:7" ht="13.5" thickBot="1"/>
    <row r="970" spans="2:7" ht="13.5" thickBot="1">
      <c r="B970" s="239" t="s">
        <v>478</v>
      </c>
      <c r="C970" s="240"/>
      <c r="D970" s="240"/>
      <c r="E970" s="240"/>
      <c r="F970" s="240"/>
      <c r="G970" s="241"/>
    </row>
    <row r="971" spans="2:7" ht="13.5" thickBot="1">
      <c r="B971" s="125"/>
      <c r="G971" s="126"/>
    </row>
    <row r="972" spans="2:7">
      <c r="B972" s="125"/>
      <c r="C972" s="127" t="s">
        <v>27</v>
      </c>
      <c r="D972" s="128"/>
      <c r="E972" s="128" t="s">
        <v>1</v>
      </c>
      <c r="F972" s="129">
        <v>64</v>
      </c>
      <c r="G972" s="126"/>
    </row>
    <row r="973" spans="2:7" ht="13.5" thickBot="1">
      <c r="B973" s="125"/>
      <c r="C973" s="130"/>
      <c r="D973" s="131"/>
      <c r="E973" s="131" t="s">
        <v>39</v>
      </c>
      <c r="F973" s="132">
        <v>20</v>
      </c>
      <c r="G973" s="126"/>
    </row>
    <row r="974" spans="2:7" ht="13.5" thickBot="1">
      <c r="B974" s="125"/>
      <c r="G974" s="126"/>
    </row>
    <row r="975" spans="2:7">
      <c r="B975" s="125"/>
      <c r="C975" s="127" t="s">
        <v>4</v>
      </c>
      <c r="D975" s="128"/>
      <c r="E975" s="128" t="s">
        <v>28</v>
      </c>
      <c r="F975" s="133" t="s">
        <v>427</v>
      </c>
      <c r="G975" s="126"/>
    </row>
    <row r="976" spans="2:7">
      <c r="B976" s="125"/>
      <c r="C976" s="59" t="s">
        <v>2</v>
      </c>
      <c r="E976" s="45" t="s">
        <v>326</v>
      </c>
      <c r="F976" s="126"/>
      <c r="G976" s="126"/>
    </row>
    <row r="977" spans="2:7" ht="13.5" thickBot="1">
      <c r="B977" s="125"/>
      <c r="C977" s="130" t="s">
        <v>3</v>
      </c>
      <c r="D977" s="131"/>
      <c r="E977" s="134" t="s">
        <v>344</v>
      </c>
      <c r="F977" s="135"/>
      <c r="G977" s="126"/>
    </row>
    <row r="978" spans="2:7">
      <c r="B978" s="125"/>
      <c r="G978" s="126"/>
    </row>
    <row r="979" spans="2:7" ht="13.5" thickBot="1">
      <c r="B979" s="125"/>
      <c r="G979" s="126"/>
    </row>
    <row r="980" spans="2:7" ht="13.5" thickBot="1">
      <c r="B980" s="125"/>
      <c r="C980" s="136" t="s">
        <v>29</v>
      </c>
      <c r="D980" s="137"/>
      <c r="E980" s="138" t="s">
        <v>274</v>
      </c>
      <c r="F980" s="139"/>
      <c r="G980" s="126"/>
    </row>
    <row r="981" spans="2:7">
      <c r="B981" s="125"/>
      <c r="G981" s="126"/>
    </row>
    <row r="982" spans="2:7">
      <c r="B982" s="125"/>
      <c r="C982" s="45" t="s">
        <v>5</v>
      </c>
      <c r="G982" s="126"/>
    </row>
    <row r="983" spans="2:7">
      <c r="B983" s="125"/>
      <c r="G983" s="126"/>
    </row>
    <row r="984" spans="2:7">
      <c r="B984" s="59">
        <v>1</v>
      </c>
      <c r="C984" s="45" t="s">
        <v>6</v>
      </c>
      <c r="G984" s="126"/>
    </row>
    <row r="985" spans="2:7">
      <c r="B985" s="59">
        <v>2</v>
      </c>
      <c r="C985" s="45" t="s">
        <v>7</v>
      </c>
      <c r="G985" s="126"/>
    </row>
    <row r="986" spans="2:7">
      <c r="B986" s="59">
        <v>3</v>
      </c>
      <c r="C986" s="45" t="s">
        <v>35</v>
      </c>
      <c r="G986" s="126"/>
    </row>
    <row r="987" spans="2:7">
      <c r="B987" s="59">
        <v>4</v>
      </c>
      <c r="C987" s="45" t="s">
        <v>11</v>
      </c>
      <c r="G987" s="126"/>
    </row>
    <row r="988" spans="2:7">
      <c r="B988" s="59">
        <v>5</v>
      </c>
      <c r="C988" s="45" t="s">
        <v>9</v>
      </c>
      <c r="G988" s="126"/>
    </row>
    <row r="989" spans="2:7">
      <c r="B989" s="59">
        <v>6</v>
      </c>
      <c r="C989" s="45" t="s">
        <v>12</v>
      </c>
      <c r="G989" s="126"/>
    </row>
    <row r="990" spans="2:7">
      <c r="B990" s="59">
        <v>7</v>
      </c>
      <c r="C990" s="45" t="s">
        <v>13</v>
      </c>
      <c r="G990" s="126"/>
    </row>
    <row r="991" spans="2:7">
      <c r="B991" s="59">
        <v>8</v>
      </c>
      <c r="C991" s="45" t="s">
        <v>33</v>
      </c>
      <c r="G991" s="126"/>
    </row>
    <row r="992" spans="2:7">
      <c r="B992" s="59">
        <v>9</v>
      </c>
      <c r="C992" s="45" t="s">
        <v>14</v>
      </c>
      <c r="G992" s="126"/>
    </row>
    <row r="993" spans="2:7">
      <c r="B993" s="59">
        <v>10</v>
      </c>
      <c r="C993" s="45" t="s">
        <v>15</v>
      </c>
      <c r="G993" s="126"/>
    </row>
    <row r="994" spans="2:7">
      <c r="B994" s="59">
        <v>11</v>
      </c>
      <c r="C994" s="45" t="s">
        <v>16</v>
      </c>
      <c r="G994" s="126"/>
    </row>
    <row r="995" spans="2:7">
      <c r="B995" s="59">
        <v>12</v>
      </c>
      <c r="C995" s="45" t="s">
        <v>18</v>
      </c>
      <c r="G995" s="126"/>
    </row>
    <row r="996" spans="2:7">
      <c r="B996" s="59">
        <v>13</v>
      </c>
      <c r="C996" s="45" t="s">
        <v>19</v>
      </c>
      <c r="G996" s="126"/>
    </row>
    <row r="997" spans="2:7">
      <c r="B997" s="59">
        <v>14</v>
      </c>
      <c r="C997" s="45" t="s">
        <v>42</v>
      </c>
      <c r="G997" s="126"/>
    </row>
    <row r="998" spans="2:7">
      <c r="B998" s="59">
        <v>15</v>
      </c>
      <c r="C998" s="45" t="s">
        <v>20</v>
      </c>
      <c r="G998" s="126"/>
    </row>
    <row r="999" spans="2:7">
      <c r="B999" s="125"/>
      <c r="G999" s="126"/>
    </row>
    <row r="1000" spans="2:7">
      <c r="B1000" s="125"/>
      <c r="C1000" s="45" t="s">
        <v>465</v>
      </c>
      <c r="G1000" s="126"/>
    </row>
    <row r="1001" spans="2:7">
      <c r="B1001" s="125"/>
      <c r="C1001" s="45" t="s">
        <v>422</v>
      </c>
      <c r="G1001" s="126"/>
    </row>
    <row r="1002" spans="2:7">
      <c r="B1002" s="125"/>
      <c r="C1002" s="45" t="s">
        <v>466</v>
      </c>
      <c r="G1002" s="126"/>
    </row>
    <row r="1003" spans="2:7">
      <c r="B1003" s="125"/>
      <c r="C1003" s="45" t="s">
        <v>479</v>
      </c>
      <c r="G1003" s="126"/>
    </row>
    <row r="1004" spans="2:7">
      <c r="B1004" s="125"/>
      <c r="G1004" s="126"/>
    </row>
    <row r="1005" spans="2:7">
      <c r="B1005" s="125"/>
      <c r="C1005" s="124" t="s">
        <v>21</v>
      </c>
      <c r="G1005" s="126"/>
    </row>
    <row r="1006" spans="2:7">
      <c r="B1006" s="142">
        <v>2</v>
      </c>
      <c r="C1006" s="45" t="s">
        <v>20</v>
      </c>
      <c r="G1006" s="126"/>
    </row>
    <row r="1007" spans="2:7">
      <c r="B1007" s="142">
        <v>1</v>
      </c>
      <c r="C1007" s="45" t="s">
        <v>42</v>
      </c>
      <c r="G1007" s="126"/>
    </row>
    <row r="1008" spans="2:7">
      <c r="B1008" s="142">
        <v>5</v>
      </c>
      <c r="C1008" s="45" t="s">
        <v>18</v>
      </c>
      <c r="G1008" s="126"/>
    </row>
    <row r="1009" spans="2:8">
      <c r="B1009" s="142">
        <v>1</v>
      </c>
      <c r="C1009" s="45" t="s">
        <v>16</v>
      </c>
      <c r="G1009" s="126"/>
    </row>
    <row r="1010" spans="2:8">
      <c r="B1010" s="142">
        <v>1</v>
      </c>
      <c r="C1010" s="45" t="s">
        <v>13</v>
      </c>
      <c r="G1010" s="126"/>
    </row>
    <row r="1011" spans="2:8">
      <c r="B1011" s="142"/>
      <c r="G1011" s="126"/>
    </row>
    <row r="1012" spans="2:8">
      <c r="B1012" s="142"/>
      <c r="C1012" s="44" t="s">
        <v>337</v>
      </c>
      <c r="G1012" s="126"/>
      <c r="H1012" s="45">
        <v>10</v>
      </c>
    </row>
    <row r="1013" spans="2:8">
      <c r="B1013" s="142">
        <v>7</v>
      </c>
      <c r="C1013" s="45" t="s">
        <v>18</v>
      </c>
      <c r="G1013" s="126"/>
    </row>
    <row r="1014" spans="2:8">
      <c r="B1014" s="142"/>
      <c r="G1014" s="126"/>
    </row>
    <row r="1015" spans="2:8">
      <c r="B1015" s="125"/>
      <c r="C1015" s="44" t="s">
        <v>401</v>
      </c>
      <c r="G1015" s="126"/>
    </row>
    <row r="1016" spans="2:8">
      <c r="B1016" s="125"/>
      <c r="C1016" s="45" t="s">
        <v>339</v>
      </c>
      <c r="G1016" s="126"/>
    </row>
    <row r="1017" spans="2:8" ht="13.5" thickBot="1">
      <c r="B1017" s="140"/>
      <c r="C1017" s="131"/>
      <c r="D1017" s="131"/>
      <c r="E1017" s="141"/>
      <c r="F1017" s="131"/>
      <c r="G1017" s="135"/>
    </row>
    <row r="1019" spans="2:8" ht="13.5" thickBot="1"/>
    <row r="1020" spans="2:8" ht="13.5" thickBot="1">
      <c r="B1020" s="239" t="s">
        <v>480</v>
      </c>
      <c r="C1020" s="240"/>
      <c r="D1020" s="240"/>
      <c r="E1020" s="240"/>
      <c r="F1020" s="240"/>
      <c r="G1020" s="241"/>
    </row>
    <row r="1021" spans="2:8" ht="13.5" thickBot="1">
      <c r="B1021" s="145"/>
      <c r="C1021" s="128"/>
      <c r="D1021" s="128"/>
      <c r="E1021" s="146"/>
      <c r="F1021" s="128"/>
      <c r="G1021" s="133"/>
    </row>
    <row r="1022" spans="2:8">
      <c r="B1022" s="125"/>
      <c r="C1022" s="127" t="s">
        <v>27</v>
      </c>
      <c r="D1022" s="128"/>
      <c r="E1022" s="128" t="s">
        <v>74</v>
      </c>
      <c r="F1022" s="129">
        <v>33</v>
      </c>
      <c r="G1022" s="126"/>
    </row>
    <row r="1023" spans="2:8" ht="13.5" thickBot="1">
      <c r="B1023" s="125"/>
      <c r="C1023" s="130"/>
      <c r="D1023" s="131"/>
      <c r="E1023" s="131" t="s">
        <v>1</v>
      </c>
      <c r="F1023" s="132">
        <v>12</v>
      </c>
      <c r="G1023" s="126"/>
    </row>
    <row r="1024" spans="2:8" ht="13.5" thickBot="1">
      <c r="B1024" s="125"/>
      <c r="G1024" s="126"/>
    </row>
    <row r="1025" spans="2:7">
      <c r="B1025" s="125"/>
      <c r="C1025" s="127" t="s">
        <v>4</v>
      </c>
      <c r="D1025" s="128"/>
      <c r="E1025" s="128" t="s">
        <v>74</v>
      </c>
      <c r="F1025" s="133"/>
      <c r="G1025" s="126"/>
    </row>
    <row r="1026" spans="2:7">
      <c r="B1026" s="125"/>
      <c r="C1026" s="59" t="s">
        <v>2</v>
      </c>
      <c r="E1026" s="45" t="s">
        <v>481</v>
      </c>
      <c r="F1026" s="126"/>
      <c r="G1026" s="126"/>
    </row>
    <row r="1027" spans="2:7" ht="13.5" thickBot="1">
      <c r="B1027" s="125"/>
      <c r="C1027" s="130" t="s">
        <v>3</v>
      </c>
      <c r="D1027" s="131"/>
      <c r="E1027" s="134" t="s">
        <v>354</v>
      </c>
      <c r="F1027" s="135"/>
      <c r="G1027" s="126"/>
    </row>
    <row r="1028" spans="2:7">
      <c r="B1028" s="125"/>
      <c r="G1028" s="126"/>
    </row>
    <row r="1029" spans="2:7" ht="13.5" thickBot="1">
      <c r="B1029" s="125"/>
      <c r="G1029" s="126"/>
    </row>
    <row r="1030" spans="2:7" ht="13.5" thickBot="1">
      <c r="B1030" s="125"/>
      <c r="C1030" s="136" t="s">
        <v>29</v>
      </c>
      <c r="D1030" s="137"/>
      <c r="E1030" s="138" t="s">
        <v>287</v>
      </c>
      <c r="F1030" s="139"/>
      <c r="G1030" s="126"/>
    </row>
    <row r="1031" spans="2:7">
      <c r="B1031" s="125"/>
      <c r="G1031" s="126"/>
    </row>
    <row r="1032" spans="2:7">
      <c r="B1032" s="125"/>
      <c r="C1032" s="45" t="s">
        <v>5</v>
      </c>
      <c r="G1032" s="126"/>
    </row>
    <row r="1033" spans="2:7">
      <c r="B1033" s="125"/>
      <c r="G1033" s="126"/>
    </row>
    <row r="1034" spans="2:7">
      <c r="B1034" s="59">
        <v>1</v>
      </c>
      <c r="C1034" s="45" t="s">
        <v>6</v>
      </c>
      <c r="G1034" s="126"/>
    </row>
    <row r="1035" spans="2:7">
      <c r="B1035" s="59">
        <v>2</v>
      </c>
      <c r="C1035" s="45" t="s">
        <v>7</v>
      </c>
      <c r="G1035" s="126"/>
    </row>
    <row r="1036" spans="2:7">
      <c r="B1036" s="59">
        <v>3</v>
      </c>
      <c r="C1036" s="45" t="s">
        <v>35</v>
      </c>
      <c r="G1036" s="126"/>
    </row>
    <row r="1037" spans="2:7">
      <c r="B1037" s="59">
        <v>4</v>
      </c>
      <c r="C1037" s="45" t="s">
        <v>10</v>
      </c>
      <c r="G1037" s="126"/>
    </row>
    <row r="1038" spans="2:7">
      <c r="B1038" s="59">
        <v>5</v>
      </c>
      <c r="C1038" s="45" t="s">
        <v>9</v>
      </c>
      <c r="G1038" s="126"/>
    </row>
    <row r="1039" spans="2:7">
      <c r="B1039" s="59">
        <v>6</v>
      </c>
      <c r="C1039" s="45" t="s">
        <v>12</v>
      </c>
      <c r="G1039" s="126"/>
    </row>
    <row r="1040" spans="2:7">
      <c r="B1040" s="59">
        <v>7</v>
      </c>
      <c r="C1040" s="45" t="s">
        <v>13</v>
      </c>
      <c r="G1040" s="126"/>
    </row>
    <row r="1041" spans="2:7">
      <c r="B1041" s="59">
        <v>8</v>
      </c>
      <c r="C1041" s="45" t="s">
        <v>33</v>
      </c>
      <c r="G1041" s="126"/>
    </row>
    <row r="1042" spans="2:7">
      <c r="B1042" s="59">
        <v>9</v>
      </c>
      <c r="C1042" s="45" t="s">
        <v>14</v>
      </c>
      <c r="G1042" s="126"/>
    </row>
    <row r="1043" spans="2:7">
      <c r="B1043" s="59">
        <v>10</v>
      </c>
      <c r="C1043" s="45" t="s">
        <v>15</v>
      </c>
      <c r="G1043" s="126"/>
    </row>
    <row r="1044" spans="2:7">
      <c r="B1044" s="59">
        <v>11</v>
      </c>
      <c r="C1044" s="45" t="s">
        <v>16</v>
      </c>
      <c r="G1044" s="126"/>
    </row>
    <row r="1045" spans="2:7">
      <c r="B1045" s="59">
        <v>12</v>
      </c>
      <c r="C1045" s="45" t="s">
        <v>17</v>
      </c>
      <c r="G1045" s="126"/>
    </row>
    <row r="1046" spans="2:7">
      <c r="B1046" s="59">
        <v>13</v>
      </c>
      <c r="C1046" s="45" t="s">
        <v>18</v>
      </c>
      <c r="G1046" s="126"/>
    </row>
    <row r="1047" spans="2:7">
      <c r="B1047" s="59">
        <v>14</v>
      </c>
      <c r="C1047" s="45" t="s">
        <v>19</v>
      </c>
      <c r="G1047" s="126"/>
    </row>
    <row r="1048" spans="2:7">
      <c r="B1048" s="59">
        <v>15</v>
      </c>
      <c r="C1048" s="45" t="s">
        <v>20</v>
      </c>
      <c r="G1048" s="126"/>
    </row>
    <row r="1049" spans="2:7">
      <c r="B1049" s="125"/>
      <c r="G1049" s="126"/>
    </row>
    <row r="1050" spans="2:7">
      <c r="B1050" s="125"/>
      <c r="C1050" s="45" t="s">
        <v>465</v>
      </c>
      <c r="G1050" s="126"/>
    </row>
    <row r="1051" spans="2:7">
      <c r="B1051" s="125"/>
      <c r="C1051" s="45" t="s">
        <v>482</v>
      </c>
      <c r="G1051" s="126"/>
    </row>
    <row r="1052" spans="2:7">
      <c r="B1052" s="125"/>
      <c r="C1052" s="45" t="s">
        <v>483</v>
      </c>
      <c r="G1052" s="126"/>
    </row>
    <row r="1053" spans="2:7">
      <c r="B1053" s="125"/>
      <c r="G1053" s="126"/>
    </row>
    <row r="1054" spans="2:7">
      <c r="B1054" s="125"/>
      <c r="C1054" s="124" t="s">
        <v>21</v>
      </c>
      <c r="G1054" s="126"/>
    </row>
    <row r="1055" spans="2:7">
      <c r="B1055" s="142">
        <v>1</v>
      </c>
      <c r="C1055" s="45" t="s">
        <v>16</v>
      </c>
      <c r="G1055" s="126"/>
    </row>
    <row r="1056" spans="2:7">
      <c r="B1056" s="142">
        <v>1</v>
      </c>
      <c r="C1056" s="45" t="s">
        <v>13</v>
      </c>
      <c r="G1056" s="126"/>
    </row>
    <row r="1057" spans="2:7">
      <c r="B1057" s="142"/>
      <c r="G1057" s="126"/>
    </row>
    <row r="1058" spans="2:7">
      <c r="B1058" s="142"/>
      <c r="C1058" s="44" t="s">
        <v>337</v>
      </c>
      <c r="G1058" s="126"/>
    </row>
    <row r="1059" spans="2:7">
      <c r="B1059" s="142">
        <v>1</v>
      </c>
      <c r="C1059" s="45" t="s">
        <v>17</v>
      </c>
      <c r="G1059" s="126"/>
    </row>
    <row r="1060" spans="2:7">
      <c r="B1060" s="142"/>
      <c r="G1060" s="126"/>
    </row>
    <row r="1061" spans="2:7">
      <c r="B1061" s="125"/>
      <c r="C1061" s="44" t="s">
        <v>401</v>
      </c>
      <c r="G1061" s="126"/>
    </row>
    <row r="1062" spans="2:7">
      <c r="B1062" s="125"/>
      <c r="C1062" s="45" t="s">
        <v>33</v>
      </c>
      <c r="G1062" s="126"/>
    </row>
    <row r="1063" spans="2:7" ht="13.5" thickBot="1">
      <c r="B1063" s="140"/>
      <c r="C1063" s="131"/>
      <c r="D1063" s="131"/>
      <c r="E1063" s="141"/>
      <c r="F1063" s="131"/>
      <c r="G1063" s="135"/>
    </row>
  </sheetData>
  <mergeCells count="21">
    <mergeCell ref="B577:G577"/>
    <mergeCell ref="B2:G2"/>
    <mergeCell ref="B48:G48"/>
    <mergeCell ref="B91:G91"/>
    <mergeCell ref="B146:G146"/>
    <mergeCell ref="B197:G197"/>
    <mergeCell ref="B252:G252"/>
    <mergeCell ref="B305:G305"/>
    <mergeCell ref="B366:G366"/>
    <mergeCell ref="B423:G423"/>
    <mergeCell ref="B478:G478"/>
    <mergeCell ref="B533:G533"/>
    <mergeCell ref="B916:G916"/>
    <mergeCell ref="B970:G970"/>
    <mergeCell ref="B1020:G1020"/>
    <mergeCell ref="B627:G627"/>
    <mergeCell ref="B674:G674"/>
    <mergeCell ref="B725:G725"/>
    <mergeCell ref="B767:G767"/>
    <mergeCell ref="B815:G815"/>
    <mergeCell ref="B865:G865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318"/>
  <sheetViews>
    <sheetView topLeftCell="A1319" workbookViewId="0">
      <selection activeCell="B1109" sqref="B1109:G1160"/>
    </sheetView>
  </sheetViews>
  <sheetFormatPr baseColWidth="10" defaultColWidth="11.42578125" defaultRowHeight="12.75"/>
  <cols>
    <col min="1" max="2" width="5.5703125" style="124" customWidth="1"/>
    <col min="3" max="3" width="24.28515625" style="45" customWidth="1"/>
    <col min="4" max="4" width="10.28515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9" t="s">
        <v>484</v>
      </c>
      <c r="C2" s="240"/>
      <c r="D2" s="240"/>
      <c r="E2" s="240"/>
      <c r="F2" s="240"/>
      <c r="G2" s="241"/>
    </row>
    <row r="3" spans="2:7" ht="13.5" thickBot="1">
      <c r="B3" s="125"/>
      <c r="G3" s="126"/>
    </row>
    <row r="4" spans="2:7">
      <c r="B4" s="125"/>
      <c r="C4" s="127" t="s">
        <v>27</v>
      </c>
      <c r="D4" s="128"/>
      <c r="E4" s="128" t="s">
        <v>77</v>
      </c>
      <c r="F4" s="129">
        <v>22</v>
      </c>
      <c r="G4" s="126"/>
    </row>
    <row r="5" spans="2:7" ht="13.5" thickBot="1">
      <c r="B5" s="125"/>
      <c r="C5" s="130"/>
      <c r="D5" s="131"/>
      <c r="E5" s="131" t="s">
        <v>1</v>
      </c>
      <c r="F5" s="132">
        <v>69</v>
      </c>
      <c r="G5" s="126"/>
    </row>
    <row r="6" spans="2:7" ht="13.5" thickBot="1">
      <c r="B6" s="125"/>
      <c r="G6" s="126"/>
    </row>
    <row r="7" spans="2:7">
      <c r="B7" s="125"/>
      <c r="C7" s="127" t="s">
        <v>4</v>
      </c>
      <c r="D7" s="128"/>
      <c r="E7" s="128" t="s">
        <v>77</v>
      </c>
      <c r="F7" s="133"/>
      <c r="G7" s="126"/>
    </row>
    <row r="8" spans="2:7">
      <c r="B8" s="125"/>
      <c r="C8" s="59" t="s">
        <v>2</v>
      </c>
      <c r="E8" s="45" t="s">
        <v>326</v>
      </c>
      <c r="F8" s="126"/>
      <c r="G8" s="126"/>
    </row>
    <row r="9" spans="2:7" ht="13.5" thickBot="1">
      <c r="B9" s="125"/>
      <c r="C9" s="130" t="s">
        <v>3</v>
      </c>
      <c r="D9" s="131"/>
      <c r="E9" s="134" t="s">
        <v>326</v>
      </c>
      <c r="F9" s="135"/>
      <c r="G9" s="126"/>
    </row>
    <row r="10" spans="2:7" ht="13.5" thickBot="1">
      <c r="B10" s="125"/>
      <c r="G10" s="126"/>
    </row>
    <row r="11" spans="2:7" ht="13.5" thickBot="1">
      <c r="B11" s="125"/>
      <c r="C11" s="136" t="s">
        <v>29</v>
      </c>
      <c r="D11" s="137"/>
      <c r="E11" s="138" t="s">
        <v>278</v>
      </c>
      <c r="F11" s="139"/>
      <c r="G11" s="126"/>
    </row>
    <row r="12" spans="2:7">
      <c r="B12" s="125"/>
      <c r="G12" s="126"/>
    </row>
    <row r="13" spans="2:7">
      <c r="B13" s="125"/>
      <c r="C13" s="45" t="s">
        <v>5</v>
      </c>
      <c r="G13" s="126"/>
    </row>
    <row r="14" spans="2:7">
      <c r="B14" s="125"/>
      <c r="G14" s="126"/>
    </row>
    <row r="15" spans="2:7">
      <c r="B15" s="59">
        <v>1</v>
      </c>
      <c r="C15" s="45" t="s">
        <v>6</v>
      </c>
      <c r="G15" s="126"/>
    </row>
    <row r="16" spans="2:7">
      <c r="B16" s="59">
        <v>2</v>
      </c>
      <c r="C16" s="45" t="s">
        <v>7</v>
      </c>
      <c r="G16" s="126"/>
    </row>
    <row r="17" spans="2:7">
      <c r="B17" s="59">
        <v>3</v>
      </c>
      <c r="C17" s="45" t="s">
        <v>8</v>
      </c>
      <c r="G17" s="126"/>
    </row>
    <row r="18" spans="2:7">
      <c r="B18" s="59">
        <v>4</v>
      </c>
      <c r="C18" s="45" t="s">
        <v>9</v>
      </c>
      <c r="G18" s="126"/>
    </row>
    <row r="19" spans="2:7">
      <c r="B19" s="59">
        <v>5</v>
      </c>
      <c r="C19" s="45" t="s">
        <v>11</v>
      </c>
      <c r="G19" s="126"/>
    </row>
    <row r="20" spans="2:7">
      <c r="B20" s="59">
        <v>6</v>
      </c>
      <c r="C20" s="45" t="s">
        <v>13</v>
      </c>
      <c r="G20" s="126"/>
    </row>
    <row r="21" spans="2:7">
      <c r="B21" s="59">
        <v>7</v>
      </c>
      <c r="C21" s="45" t="s">
        <v>12</v>
      </c>
      <c r="G21" s="126"/>
    </row>
    <row r="22" spans="2:7">
      <c r="B22" s="59">
        <v>8</v>
      </c>
      <c r="C22" s="45" t="s">
        <v>33</v>
      </c>
      <c r="G22" s="126"/>
    </row>
    <row r="23" spans="2:7">
      <c r="B23" s="59">
        <v>9</v>
      </c>
      <c r="C23" s="45" t="s">
        <v>139</v>
      </c>
      <c r="G23" s="126"/>
    </row>
    <row r="24" spans="2:7">
      <c r="B24" s="59">
        <v>10</v>
      </c>
      <c r="C24" s="45" t="s">
        <v>140</v>
      </c>
      <c r="G24" s="126"/>
    </row>
    <row r="25" spans="2:7">
      <c r="B25" s="59">
        <v>11</v>
      </c>
      <c r="C25" s="45" t="s">
        <v>16</v>
      </c>
      <c r="G25" s="126"/>
    </row>
    <row r="26" spans="2:7">
      <c r="B26" s="59">
        <v>12</v>
      </c>
      <c r="C26" s="45" t="s">
        <v>19</v>
      </c>
      <c r="G26" s="126"/>
    </row>
    <row r="27" spans="2:7">
      <c r="B27" s="59">
        <v>13</v>
      </c>
      <c r="C27" s="45" t="s">
        <v>34</v>
      </c>
      <c r="G27" s="126"/>
    </row>
    <row r="28" spans="2:7">
      <c r="B28" s="59">
        <v>14</v>
      </c>
      <c r="C28" s="45" t="s">
        <v>46</v>
      </c>
      <c r="G28" s="126"/>
    </row>
    <row r="29" spans="2:7">
      <c r="B29" s="59">
        <v>15</v>
      </c>
      <c r="C29" s="45" t="s">
        <v>141</v>
      </c>
      <c r="G29" s="126"/>
    </row>
    <row r="30" spans="2:7">
      <c r="B30" s="125"/>
      <c r="G30" s="126"/>
    </row>
    <row r="31" spans="2:7">
      <c r="B31" s="125"/>
      <c r="C31" s="45" t="s">
        <v>485</v>
      </c>
      <c r="G31" s="126"/>
    </row>
    <row r="32" spans="2:7">
      <c r="B32" s="125"/>
      <c r="C32" s="45" t="s">
        <v>486</v>
      </c>
      <c r="G32" s="126"/>
    </row>
    <row r="33" spans="2:7">
      <c r="B33" s="125"/>
      <c r="C33" s="45" t="s">
        <v>487</v>
      </c>
      <c r="G33" s="126"/>
    </row>
    <row r="34" spans="2:7">
      <c r="B34" s="125"/>
      <c r="C34" s="45" t="s">
        <v>488</v>
      </c>
      <c r="G34" s="126"/>
    </row>
    <row r="35" spans="2:7">
      <c r="B35" s="125"/>
      <c r="C35" s="45" t="s">
        <v>489</v>
      </c>
      <c r="G35" s="126"/>
    </row>
    <row r="36" spans="2:7">
      <c r="B36" s="125"/>
      <c r="C36" s="45" t="s">
        <v>490</v>
      </c>
      <c r="G36" s="126"/>
    </row>
    <row r="37" spans="2:7">
      <c r="B37" s="125"/>
      <c r="C37" s="45" t="s">
        <v>491</v>
      </c>
      <c r="G37" s="126"/>
    </row>
    <row r="38" spans="2:7">
      <c r="B38" s="125"/>
      <c r="C38" s="45" t="s">
        <v>492</v>
      </c>
      <c r="G38" s="126"/>
    </row>
    <row r="39" spans="2:7">
      <c r="B39" s="125"/>
      <c r="G39" s="126"/>
    </row>
    <row r="40" spans="2:7">
      <c r="B40" s="125"/>
      <c r="C40" s="124" t="s">
        <v>21</v>
      </c>
      <c r="G40" s="126"/>
    </row>
    <row r="41" spans="2:7">
      <c r="B41" s="125" t="s">
        <v>336</v>
      </c>
      <c r="C41" s="45" t="s">
        <v>139</v>
      </c>
      <c r="G41" s="126"/>
    </row>
    <row r="42" spans="2:7">
      <c r="B42" s="125" t="s">
        <v>352</v>
      </c>
      <c r="C42" s="45" t="s">
        <v>19</v>
      </c>
      <c r="G42" s="126"/>
    </row>
    <row r="43" spans="2:7">
      <c r="B43" s="125" t="s">
        <v>336</v>
      </c>
      <c r="C43" s="45" t="s">
        <v>9</v>
      </c>
      <c r="G43" s="126"/>
    </row>
    <row r="44" spans="2:7">
      <c r="B44" s="125" t="s">
        <v>336</v>
      </c>
      <c r="C44" s="45" t="s">
        <v>140</v>
      </c>
      <c r="G44" s="126"/>
    </row>
    <row r="45" spans="2:7">
      <c r="B45" s="125" t="s">
        <v>352</v>
      </c>
      <c r="C45" s="45" t="s">
        <v>33</v>
      </c>
      <c r="G45" s="126"/>
    </row>
    <row r="46" spans="2:7">
      <c r="B46" s="125" t="s">
        <v>336</v>
      </c>
      <c r="C46" s="45" t="s">
        <v>16</v>
      </c>
      <c r="G46" s="126"/>
    </row>
    <row r="47" spans="2:7">
      <c r="B47" s="125" t="s">
        <v>336</v>
      </c>
      <c r="C47" s="45" t="s">
        <v>141</v>
      </c>
      <c r="G47" s="126"/>
    </row>
    <row r="48" spans="2:7">
      <c r="B48" s="125" t="s">
        <v>352</v>
      </c>
      <c r="C48" s="45" t="s">
        <v>56</v>
      </c>
      <c r="G48" s="126"/>
    </row>
    <row r="49" spans="2:7">
      <c r="B49" s="125"/>
      <c r="G49" s="126"/>
    </row>
    <row r="50" spans="2:7">
      <c r="B50" s="125"/>
      <c r="G50" s="126"/>
    </row>
    <row r="51" spans="2:7">
      <c r="B51" s="125"/>
      <c r="C51" s="44" t="s">
        <v>337</v>
      </c>
      <c r="G51" s="126"/>
    </row>
    <row r="52" spans="2:7">
      <c r="B52" s="125" t="s">
        <v>418</v>
      </c>
      <c r="C52" s="45" t="s">
        <v>139</v>
      </c>
      <c r="G52" s="126"/>
    </row>
    <row r="53" spans="2:7">
      <c r="B53" s="125"/>
      <c r="G53" s="126"/>
    </row>
    <row r="54" spans="2:7">
      <c r="B54" s="125"/>
      <c r="G54" s="126"/>
    </row>
    <row r="55" spans="2:7">
      <c r="B55" s="125"/>
      <c r="C55" s="44" t="s">
        <v>23</v>
      </c>
      <c r="G55" s="126"/>
    </row>
    <row r="56" spans="2:7" ht="13.5" thickBot="1">
      <c r="B56" s="140"/>
      <c r="C56" s="131" t="s">
        <v>339</v>
      </c>
      <c r="D56" s="131"/>
      <c r="E56" s="141"/>
      <c r="F56" s="131"/>
      <c r="G56" s="135"/>
    </row>
    <row r="58" spans="2:7" ht="13.5" thickBot="1"/>
    <row r="59" spans="2:7" ht="13.5" thickBot="1">
      <c r="B59" s="239" t="s">
        <v>493</v>
      </c>
      <c r="C59" s="240"/>
      <c r="D59" s="240"/>
      <c r="E59" s="240"/>
      <c r="F59" s="240"/>
      <c r="G59" s="241"/>
    </row>
    <row r="60" spans="2:7" ht="13.5" thickBot="1">
      <c r="B60" s="125"/>
      <c r="G60" s="126"/>
    </row>
    <row r="61" spans="2:7">
      <c r="B61" s="125"/>
      <c r="C61" s="127" t="s">
        <v>27</v>
      </c>
      <c r="D61" s="128"/>
      <c r="E61" s="128" t="s">
        <v>1</v>
      </c>
      <c r="F61" s="129">
        <v>24</v>
      </c>
      <c r="G61" s="126"/>
    </row>
    <row r="62" spans="2:7" ht="13.5" thickBot="1">
      <c r="B62" s="125"/>
      <c r="C62" s="130"/>
      <c r="D62" s="131"/>
      <c r="E62" s="131" t="s">
        <v>60</v>
      </c>
      <c r="F62" s="132">
        <v>15</v>
      </c>
      <c r="G62" s="126"/>
    </row>
    <row r="63" spans="2:7" ht="13.5" thickBot="1">
      <c r="B63" s="125"/>
      <c r="G63" s="126"/>
    </row>
    <row r="64" spans="2:7">
      <c r="B64" s="125"/>
      <c r="C64" s="127" t="s">
        <v>4</v>
      </c>
      <c r="D64" s="128"/>
      <c r="E64" s="128" t="s">
        <v>494</v>
      </c>
      <c r="F64" s="129"/>
      <c r="G64" s="126"/>
    </row>
    <row r="65" spans="2:7">
      <c r="B65" s="125"/>
      <c r="C65" s="59" t="s">
        <v>2</v>
      </c>
      <c r="E65" s="45" t="s">
        <v>326</v>
      </c>
      <c r="F65" s="126"/>
      <c r="G65" s="126"/>
    </row>
    <row r="66" spans="2:7" ht="13.5" thickBot="1">
      <c r="B66" s="125"/>
      <c r="C66" s="130" t="s">
        <v>3</v>
      </c>
      <c r="D66" s="131"/>
      <c r="E66" s="134" t="s">
        <v>344</v>
      </c>
      <c r="F66" s="135"/>
      <c r="G66" s="126"/>
    </row>
    <row r="67" spans="2:7">
      <c r="B67" s="125"/>
      <c r="G67" s="126"/>
    </row>
    <row r="68" spans="2:7" ht="13.5" thickBot="1">
      <c r="B68" s="125"/>
      <c r="G68" s="126"/>
    </row>
    <row r="69" spans="2:7" ht="13.5" thickBot="1">
      <c r="B69" s="125"/>
      <c r="C69" s="136" t="s">
        <v>29</v>
      </c>
      <c r="D69" s="137"/>
      <c r="E69" s="138" t="s">
        <v>288</v>
      </c>
      <c r="F69" s="139"/>
      <c r="G69" s="126"/>
    </row>
    <row r="70" spans="2:7">
      <c r="B70" s="125"/>
      <c r="G70" s="126"/>
    </row>
    <row r="71" spans="2:7">
      <c r="B71" s="125"/>
      <c r="C71" s="45" t="s">
        <v>5</v>
      </c>
      <c r="G71" s="126"/>
    </row>
    <row r="72" spans="2:7">
      <c r="B72" s="125"/>
      <c r="G72" s="126"/>
    </row>
    <row r="73" spans="2:7">
      <c r="B73" s="59">
        <v>1</v>
      </c>
      <c r="C73" s="45" t="s">
        <v>6</v>
      </c>
      <c r="G73" s="126"/>
    </row>
    <row r="74" spans="2:7">
      <c r="B74" s="59">
        <v>2</v>
      </c>
      <c r="C74" s="45" t="s">
        <v>7</v>
      </c>
      <c r="G74" s="126"/>
    </row>
    <row r="75" spans="2:7">
      <c r="B75" s="59">
        <v>3</v>
      </c>
      <c r="C75" s="45" t="s">
        <v>8</v>
      </c>
      <c r="G75" s="126"/>
    </row>
    <row r="76" spans="2:7">
      <c r="B76" s="59">
        <v>4</v>
      </c>
      <c r="C76" s="45" t="s">
        <v>9</v>
      </c>
      <c r="G76" s="126"/>
    </row>
    <row r="77" spans="2:7">
      <c r="B77" s="59">
        <v>5</v>
      </c>
      <c r="C77" s="45" t="s">
        <v>11</v>
      </c>
      <c r="G77" s="126"/>
    </row>
    <row r="78" spans="2:7">
      <c r="B78" s="59">
        <v>6</v>
      </c>
      <c r="C78" s="45" t="s">
        <v>12</v>
      </c>
      <c r="G78" s="126"/>
    </row>
    <row r="79" spans="2:7">
      <c r="B79" s="59">
        <v>7</v>
      </c>
      <c r="C79" s="45" t="s">
        <v>13</v>
      </c>
      <c r="G79" s="126"/>
    </row>
    <row r="80" spans="2:7">
      <c r="B80" s="59">
        <v>8</v>
      </c>
      <c r="C80" s="45" t="s">
        <v>33</v>
      </c>
      <c r="G80" s="126"/>
    </row>
    <row r="81" spans="2:7">
      <c r="B81" s="59">
        <v>9</v>
      </c>
      <c r="C81" s="45" t="s">
        <v>139</v>
      </c>
      <c r="G81" s="126"/>
    </row>
    <row r="82" spans="2:7">
      <c r="B82" s="59">
        <v>10</v>
      </c>
      <c r="C82" s="45" t="s">
        <v>140</v>
      </c>
      <c r="G82" s="126"/>
    </row>
    <row r="83" spans="2:7">
      <c r="B83" s="59">
        <v>11</v>
      </c>
      <c r="C83" s="45" t="s">
        <v>16</v>
      </c>
      <c r="G83" s="126"/>
    </row>
    <row r="84" spans="2:7">
      <c r="B84" s="59">
        <v>12</v>
      </c>
      <c r="C84" s="45" t="s">
        <v>19</v>
      </c>
      <c r="G84" s="126"/>
    </row>
    <row r="85" spans="2:7">
      <c r="B85" s="59">
        <v>13</v>
      </c>
      <c r="C85" s="45" t="s">
        <v>142</v>
      </c>
      <c r="G85" s="126"/>
    </row>
    <row r="86" spans="2:7">
      <c r="B86" s="59">
        <v>14</v>
      </c>
      <c r="C86" s="45" t="s">
        <v>34</v>
      </c>
      <c r="G86" s="126"/>
    </row>
    <row r="87" spans="2:7">
      <c r="B87" s="59">
        <v>15</v>
      </c>
      <c r="C87" s="45" t="s">
        <v>141</v>
      </c>
      <c r="G87" s="126"/>
    </row>
    <row r="88" spans="2:7">
      <c r="B88" s="125"/>
      <c r="G88" s="126"/>
    </row>
    <row r="89" spans="2:7">
      <c r="B89" s="125"/>
      <c r="C89" s="45" t="s">
        <v>325</v>
      </c>
      <c r="G89" s="126"/>
    </row>
    <row r="90" spans="2:7">
      <c r="B90" s="125"/>
      <c r="C90" s="45" t="s">
        <v>495</v>
      </c>
      <c r="G90" s="126"/>
    </row>
    <row r="91" spans="2:7">
      <c r="B91" s="125"/>
      <c r="G91" s="126"/>
    </row>
    <row r="92" spans="2:7">
      <c r="B92" s="125"/>
      <c r="C92" s="124" t="s">
        <v>21</v>
      </c>
      <c r="G92" s="126"/>
    </row>
    <row r="93" spans="2:7">
      <c r="B93" s="125" t="s">
        <v>336</v>
      </c>
      <c r="C93" s="45" t="s">
        <v>35</v>
      </c>
      <c r="G93" s="126"/>
    </row>
    <row r="94" spans="2:7">
      <c r="B94" s="125" t="s">
        <v>336</v>
      </c>
      <c r="C94" s="45" t="s">
        <v>496</v>
      </c>
      <c r="G94" s="126"/>
    </row>
    <row r="95" spans="2:7">
      <c r="B95" s="125"/>
      <c r="G95" s="126"/>
    </row>
    <row r="96" spans="2:7">
      <c r="B96" s="125"/>
      <c r="C96" s="44" t="s">
        <v>22</v>
      </c>
      <c r="G96" s="126"/>
    </row>
    <row r="97" spans="2:7">
      <c r="B97" s="125" t="s">
        <v>338</v>
      </c>
      <c r="C97" s="45" t="s">
        <v>139</v>
      </c>
      <c r="G97" s="126"/>
    </row>
    <row r="98" spans="2:7">
      <c r="B98" s="125"/>
      <c r="G98" s="126"/>
    </row>
    <row r="99" spans="2:7">
      <c r="B99" s="125"/>
      <c r="C99" s="44" t="s">
        <v>23</v>
      </c>
      <c r="G99" s="126"/>
    </row>
    <row r="100" spans="2:7" ht="13.5" thickBot="1">
      <c r="B100" s="140"/>
      <c r="C100" s="131" t="s">
        <v>33</v>
      </c>
      <c r="D100" s="131"/>
      <c r="E100" s="141"/>
      <c r="F100" s="131"/>
      <c r="G100" s="135"/>
    </row>
    <row r="102" spans="2:7" ht="13.5" thickBot="1"/>
    <row r="103" spans="2:7" ht="13.5" thickBot="1">
      <c r="B103" s="239" t="s">
        <v>497</v>
      </c>
      <c r="C103" s="240"/>
      <c r="D103" s="240"/>
      <c r="E103" s="240"/>
      <c r="F103" s="240"/>
      <c r="G103" s="241"/>
    </row>
    <row r="104" spans="2:7" ht="13.5" thickBot="1">
      <c r="B104" s="125"/>
      <c r="G104" s="126"/>
    </row>
    <row r="105" spans="2:7">
      <c r="B105" s="125"/>
      <c r="C105" s="127" t="s">
        <v>27</v>
      </c>
      <c r="D105" s="128"/>
      <c r="E105" s="128" t="s">
        <v>39</v>
      </c>
      <c r="F105" s="129">
        <v>12</v>
      </c>
      <c r="G105" s="126"/>
    </row>
    <row r="106" spans="2:7" ht="13.5" thickBot="1">
      <c r="B106" s="125"/>
      <c r="C106" s="130"/>
      <c r="D106" s="131"/>
      <c r="E106" s="131" t="s">
        <v>1</v>
      </c>
      <c r="F106" s="132">
        <v>34</v>
      </c>
      <c r="G106" s="126"/>
    </row>
    <row r="107" spans="2:7" ht="13.5" thickBot="1">
      <c r="B107" s="125"/>
      <c r="G107" s="126"/>
    </row>
    <row r="108" spans="2:7">
      <c r="B108" s="125"/>
      <c r="C108" s="127" t="s">
        <v>4</v>
      </c>
      <c r="D108" s="128"/>
      <c r="E108" s="128" t="s">
        <v>39</v>
      </c>
      <c r="F108" s="133"/>
      <c r="G108" s="126"/>
    </row>
    <row r="109" spans="2:7">
      <c r="B109" s="125"/>
      <c r="C109" s="59" t="s">
        <v>2</v>
      </c>
      <c r="E109" s="45" t="s">
        <v>326</v>
      </c>
      <c r="F109" s="126"/>
      <c r="G109" s="126"/>
    </row>
    <row r="110" spans="2:7" ht="13.5" thickBot="1">
      <c r="B110" s="125"/>
      <c r="C110" s="130" t="s">
        <v>3</v>
      </c>
      <c r="D110" s="131"/>
      <c r="E110" s="134" t="s">
        <v>326</v>
      </c>
      <c r="F110" s="135"/>
      <c r="G110" s="126"/>
    </row>
    <row r="111" spans="2:7">
      <c r="B111" s="125"/>
      <c r="G111" s="126"/>
    </row>
    <row r="112" spans="2:7" ht="13.5" thickBot="1">
      <c r="B112" s="125"/>
      <c r="G112" s="126"/>
    </row>
    <row r="113" spans="2:7" ht="13.5" thickBot="1">
      <c r="B113" s="125"/>
      <c r="C113" s="136" t="s">
        <v>29</v>
      </c>
      <c r="D113" s="137"/>
      <c r="E113" s="138" t="s">
        <v>289</v>
      </c>
      <c r="F113" s="139"/>
      <c r="G113" s="126"/>
    </row>
    <row r="114" spans="2:7">
      <c r="B114" s="125"/>
      <c r="G114" s="126"/>
    </row>
    <row r="115" spans="2:7">
      <c r="B115" s="125"/>
      <c r="C115" s="45" t="s">
        <v>5</v>
      </c>
      <c r="G115" s="126"/>
    </row>
    <row r="116" spans="2:7">
      <c r="B116" s="125"/>
      <c r="G116" s="126"/>
    </row>
    <row r="117" spans="2:7">
      <c r="B117" s="59">
        <v>1</v>
      </c>
      <c r="C117" s="45" t="s">
        <v>6</v>
      </c>
      <c r="G117" s="126"/>
    </row>
    <row r="118" spans="2:7">
      <c r="B118" s="59">
        <v>2</v>
      </c>
      <c r="C118" s="45" t="s">
        <v>53</v>
      </c>
      <c r="G118" s="126"/>
    </row>
    <row r="119" spans="2:7">
      <c r="B119" s="59">
        <v>3</v>
      </c>
      <c r="C119" s="45" t="s">
        <v>8</v>
      </c>
      <c r="G119" s="126"/>
    </row>
    <row r="120" spans="2:7">
      <c r="B120" s="59">
        <v>4</v>
      </c>
      <c r="C120" s="45" t="s">
        <v>11</v>
      </c>
      <c r="G120" s="126"/>
    </row>
    <row r="121" spans="2:7">
      <c r="B121" s="59">
        <v>5</v>
      </c>
      <c r="C121" s="45" t="s">
        <v>9</v>
      </c>
      <c r="G121" s="126"/>
    </row>
    <row r="122" spans="2:7">
      <c r="B122" s="59">
        <v>6</v>
      </c>
      <c r="C122" s="45" t="s">
        <v>12</v>
      </c>
      <c r="G122" s="126"/>
    </row>
    <row r="123" spans="2:7">
      <c r="B123" s="59">
        <v>7</v>
      </c>
      <c r="C123" s="45" t="s">
        <v>143</v>
      </c>
      <c r="G123" s="126"/>
    </row>
    <row r="124" spans="2:7">
      <c r="B124" s="59">
        <v>8</v>
      </c>
      <c r="C124" s="45" t="s">
        <v>13</v>
      </c>
      <c r="G124" s="126"/>
    </row>
    <row r="125" spans="2:7">
      <c r="B125" s="59">
        <v>9</v>
      </c>
      <c r="C125" s="45" t="s">
        <v>139</v>
      </c>
      <c r="G125" s="126"/>
    </row>
    <row r="126" spans="2:7">
      <c r="B126" s="59">
        <v>10</v>
      </c>
      <c r="C126" s="45" t="s">
        <v>140</v>
      </c>
      <c r="G126" s="126"/>
    </row>
    <row r="127" spans="2:7">
      <c r="B127" s="59">
        <v>11</v>
      </c>
      <c r="C127" s="45" t="s">
        <v>144</v>
      </c>
      <c r="G127" s="126"/>
    </row>
    <row r="128" spans="2:7">
      <c r="B128" s="59">
        <v>12</v>
      </c>
      <c r="C128" s="45" t="s">
        <v>19</v>
      </c>
      <c r="G128" s="126"/>
    </row>
    <row r="129" spans="2:7">
      <c r="B129" s="59">
        <v>13</v>
      </c>
      <c r="C129" s="45" t="s">
        <v>142</v>
      </c>
      <c r="G129" s="126"/>
    </row>
    <row r="130" spans="2:7">
      <c r="B130" s="59">
        <v>14</v>
      </c>
      <c r="C130" s="45" t="s">
        <v>34</v>
      </c>
      <c r="G130" s="126"/>
    </row>
    <row r="131" spans="2:7">
      <c r="B131" s="59">
        <v>15</v>
      </c>
      <c r="C131" s="45" t="s">
        <v>141</v>
      </c>
      <c r="G131" s="126"/>
    </row>
    <row r="132" spans="2:7">
      <c r="B132" s="125"/>
      <c r="G132" s="126"/>
    </row>
    <row r="133" spans="2:7">
      <c r="B133" s="125"/>
      <c r="C133" s="45" t="s">
        <v>498</v>
      </c>
      <c r="G133" s="126"/>
    </row>
    <row r="134" spans="2:7">
      <c r="B134" s="125"/>
      <c r="C134" s="45" t="s">
        <v>499</v>
      </c>
      <c r="G134" s="126"/>
    </row>
    <row r="135" spans="2:7">
      <c r="B135" s="125"/>
      <c r="C135" s="45" t="s">
        <v>500</v>
      </c>
      <c r="G135" s="126"/>
    </row>
    <row r="136" spans="2:7">
      <c r="B136" s="125"/>
      <c r="C136" s="45" t="s">
        <v>466</v>
      </c>
      <c r="G136" s="126"/>
    </row>
    <row r="137" spans="2:7">
      <c r="B137" s="125"/>
      <c r="C137" s="45" t="s">
        <v>501</v>
      </c>
      <c r="G137" s="126"/>
    </row>
    <row r="138" spans="2:7">
      <c r="B138" s="125"/>
      <c r="G138" s="126"/>
    </row>
    <row r="139" spans="2:7">
      <c r="B139" s="125"/>
      <c r="C139" s="124" t="s">
        <v>21</v>
      </c>
      <c r="G139" s="126"/>
    </row>
    <row r="140" spans="2:7">
      <c r="B140" s="125" t="s">
        <v>336</v>
      </c>
      <c r="C140" s="45" t="s">
        <v>6</v>
      </c>
      <c r="G140" s="126"/>
    </row>
    <row r="141" spans="2:7">
      <c r="B141" s="125" t="s">
        <v>336</v>
      </c>
      <c r="C141" s="45" t="s">
        <v>458</v>
      </c>
      <c r="G141" s="126"/>
    </row>
    <row r="142" spans="2:7">
      <c r="B142" s="125" t="s">
        <v>336</v>
      </c>
      <c r="C142" s="45" t="s">
        <v>53</v>
      </c>
      <c r="G142" s="126"/>
    </row>
    <row r="143" spans="2:7">
      <c r="B143" s="125" t="s">
        <v>336</v>
      </c>
      <c r="C143" s="45" t="s">
        <v>140</v>
      </c>
      <c r="G143" s="126"/>
    </row>
    <row r="144" spans="2:7">
      <c r="B144" s="125" t="s">
        <v>336</v>
      </c>
      <c r="C144" s="45" t="s">
        <v>142</v>
      </c>
      <c r="G144" s="126"/>
    </row>
    <row r="145" spans="2:7">
      <c r="B145" s="125" t="s">
        <v>336</v>
      </c>
      <c r="C145" s="45" t="s">
        <v>141</v>
      </c>
      <c r="G145" s="126"/>
    </row>
    <row r="146" spans="2:7">
      <c r="B146" s="125"/>
      <c r="G146" s="126"/>
    </row>
    <row r="147" spans="2:7">
      <c r="B147" s="125"/>
      <c r="G147" s="126"/>
    </row>
    <row r="148" spans="2:7">
      <c r="B148" s="125"/>
      <c r="C148" s="44" t="s">
        <v>337</v>
      </c>
      <c r="G148" s="126"/>
    </row>
    <row r="149" spans="2:7">
      <c r="B149" s="125" t="s">
        <v>335</v>
      </c>
      <c r="C149" s="45" t="s">
        <v>139</v>
      </c>
      <c r="G149" s="126"/>
    </row>
    <row r="150" spans="2:7">
      <c r="B150" s="125"/>
      <c r="G150" s="126"/>
    </row>
    <row r="151" spans="2:7">
      <c r="B151" s="125"/>
      <c r="G151" s="126"/>
    </row>
    <row r="152" spans="2:7">
      <c r="B152" s="125"/>
      <c r="C152" s="44" t="s">
        <v>401</v>
      </c>
      <c r="G152" s="126"/>
    </row>
    <row r="153" spans="2:7">
      <c r="B153" s="125" t="s">
        <v>336</v>
      </c>
      <c r="C153" s="112" t="s">
        <v>75</v>
      </c>
      <c r="G153" s="126"/>
    </row>
    <row r="154" spans="2:7">
      <c r="B154" s="125" t="s">
        <v>336</v>
      </c>
      <c r="C154" s="112" t="s">
        <v>144</v>
      </c>
      <c r="G154" s="126"/>
    </row>
    <row r="155" spans="2:7">
      <c r="B155" s="125" t="s">
        <v>336</v>
      </c>
      <c r="C155" s="112" t="s">
        <v>143</v>
      </c>
      <c r="G155" s="126"/>
    </row>
    <row r="156" spans="2:7" ht="13.5" thickBot="1">
      <c r="B156" s="140"/>
      <c r="C156" s="131"/>
      <c r="D156" s="131"/>
      <c r="E156" s="141"/>
      <c r="F156" s="131"/>
      <c r="G156" s="135"/>
    </row>
    <row r="158" spans="2:7" ht="13.5" thickBot="1"/>
    <row r="159" spans="2:7" ht="13.5" thickBot="1">
      <c r="B159" s="239" t="s">
        <v>502</v>
      </c>
      <c r="C159" s="240"/>
      <c r="D159" s="240"/>
      <c r="E159" s="240"/>
      <c r="F159" s="240"/>
      <c r="G159" s="241"/>
    </row>
    <row r="160" spans="2:7" ht="13.5" thickBot="1">
      <c r="B160" s="125"/>
      <c r="G160" s="126"/>
    </row>
    <row r="161" spans="2:7">
      <c r="B161" s="125"/>
      <c r="C161" s="127" t="s">
        <v>27</v>
      </c>
      <c r="D161" s="128"/>
      <c r="E161" s="128" t="s">
        <v>1</v>
      </c>
      <c r="F161" s="129">
        <v>13</v>
      </c>
      <c r="G161" s="126"/>
    </row>
    <row r="162" spans="2:7" ht="13.5" thickBot="1">
      <c r="B162" s="125"/>
      <c r="C162" s="130"/>
      <c r="D162" s="131"/>
      <c r="E162" s="131" t="s">
        <v>202</v>
      </c>
      <c r="F162" s="132">
        <v>19</v>
      </c>
      <c r="G162" s="126"/>
    </row>
    <row r="163" spans="2:7" ht="13.5" thickBot="1">
      <c r="B163" s="125"/>
      <c r="G163" s="126"/>
    </row>
    <row r="164" spans="2:7">
      <c r="B164" s="125"/>
      <c r="C164" s="127" t="s">
        <v>4</v>
      </c>
      <c r="D164" s="128"/>
      <c r="E164" s="128" t="s">
        <v>1</v>
      </c>
      <c r="F164" s="129" t="s">
        <v>503</v>
      </c>
      <c r="G164" s="126"/>
    </row>
    <row r="165" spans="2:7">
      <c r="B165" s="125"/>
      <c r="C165" s="59" t="s">
        <v>2</v>
      </c>
      <c r="E165" s="45" t="s">
        <v>326</v>
      </c>
      <c r="F165" s="126"/>
      <c r="G165" s="126"/>
    </row>
    <row r="166" spans="2:7" ht="13.5" thickBot="1">
      <c r="B166" s="125"/>
      <c r="C166" s="130" t="s">
        <v>3</v>
      </c>
      <c r="D166" s="131"/>
      <c r="E166" s="134" t="s">
        <v>326</v>
      </c>
      <c r="F166" s="135"/>
      <c r="G166" s="126"/>
    </row>
    <row r="167" spans="2:7">
      <c r="B167" s="125"/>
      <c r="G167" s="126"/>
    </row>
    <row r="168" spans="2:7" ht="13.5" thickBot="1">
      <c r="B168" s="125"/>
      <c r="G168" s="126"/>
    </row>
    <row r="169" spans="2:7" ht="13.5" thickBot="1">
      <c r="B169" s="125"/>
      <c r="C169" s="136" t="s">
        <v>29</v>
      </c>
      <c r="D169" s="137"/>
      <c r="E169" s="138" t="s">
        <v>290</v>
      </c>
      <c r="F169" s="139"/>
      <c r="G169" s="126"/>
    </row>
    <row r="170" spans="2:7">
      <c r="B170" s="125"/>
      <c r="G170" s="126"/>
    </row>
    <row r="171" spans="2:7">
      <c r="B171" s="125"/>
      <c r="C171" s="45" t="s">
        <v>5</v>
      </c>
      <c r="G171" s="126"/>
    </row>
    <row r="172" spans="2:7">
      <c r="B172" s="125"/>
      <c r="G172" s="126"/>
    </row>
    <row r="173" spans="2:7">
      <c r="B173" s="59">
        <v>1</v>
      </c>
      <c r="C173" s="45" t="s">
        <v>6</v>
      </c>
      <c r="G173" s="126"/>
    </row>
    <row r="174" spans="2:7">
      <c r="B174" s="59">
        <v>2</v>
      </c>
      <c r="C174" s="45" t="s">
        <v>7</v>
      </c>
      <c r="G174" s="126"/>
    </row>
    <row r="175" spans="2:7">
      <c r="B175" s="59">
        <v>3</v>
      </c>
      <c r="C175" s="45" t="s">
        <v>8</v>
      </c>
      <c r="G175" s="126"/>
    </row>
    <row r="176" spans="2:7">
      <c r="B176" s="59">
        <v>4</v>
      </c>
      <c r="C176" s="45" t="s">
        <v>11</v>
      </c>
      <c r="G176" s="126"/>
    </row>
    <row r="177" spans="2:7">
      <c r="B177" s="59">
        <v>5</v>
      </c>
      <c r="C177" s="45" t="s">
        <v>9</v>
      </c>
      <c r="G177" s="126"/>
    </row>
    <row r="178" spans="2:7">
      <c r="B178" s="59">
        <v>6</v>
      </c>
      <c r="C178" s="45" t="s">
        <v>12</v>
      </c>
      <c r="G178" s="126"/>
    </row>
    <row r="179" spans="2:7">
      <c r="B179" s="59">
        <v>7</v>
      </c>
      <c r="C179" s="45" t="s">
        <v>13</v>
      </c>
      <c r="G179" s="126"/>
    </row>
    <row r="180" spans="2:7">
      <c r="B180" s="59">
        <v>8</v>
      </c>
      <c r="C180" s="45" t="s">
        <v>33</v>
      </c>
      <c r="G180" s="126"/>
    </row>
    <row r="181" spans="2:7">
      <c r="B181" s="59">
        <v>9</v>
      </c>
      <c r="C181" s="45" t="s">
        <v>139</v>
      </c>
      <c r="G181" s="126"/>
    </row>
    <row r="182" spans="2:7">
      <c r="B182" s="59">
        <v>10</v>
      </c>
      <c r="C182" s="45" t="s">
        <v>140</v>
      </c>
      <c r="G182" s="126"/>
    </row>
    <row r="183" spans="2:7">
      <c r="B183" s="59">
        <v>11</v>
      </c>
      <c r="C183" s="45" t="s">
        <v>34</v>
      </c>
      <c r="G183" s="126"/>
    </row>
    <row r="184" spans="2:7">
      <c r="B184" s="59">
        <v>12</v>
      </c>
      <c r="C184" s="45" t="s">
        <v>19</v>
      </c>
      <c r="G184" s="126"/>
    </row>
    <row r="185" spans="2:7">
      <c r="B185" s="59">
        <v>13</v>
      </c>
      <c r="C185" s="45" t="s">
        <v>142</v>
      </c>
      <c r="G185" s="126"/>
    </row>
    <row r="186" spans="2:7">
      <c r="B186" s="59">
        <v>14</v>
      </c>
      <c r="C186" s="45" t="s">
        <v>16</v>
      </c>
      <c r="G186" s="126"/>
    </row>
    <row r="187" spans="2:7">
      <c r="B187" s="59">
        <v>15</v>
      </c>
      <c r="C187" s="45" t="s">
        <v>141</v>
      </c>
      <c r="G187" s="126"/>
    </row>
    <row r="188" spans="2:7">
      <c r="B188" s="125"/>
      <c r="G188" s="126"/>
    </row>
    <row r="189" spans="2:7">
      <c r="B189" s="125"/>
      <c r="C189" s="45" t="s">
        <v>504</v>
      </c>
      <c r="G189" s="126"/>
    </row>
    <row r="190" spans="2:7">
      <c r="B190" s="125"/>
      <c r="C190" s="45" t="s">
        <v>505</v>
      </c>
      <c r="G190" s="126"/>
    </row>
    <row r="191" spans="2:7">
      <c r="B191" s="125"/>
      <c r="C191" s="45" t="s">
        <v>506</v>
      </c>
      <c r="G191" s="126"/>
    </row>
    <row r="192" spans="2:7">
      <c r="B192" s="125"/>
      <c r="C192" s="45" t="s">
        <v>507</v>
      </c>
      <c r="G192" s="126"/>
    </row>
    <row r="193" spans="2:7">
      <c r="B193" s="125"/>
      <c r="G193" s="126"/>
    </row>
    <row r="194" spans="2:7">
      <c r="B194" s="125"/>
      <c r="C194" s="124" t="s">
        <v>21</v>
      </c>
      <c r="G194" s="126"/>
    </row>
    <row r="195" spans="2:7">
      <c r="B195" s="125" t="s">
        <v>336</v>
      </c>
      <c r="C195" s="45" t="s">
        <v>142</v>
      </c>
      <c r="G195" s="126"/>
    </row>
    <row r="196" spans="2:7">
      <c r="B196" s="125"/>
      <c r="G196" s="126"/>
    </row>
    <row r="197" spans="2:7">
      <c r="B197" s="125"/>
      <c r="C197" s="44" t="s">
        <v>337</v>
      </c>
      <c r="G197" s="126"/>
    </row>
    <row r="198" spans="2:7">
      <c r="B198" s="125" t="s">
        <v>336</v>
      </c>
      <c r="C198" s="45" t="s">
        <v>139</v>
      </c>
      <c r="G198" s="126"/>
    </row>
    <row r="199" spans="2:7">
      <c r="B199" s="125"/>
      <c r="G199" s="126"/>
    </row>
    <row r="200" spans="2:7">
      <c r="B200" s="125"/>
      <c r="C200" s="44" t="s">
        <v>22</v>
      </c>
      <c r="G200" s="126"/>
    </row>
    <row r="201" spans="2:7">
      <c r="B201" s="125" t="s">
        <v>352</v>
      </c>
      <c r="C201" s="45" t="s">
        <v>139</v>
      </c>
      <c r="G201" s="126"/>
    </row>
    <row r="202" spans="2:7">
      <c r="B202" s="125"/>
      <c r="G202" s="126"/>
    </row>
    <row r="203" spans="2:7">
      <c r="B203" s="125"/>
      <c r="C203" s="44" t="s">
        <v>23</v>
      </c>
      <c r="G203" s="126"/>
    </row>
    <row r="204" spans="2:7">
      <c r="B204" s="125"/>
      <c r="C204" s="112" t="s">
        <v>33</v>
      </c>
      <c r="G204" s="126"/>
    </row>
    <row r="205" spans="2:7">
      <c r="B205" s="125"/>
      <c r="C205" s="112" t="s">
        <v>140</v>
      </c>
      <c r="G205" s="126"/>
    </row>
    <row r="206" spans="2:7" ht="13.5" thickBot="1">
      <c r="B206" s="140"/>
      <c r="C206" s="131"/>
      <c r="D206" s="131"/>
      <c r="E206" s="141"/>
      <c r="F206" s="131"/>
      <c r="G206" s="135"/>
    </row>
    <row r="208" spans="2:7" ht="13.5" thickBot="1"/>
    <row r="209" spans="2:7" ht="13.5" thickBot="1">
      <c r="B209" s="239" t="s">
        <v>508</v>
      </c>
      <c r="C209" s="240"/>
      <c r="D209" s="240"/>
      <c r="E209" s="240"/>
      <c r="F209" s="240"/>
      <c r="G209" s="241"/>
    </row>
    <row r="210" spans="2:7" ht="13.5" thickBot="1">
      <c r="B210" s="125"/>
      <c r="G210" s="126"/>
    </row>
    <row r="211" spans="2:7">
      <c r="B211" s="125"/>
      <c r="C211" s="127" t="s">
        <v>27</v>
      </c>
      <c r="D211" s="128"/>
      <c r="E211" s="128" t="s">
        <v>45</v>
      </c>
      <c r="F211" s="129">
        <v>10</v>
      </c>
      <c r="G211" s="126"/>
    </row>
    <row r="212" spans="2:7" ht="13.5" thickBot="1">
      <c r="B212" s="125"/>
      <c r="C212" s="130"/>
      <c r="D212" s="131"/>
      <c r="E212" s="131" t="s">
        <v>1</v>
      </c>
      <c r="F212" s="132">
        <v>59</v>
      </c>
      <c r="G212" s="126"/>
    </row>
    <row r="213" spans="2:7" ht="13.5" thickBot="1">
      <c r="B213" s="125"/>
      <c r="G213" s="126"/>
    </row>
    <row r="214" spans="2:7">
      <c r="B214" s="125"/>
      <c r="C214" s="127" t="s">
        <v>4</v>
      </c>
      <c r="D214" s="128"/>
      <c r="E214" s="128" t="s">
        <v>39</v>
      </c>
      <c r="F214" s="129" t="s">
        <v>509</v>
      </c>
      <c r="G214" s="126"/>
    </row>
    <row r="215" spans="2:7">
      <c r="B215" s="125"/>
      <c r="C215" s="59" t="s">
        <v>2</v>
      </c>
      <c r="E215" s="45" t="s">
        <v>326</v>
      </c>
      <c r="F215" s="126"/>
      <c r="G215" s="126"/>
    </row>
    <row r="216" spans="2:7" ht="13.5" thickBot="1">
      <c r="B216" s="125"/>
      <c r="C216" s="130" t="s">
        <v>3</v>
      </c>
      <c r="D216" s="131"/>
      <c r="E216" s="134" t="s">
        <v>344</v>
      </c>
      <c r="F216" s="135"/>
      <c r="G216" s="126"/>
    </row>
    <row r="217" spans="2:7">
      <c r="B217" s="125"/>
      <c r="G217" s="126"/>
    </row>
    <row r="218" spans="2:7" ht="13.5" thickBot="1">
      <c r="B218" s="125"/>
      <c r="G218" s="126"/>
    </row>
    <row r="219" spans="2:7" ht="13.5" thickBot="1">
      <c r="B219" s="125"/>
      <c r="C219" s="136" t="s">
        <v>29</v>
      </c>
      <c r="D219" s="137"/>
      <c r="E219" s="138" t="s">
        <v>278</v>
      </c>
      <c r="F219" s="139"/>
      <c r="G219" s="126"/>
    </row>
    <row r="220" spans="2:7">
      <c r="B220" s="125"/>
      <c r="G220" s="126"/>
    </row>
    <row r="221" spans="2:7">
      <c r="B221" s="125"/>
      <c r="C221" s="45" t="s">
        <v>5</v>
      </c>
      <c r="G221" s="126"/>
    </row>
    <row r="222" spans="2:7">
      <c r="B222" s="125"/>
      <c r="G222" s="126"/>
    </row>
    <row r="223" spans="2:7">
      <c r="B223" s="59">
        <v>1</v>
      </c>
      <c r="C223" s="45" t="s">
        <v>6</v>
      </c>
      <c r="G223" s="126"/>
    </row>
    <row r="224" spans="2:7">
      <c r="B224" s="59">
        <v>2</v>
      </c>
      <c r="C224" s="45" t="s">
        <v>11</v>
      </c>
      <c r="G224" s="126"/>
    </row>
    <row r="225" spans="2:7">
      <c r="B225" s="59">
        <v>3</v>
      </c>
      <c r="C225" s="45" t="s">
        <v>8</v>
      </c>
      <c r="G225" s="126"/>
    </row>
    <row r="226" spans="2:7">
      <c r="B226" s="59">
        <v>4</v>
      </c>
      <c r="C226" s="45" t="s">
        <v>12</v>
      </c>
      <c r="G226" s="126"/>
    </row>
    <row r="227" spans="2:7">
      <c r="B227" s="59">
        <v>5</v>
      </c>
      <c r="C227" s="45" t="s">
        <v>32</v>
      </c>
      <c r="G227" s="126"/>
    </row>
    <row r="228" spans="2:7">
      <c r="B228" s="59">
        <v>6</v>
      </c>
      <c r="C228" s="45" t="s">
        <v>143</v>
      </c>
      <c r="G228" s="126"/>
    </row>
    <row r="229" spans="2:7">
      <c r="B229" s="59">
        <v>7</v>
      </c>
      <c r="C229" s="45" t="s">
        <v>13</v>
      </c>
      <c r="G229" s="126"/>
    </row>
    <row r="230" spans="2:7">
      <c r="B230" s="59">
        <v>8</v>
      </c>
      <c r="C230" s="45" t="s">
        <v>33</v>
      </c>
      <c r="G230" s="126"/>
    </row>
    <row r="231" spans="2:7">
      <c r="B231" s="59">
        <v>9</v>
      </c>
      <c r="C231" s="45" t="s">
        <v>139</v>
      </c>
      <c r="G231" s="126"/>
    </row>
    <row r="232" spans="2:7">
      <c r="B232" s="59">
        <v>10</v>
      </c>
      <c r="C232" s="45" t="s">
        <v>145</v>
      </c>
      <c r="G232" s="126"/>
    </row>
    <row r="233" spans="2:7">
      <c r="B233" s="59">
        <v>11</v>
      </c>
      <c r="C233" s="45" t="s">
        <v>42</v>
      </c>
      <c r="G233" s="126"/>
    </row>
    <row r="234" spans="2:7">
      <c r="B234" s="59">
        <v>12</v>
      </c>
      <c r="C234" s="45" t="s">
        <v>19</v>
      </c>
      <c r="G234" s="126"/>
    </row>
    <row r="235" spans="2:7">
      <c r="B235" s="59">
        <v>13</v>
      </c>
      <c r="C235" s="45" t="s">
        <v>142</v>
      </c>
      <c r="G235" s="126"/>
    </row>
    <row r="236" spans="2:7">
      <c r="B236" s="59">
        <v>14</v>
      </c>
      <c r="C236" s="45" t="s">
        <v>34</v>
      </c>
      <c r="G236" s="126"/>
    </row>
    <row r="237" spans="2:7">
      <c r="B237" s="59">
        <v>15</v>
      </c>
      <c r="C237" s="45" t="s">
        <v>16</v>
      </c>
      <c r="G237" s="126"/>
    </row>
    <row r="238" spans="2:7">
      <c r="B238" s="125"/>
      <c r="G238" s="126"/>
    </row>
    <row r="239" spans="2:7">
      <c r="B239" s="125"/>
      <c r="C239" s="45" t="s">
        <v>510</v>
      </c>
      <c r="G239" s="126"/>
    </row>
    <row r="240" spans="2:7">
      <c r="B240" s="125"/>
      <c r="C240" s="45" t="s">
        <v>511</v>
      </c>
      <c r="G240" s="126"/>
    </row>
    <row r="241" spans="2:7">
      <c r="B241" s="125"/>
      <c r="C241" s="45" t="s">
        <v>512</v>
      </c>
      <c r="G241" s="126"/>
    </row>
    <row r="242" spans="2:7">
      <c r="B242" s="125"/>
      <c r="C242" s="45" t="s">
        <v>513</v>
      </c>
      <c r="G242" s="126"/>
    </row>
    <row r="243" spans="2:7">
      <c r="B243" s="125"/>
      <c r="C243" s="45" t="s">
        <v>514</v>
      </c>
      <c r="G243" s="126"/>
    </row>
    <row r="244" spans="2:7">
      <c r="B244" s="125"/>
      <c r="G244" s="126"/>
    </row>
    <row r="245" spans="2:7">
      <c r="B245" s="125"/>
      <c r="C245" s="124" t="s">
        <v>21</v>
      </c>
      <c r="G245" s="126"/>
    </row>
    <row r="246" spans="2:7">
      <c r="B246" s="125" t="s">
        <v>352</v>
      </c>
      <c r="C246" s="45" t="s">
        <v>42</v>
      </c>
      <c r="G246" s="126"/>
    </row>
    <row r="247" spans="2:7">
      <c r="B247" s="125" t="s">
        <v>336</v>
      </c>
      <c r="C247" s="45" t="s">
        <v>35</v>
      </c>
      <c r="G247" s="126"/>
    </row>
    <row r="248" spans="2:7">
      <c r="B248" s="125" t="s">
        <v>335</v>
      </c>
      <c r="C248" s="45" t="s">
        <v>139</v>
      </c>
      <c r="G248" s="126"/>
    </row>
    <row r="249" spans="2:7">
      <c r="B249" s="125" t="s">
        <v>336</v>
      </c>
      <c r="C249" s="45" t="s">
        <v>19</v>
      </c>
      <c r="G249" s="126"/>
    </row>
    <row r="250" spans="2:7">
      <c r="B250" s="125" t="s">
        <v>336</v>
      </c>
      <c r="C250" s="45" t="s">
        <v>33</v>
      </c>
      <c r="G250" s="126"/>
    </row>
    <row r="251" spans="2:7">
      <c r="B251" s="125" t="s">
        <v>336</v>
      </c>
      <c r="C251" s="45" t="s">
        <v>13</v>
      </c>
      <c r="G251" s="126"/>
    </row>
    <row r="252" spans="2:7">
      <c r="B252" s="125"/>
      <c r="G252" s="126"/>
    </row>
    <row r="253" spans="2:7">
      <c r="B253" s="125"/>
      <c r="C253" s="44" t="s">
        <v>337</v>
      </c>
      <c r="G253" s="126"/>
    </row>
    <row r="254" spans="2:7">
      <c r="B254" s="125" t="s">
        <v>418</v>
      </c>
      <c r="C254" s="45" t="s">
        <v>139</v>
      </c>
      <c r="G254" s="126"/>
    </row>
    <row r="255" spans="2:7">
      <c r="B255" s="125"/>
      <c r="G255" s="126"/>
    </row>
    <row r="256" spans="2:7">
      <c r="B256" s="125"/>
      <c r="C256" s="44" t="s">
        <v>401</v>
      </c>
      <c r="G256" s="126"/>
    </row>
    <row r="257" spans="2:7">
      <c r="B257" s="125"/>
      <c r="C257" s="45" t="s">
        <v>143</v>
      </c>
      <c r="G257" s="126"/>
    </row>
    <row r="258" spans="2:7" ht="13.5" thickBot="1">
      <c r="B258" s="140"/>
      <c r="C258" s="131"/>
      <c r="D258" s="131"/>
      <c r="E258" s="141"/>
      <c r="F258" s="131"/>
      <c r="G258" s="135"/>
    </row>
    <row r="260" spans="2:7" ht="13.5" thickBot="1"/>
    <row r="261" spans="2:7" ht="13.5" thickBot="1">
      <c r="B261" s="239" t="s">
        <v>515</v>
      </c>
      <c r="C261" s="240"/>
      <c r="D261" s="240"/>
      <c r="E261" s="240"/>
      <c r="F261" s="240"/>
      <c r="G261" s="241"/>
    </row>
    <row r="262" spans="2:7" ht="13.5" thickBot="1">
      <c r="B262" s="125"/>
      <c r="G262" s="126"/>
    </row>
    <row r="263" spans="2:7">
      <c r="B263" s="125"/>
      <c r="C263" s="127" t="s">
        <v>27</v>
      </c>
      <c r="D263" s="128"/>
      <c r="E263" s="128" t="s">
        <v>1</v>
      </c>
      <c r="F263" s="129">
        <v>109</v>
      </c>
      <c r="G263" s="126"/>
    </row>
    <row r="264" spans="2:7" ht="13.5" thickBot="1">
      <c r="B264" s="125"/>
      <c r="C264" s="130"/>
      <c r="D264" s="131"/>
      <c r="E264" s="131" t="s">
        <v>72</v>
      </c>
      <c r="F264" s="132">
        <v>5</v>
      </c>
      <c r="G264" s="126"/>
    </row>
    <row r="265" spans="2:7" ht="13.5" thickBot="1">
      <c r="B265" s="125"/>
      <c r="G265" s="126"/>
    </row>
    <row r="266" spans="2:7">
      <c r="B266" s="125"/>
      <c r="C266" s="127" t="s">
        <v>4</v>
      </c>
      <c r="D266" s="128"/>
      <c r="E266" s="128" t="s">
        <v>1</v>
      </c>
      <c r="F266" s="133" t="s">
        <v>427</v>
      </c>
      <c r="G266" s="126"/>
    </row>
    <row r="267" spans="2:7">
      <c r="B267" s="125"/>
      <c r="C267" s="59" t="s">
        <v>2</v>
      </c>
      <c r="E267" s="45" t="s">
        <v>326</v>
      </c>
      <c r="F267" s="126"/>
      <c r="G267" s="126"/>
    </row>
    <row r="268" spans="2:7" ht="13.5" thickBot="1">
      <c r="B268" s="125"/>
      <c r="C268" s="130" t="s">
        <v>3</v>
      </c>
      <c r="D268" s="131"/>
      <c r="E268" s="134" t="s">
        <v>344</v>
      </c>
      <c r="F268" s="135"/>
      <c r="G268" s="126"/>
    </row>
    <row r="269" spans="2:7">
      <c r="B269" s="125"/>
      <c r="G269" s="126"/>
    </row>
    <row r="270" spans="2:7" ht="13.5" thickBot="1">
      <c r="B270" s="125"/>
      <c r="G270" s="126"/>
    </row>
    <row r="271" spans="2:7" ht="13.5" thickBot="1">
      <c r="B271" s="125"/>
      <c r="C271" s="136" t="s">
        <v>29</v>
      </c>
      <c r="D271" s="137"/>
      <c r="E271" s="138" t="s">
        <v>291</v>
      </c>
      <c r="F271" s="139"/>
      <c r="G271" s="126"/>
    </row>
    <row r="272" spans="2:7">
      <c r="B272" s="125"/>
      <c r="G272" s="126"/>
    </row>
    <row r="273" spans="2:7">
      <c r="B273" s="125"/>
      <c r="C273" s="45" t="s">
        <v>5</v>
      </c>
      <c r="G273" s="126"/>
    </row>
    <row r="274" spans="2:7">
      <c r="B274" s="125"/>
      <c r="G274" s="126"/>
    </row>
    <row r="275" spans="2:7">
      <c r="B275" s="59">
        <v>1</v>
      </c>
      <c r="C275" s="45" t="s">
        <v>6</v>
      </c>
      <c r="G275" s="126"/>
    </row>
    <row r="276" spans="2:7">
      <c r="B276" s="59">
        <v>2</v>
      </c>
      <c r="C276" s="45" t="s">
        <v>7</v>
      </c>
      <c r="G276" s="126"/>
    </row>
    <row r="277" spans="2:7">
      <c r="B277" s="59">
        <v>3</v>
      </c>
      <c r="C277" s="45" t="s">
        <v>35</v>
      </c>
      <c r="G277" s="126"/>
    </row>
    <row r="278" spans="2:7">
      <c r="B278" s="59">
        <v>4</v>
      </c>
      <c r="C278" s="45" t="s">
        <v>11</v>
      </c>
      <c r="G278" s="126"/>
    </row>
    <row r="279" spans="2:7">
      <c r="B279" s="59">
        <v>5</v>
      </c>
      <c r="C279" s="45" t="s">
        <v>146</v>
      </c>
      <c r="G279" s="126"/>
    </row>
    <row r="280" spans="2:7">
      <c r="B280" s="59">
        <v>6</v>
      </c>
      <c r="C280" s="45" t="s">
        <v>143</v>
      </c>
      <c r="G280" s="126"/>
    </row>
    <row r="281" spans="2:7">
      <c r="B281" s="59">
        <v>7</v>
      </c>
      <c r="C281" s="45" t="s">
        <v>13</v>
      </c>
      <c r="G281" s="126"/>
    </row>
    <row r="282" spans="2:7">
      <c r="B282" s="59">
        <v>8</v>
      </c>
      <c r="C282" s="45" t="s">
        <v>33</v>
      </c>
      <c r="G282" s="126"/>
    </row>
    <row r="283" spans="2:7">
      <c r="B283" s="59">
        <v>9</v>
      </c>
      <c r="C283" s="45" t="s">
        <v>139</v>
      </c>
      <c r="G283" s="126"/>
    </row>
    <row r="284" spans="2:7">
      <c r="B284" s="59">
        <v>10</v>
      </c>
      <c r="C284" s="45" t="s">
        <v>145</v>
      </c>
      <c r="G284" s="126"/>
    </row>
    <row r="285" spans="2:7">
      <c r="B285" s="59">
        <v>11</v>
      </c>
      <c r="C285" s="45" t="s">
        <v>42</v>
      </c>
      <c r="G285" s="126"/>
    </row>
    <row r="286" spans="2:7">
      <c r="B286" s="59">
        <v>12</v>
      </c>
      <c r="C286" s="45" t="s">
        <v>19</v>
      </c>
      <c r="G286" s="126"/>
    </row>
    <row r="287" spans="2:7">
      <c r="B287" s="59">
        <v>13</v>
      </c>
      <c r="C287" s="45" t="s">
        <v>142</v>
      </c>
      <c r="G287" s="126"/>
    </row>
    <row r="288" spans="2:7">
      <c r="B288" s="59">
        <v>14</v>
      </c>
      <c r="C288" s="45" t="s">
        <v>34</v>
      </c>
      <c r="G288" s="126"/>
    </row>
    <row r="289" spans="2:8">
      <c r="B289" s="59">
        <v>15</v>
      </c>
      <c r="C289" s="45" t="s">
        <v>16</v>
      </c>
      <c r="G289" s="126"/>
    </row>
    <row r="290" spans="2:8">
      <c r="B290" s="125"/>
      <c r="G290" s="126"/>
    </row>
    <row r="291" spans="2:8">
      <c r="B291" s="125"/>
      <c r="C291" s="45" t="s">
        <v>516</v>
      </c>
      <c r="G291" s="126"/>
    </row>
    <row r="292" spans="2:8">
      <c r="B292" s="125"/>
      <c r="C292" s="45" t="s">
        <v>517</v>
      </c>
      <c r="G292" s="126"/>
    </row>
    <row r="293" spans="2:8">
      <c r="B293" s="125"/>
      <c r="C293" s="45" t="s">
        <v>518</v>
      </c>
      <c r="G293" s="126"/>
    </row>
    <row r="294" spans="2:8">
      <c r="B294" s="125"/>
      <c r="C294" s="45" t="s">
        <v>519</v>
      </c>
      <c r="G294" s="126"/>
    </row>
    <row r="295" spans="2:8">
      <c r="B295" s="125"/>
      <c r="G295" s="126"/>
    </row>
    <row r="296" spans="2:8">
      <c r="B296" s="125"/>
      <c r="C296" s="124" t="s">
        <v>21</v>
      </c>
      <c r="G296" s="126"/>
    </row>
    <row r="297" spans="2:8">
      <c r="B297" s="125" t="s">
        <v>336</v>
      </c>
      <c r="C297" s="45" t="s">
        <v>139</v>
      </c>
      <c r="G297" s="126"/>
      <c r="H297" s="45">
        <f>16*5</f>
        <v>80</v>
      </c>
    </row>
    <row r="298" spans="2:8">
      <c r="B298" s="125" t="s">
        <v>335</v>
      </c>
      <c r="C298" s="45" t="s">
        <v>16</v>
      </c>
      <c r="G298" s="126"/>
    </row>
    <row r="299" spans="2:8">
      <c r="B299" s="125" t="s">
        <v>352</v>
      </c>
      <c r="C299" s="45" t="s">
        <v>34</v>
      </c>
      <c r="G299" s="126"/>
      <c r="H299" s="45">
        <v>84</v>
      </c>
    </row>
    <row r="300" spans="2:8">
      <c r="B300" s="125" t="s">
        <v>336</v>
      </c>
      <c r="C300" s="45" t="s">
        <v>35</v>
      </c>
      <c r="G300" s="126"/>
      <c r="H300" s="45">
        <v>25</v>
      </c>
    </row>
    <row r="301" spans="2:8">
      <c r="B301" s="125" t="s">
        <v>338</v>
      </c>
      <c r="C301" s="45" t="s">
        <v>33</v>
      </c>
      <c r="G301" s="126"/>
      <c r="H301" s="45">
        <f>+H300+H299</f>
        <v>109</v>
      </c>
    </row>
    <row r="302" spans="2:8">
      <c r="B302" s="125" t="s">
        <v>336</v>
      </c>
      <c r="C302" s="45" t="s">
        <v>53</v>
      </c>
      <c r="G302" s="126"/>
    </row>
    <row r="303" spans="2:8">
      <c r="B303" s="125" t="s">
        <v>352</v>
      </c>
      <c r="C303" s="45" t="s">
        <v>13</v>
      </c>
      <c r="G303" s="126"/>
    </row>
    <row r="304" spans="2:8">
      <c r="B304" s="125" t="s">
        <v>352</v>
      </c>
      <c r="C304" s="45" t="s">
        <v>142</v>
      </c>
      <c r="G304" s="126"/>
    </row>
    <row r="305" spans="2:7">
      <c r="B305" s="125" t="s">
        <v>336</v>
      </c>
      <c r="C305" s="45" t="s">
        <v>145</v>
      </c>
      <c r="G305" s="126"/>
    </row>
    <row r="306" spans="2:7">
      <c r="B306" s="144"/>
      <c r="G306" s="126"/>
    </row>
    <row r="307" spans="2:7">
      <c r="B307" s="125"/>
      <c r="G307" s="126"/>
    </row>
    <row r="308" spans="2:7">
      <c r="B308" s="125"/>
      <c r="C308" s="44" t="s">
        <v>337</v>
      </c>
      <c r="G308" s="126"/>
    </row>
    <row r="309" spans="2:7">
      <c r="B309" s="125" t="s">
        <v>520</v>
      </c>
      <c r="C309" s="45" t="s">
        <v>139</v>
      </c>
      <c r="G309" s="126"/>
    </row>
    <row r="310" spans="2:7">
      <c r="B310" s="125"/>
      <c r="G310" s="126"/>
    </row>
    <row r="311" spans="2:7">
      <c r="B311" s="125"/>
      <c r="C311" s="44" t="s">
        <v>401</v>
      </c>
      <c r="G311" s="126"/>
    </row>
    <row r="312" spans="2:7">
      <c r="B312" s="125" t="s">
        <v>336</v>
      </c>
      <c r="C312" s="45" t="s">
        <v>6</v>
      </c>
      <c r="G312" s="126"/>
    </row>
    <row r="313" spans="2:7" ht="13.5" thickBot="1">
      <c r="B313" s="140"/>
      <c r="C313" s="131"/>
      <c r="D313" s="131"/>
      <c r="E313" s="141"/>
      <c r="F313" s="131"/>
      <c r="G313" s="135"/>
    </row>
    <row r="315" spans="2:7" ht="13.5" thickBot="1"/>
    <row r="316" spans="2:7" ht="13.5" thickBot="1">
      <c r="B316" s="239" t="s">
        <v>521</v>
      </c>
      <c r="C316" s="240"/>
      <c r="D316" s="240"/>
      <c r="E316" s="240"/>
      <c r="F316" s="240"/>
      <c r="G316" s="241"/>
    </row>
    <row r="317" spans="2:7" ht="13.5" thickBot="1">
      <c r="B317" s="125"/>
      <c r="G317" s="126"/>
    </row>
    <row r="318" spans="2:7">
      <c r="B318" s="125"/>
      <c r="C318" s="127" t="s">
        <v>27</v>
      </c>
      <c r="D318" s="128"/>
      <c r="E318" s="128" t="s">
        <v>98</v>
      </c>
      <c r="F318" s="129">
        <v>0</v>
      </c>
      <c r="G318" s="126"/>
    </row>
    <row r="319" spans="2:7" ht="13.5" thickBot="1">
      <c r="B319" s="125"/>
      <c r="C319" s="130"/>
      <c r="D319" s="131"/>
      <c r="E319" s="131" t="s">
        <v>1</v>
      </c>
      <c r="F319" s="132">
        <v>81</v>
      </c>
      <c r="G319" s="126"/>
    </row>
    <row r="320" spans="2:7" ht="13.5" thickBot="1">
      <c r="B320" s="125"/>
      <c r="G320" s="126"/>
    </row>
    <row r="321" spans="2:10">
      <c r="B321" s="125"/>
      <c r="C321" s="127" t="s">
        <v>4</v>
      </c>
      <c r="D321" s="128"/>
      <c r="E321" s="128" t="s">
        <v>98</v>
      </c>
      <c r="F321" s="133"/>
      <c r="G321" s="126"/>
    </row>
    <row r="322" spans="2:10">
      <c r="B322" s="125"/>
      <c r="C322" s="59" t="s">
        <v>2</v>
      </c>
      <c r="E322" s="45" t="s">
        <v>404</v>
      </c>
      <c r="F322" s="126"/>
      <c r="G322" s="126"/>
    </row>
    <row r="323" spans="2:10" ht="13.5" thickBot="1">
      <c r="B323" s="125"/>
      <c r="C323" s="130" t="s">
        <v>3</v>
      </c>
      <c r="D323" s="131"/>
      <c r="E323" s="134" t="s">
        <v>344</v>
      </c>
      <c r="F323" s="135"/>
      <c r="G323" s="126"/>
    </row>
    <row r="324" spans="2:10">
      <c r="B324" s="125"/>
      <c r="G324" s="126"/>
    </row>
    <row r="325" spans="2:10" ht="13.5" thickBot="1">
      <c r="B325" s="125"/>
      <c r="G325" s="126"/>
    </row>
    <row r="326" spans="2:10" ht="13.5" thickBot="1">
      <c r="B326" s="125"/>
      <c r="C326" s="136" t="s">
        <v>29</v>
      </c>
      <c r="D326" s="137"/>
      <c r="E326" s="138" t="s">
        <v>292</v>
      </c>
      <c r="F326" s="139"/>
      <c r="G326" s="126"/>
    </row>
    <row r="327" spans="2:10">
      <c r="B327" s="125"/>
      <c r="G327" s="126"/>
    </row>
    <row r="328" spans="2:10">
      <c r="B328" s="125"/>
      <c r="C328" s="45" t="s">
        <v>5</v>
      </c>
      <c r="G328" s="126"/>
    </row>
    <row r="329" spans="2:10">
      <c r="B329" s="125"/>
      <c r="G329" s="126"/>
    </row>
    <row r="330" spans="2:10">
      <c r="B330" s="59">
        <v>1</v>
      </c>
      <c r="C330" s="45" t="s">
        <v>6</v>
      </c>
      <c r="G330" s="126"/>
      <c r="J330" s="45">
        <v>24</v>
      </c>
    </row>
    <row r="331" spans="2:10">
      <c r="B331" s="59">
        <v>2</v>
      </c>
      <c r="C331" s="45" t="s">
        <v>147</v>
      </c>
      <c r="G331" s="126"/>
      <c r="J331" s="45">
        <v>26</v>
      </c>
    </row>
    <row r="332" spans="2:10">
      <c r="B332" s="59">
        <v>3</v>
      </c>
      <c r="C332" s="45" t="s">
        <v>35</v>
      </c>
      <c r="G332" s="126"/>
      <c r="J332" s="45">
        <v>26</v>
      </c>
    </row>
    <row r="333" spans="2:10">
      <c r="B333" s="59">
        <v>4</v>
      </c>
      <c r="C333" s="45" t="s">
        <v>11</v>
      </c>
      <c r="G333" s="126"/>
      <c r="J333" s="45">
        <v>26</v>
      </c>
    </row>
    <row r="334" spans="2:10">
      <c r="B334" s="59">
        <v>5</v>
      </c>
      <c r="C334" s="45" t="s">
        <v>146</v>
      </c>
      <c r="G334" s="126"/>
      <c r="J334" s="45">
        <v>21</v>
      </c>
    </row>
    <row r="335" spans="2:10">
      <c r="B335" s="59">
        <v>6</v>
      </c>
      <c r="C335" s="45" t="s">
        <v>143</v>
      </c>
      <c r="G335" s="126"/>
      <c r="J335" s="45">
        <v>21</v>
      </c>
    </row>
    <row r="336" spans="2:10">
      <c r="B336" s="59">
        <v>7</v>
      </c>
      <c r="C336" s="45" t="s">
        <v>13</v>
      </c>
      <c r="G336" s="126"/>
      <c r="J336" s="45">
        <v>25</v>
      </c>
    </row>
    <row r="337" spans="2:12">
      <c r="B337" s="59">
        <v>8</v>
      </c>
      <c r="C337" s="45" t="s">
        <v>33</v>
      </c>
      <c r="G337" s="126"/>
      <c r="J337" s="45">
        <v>22</v>
      </c>
    </row>
    <row r="338" spans="2:12">
      <c r="B338" s="59">
        <v>9</v>
      </c>
      <c r="C338" s="45" t="s">
        <v>139</v>
      </c>
      <c r="G338" s="126"/>
      <c r="J338" s="45">
        <v>21</v>
      </c>
    </row>
    <row r="339" spans="2:12">
      <c r="B339" s="59">
        <v>10</v>
      </c>
      <c r="C339" s="45" t="s">
        <v>145</v>
      </c>
      <c r="G339" s="126"/>
      <c r="J339" s="45">
        <v>22</v>
      </c>
    </row>
    <row r="340" spans="2:12">
      <c r="B340" s="59">
        <v>11</v>
      </c>
      <c r="C340" s="45" t="s">
        <v>42</v>
      </c>
      <c r="G340" s="126"/>
      <c r="J340" s="45">
        <v>22</v>
      </c>
    </row>
    <row r="341" spans="2:12">
      <c r="B341" s="59">
        <v>12</v>
      </c>
      <c r="C341" s="45" t="s">
        <v>19</v>
      </c>
      <c r="G341" s="126"/>
      <c r="J341" s="45">
        <v>25</v>
      </c>
    </row>
    <row r="342" spans="2:12">
      <c r="B342" s="59">
        <v>13</v>
      </c>
      <c r="C342" s="45" t="s">
        <v>142</v>
      </c>
      <c r="G342" s="126"/>
      <c r="J342" s="45">
        <v>21</v>
      </c>
    </row>
    <row r="343" spans="2:12">
      <c r="B343" s="59">
        <v>14</v>
      </c>
      <c r="C343" s="45" t="s">
        <v>34</v>
      </c>
      <c r="G343" s="126"/>
      <c r="J343" s="45">
        <v>22</v>
      </c>
    </row>
    <row r="344" spans="2:12">
      <c r="B344" s="59">
        <v>15</v>
      </c>
      <c r="C344" s="45" t="s">
        <v>16</v>
      </c>
      <c r="G344" s="126"/>
      <c r="J344" s="45">
        <v>27</v>
      </c>
    </row>
    <row r="345" spans="2:12">
      <c r="B345" s="125"/>
      <c r="G345" s="126"/>
      <c r="J345" s="45">
        <f>SUM(J330:J344)</f>
        <v>351</v>
      </c>
      <c r="K345" s="45">
        <v>15</v>
      </c>
      <c r="L345" s="45">
        <f>+J345/K345</f>
        <v>23.4</v>
      </c>
    </row>
    <row r="346" spans="2:12">
      <c r="B346" s="125"/>
      <c r="C346" s="45" t="s">
        <v>485</v>
      </c>
      <c r="G346" s="126"/>
    </row>
    <row r="347" spans="2:12">
      <c r="B347" s="125"/>
      <c r="C347" s="45" t="s">
        <v>522</v>
      </c>
      <c r="G347" s="126"/>
    </row>
    <row r="348" spans="2:12">
      <c r="B348" s="125"/>
      <c r="C348" s="45" t="s">
        <v>523</v>
      </c>
      <c r="G348" s="126"/>
    </row>
    <row r="349" spans="2:12">
      <c r="B349" s="125"/>
      <c r="C349" s="45" t="s">
        <v>518</v>
      </c>
      <c r="G349" s="126"/>
    </row>
    <row r="350" spans="2:12">
      <c r="B350" s="125"/>
      <c r="C350" s="45" t="s">
        <v>524</v>
      </c>
      <c r="G350" s="126"/>
    </row>
    <row r="351" spans="2:12">
      <c r="B351" s="125"/>
      <c r="C351" s="45" t="s">
        <v>525</v>
      </c>
      <c r="G351" s="126"/>
    </row>
    <row r="352" spans="2:12">
      <c r="B352" s="125"/>
      <c r="C352" s="45" t="s">
        <v>526</v>
      </c>
      <c r="G352" s="126"/>
    </row>
    <row r="353" spans="2:9">
      <c r="B353" s="125"/>
      <c r="C353" s="45" t="s">
        <v>527</v>
      </c>
      <c r="G353" s="126"/>
    </row>
    <row r="354" spans="2:9">
      <c r="B354" s="125"/>
      <c r="G354" s="126"/>
    </row>
    <row r="355" spans="2:9">
      <c r="B355" s="125"/>
      <c r="C355" s="124" t="s">
        <v>21</v>
      </c>
      <c r="G355" s="126"/>
    </row>
    <row r="356" spans="2:9">
      <c r="B356" s="125" t="s">
        <v>336</v>
      </c>
      <c r="C356" s="45" t="s">
        <v>42</v>
      </c>
      <c r="G356" s="126"/>
    </row>
    <row r="357" spans="2:9">
      <c r="B357" s="125" t="s">
        <v>336</v>
      </c>
      <c r="C357" s="45" t="s">
        <v>148</v>
      </c>
      <c r="G357" s="126"/>
    </row>
    <row r="358" spans="2:9">
      <c r="B358" s="125" t="s">
        <v>335</v>
      </c>
      <c r="C358" s="45" t="s">
        <v>142</v>
      </c>
      <c r="G358" s="126"/>
    </row>
    <row r="359" spans="2:9">
      <c r="B359" s="125" t="s">
        <v>352</v>
      </c>
      <c r="C359" s="45" t="s">
        <v>146</v>
      </c>
      <c r="G359" s="126"/>
      <c r="I359" s="45">
        <f>7*8</f>
        <v>56</v>
      </c>
    </row>
    <row r="360" spans="2:9">
      <c r="B360" s="125" t="s">
        <v>352</v>
      </c>
      <c r="C360" s="45" t="s">
        <v>33</v>
      </c>
      <c r="G360" s="126"/>
      <c r="I360" s="45">
        <f>5*5</f>
        <v>25</v>
      </c>
    </row>
    <row r="361" spans="2:9">
      <c r="B361" s="125" t="s">
        <v>336</v>
      </c>
      <c r="C361" s="45" t="s">
        <v>19</v>
      </c>
      <c r="G361" s="126"/>
      <c r="I361" s="45">
        <f>+I360+I359</f>
        <v>81</v>
      </c>
    </row>
    <row r="362" spans="2:9">
      <c r="B362" s="125" t="s">
        <v>336</v>
      </c>
      <c r="C362" s="45" t="s">
        <v>6</v>
      </c>
      <c r="G362" s="126"/>
    </row>
    <row r="363" spans="2:9">
      <c r="B363" s="125" t="s">
        <v>336</v>
      </c>
      <c r="C363" s="45" t="s">
        <v>34</v>
      </c>
      <c r="G363" s="126"/>
    </row>
    <row r="364" spans="2:9">
      <c r="B364" s="125" t="s">
        <v>336</v>
      </c>
      <c r="C364" s="45" t="s">
        <v>139</v>
      </c>
      <c r="G364" s="126"/>
    </row>
    <row r="365" spans="2:9">
      <c r="B365" s="125"/>
      <c r="G365" s="126"/>
    </row>
    <row r="366" spans="2:9">
      <c r="B366" s="125"/>
      <c r="C366" s="44" t="s">
        <v>337</v>
      </c>
      <c r="G366" s="126"/>
    </row>
    <row r="367" spans="2:9">
      <c r="B367" s="125" t="s">
        <v>418</v>
      </c>
      <c r="C367" s="45" t="s">
        <v>139</v>
      </c>
      <c r="G367" s="126"/>
    </row>
    <row r="368" spans="2:9">
      <c r="B368" s="125" t="s">
        <v>336</v>
      </c>
      <c r="C368" s="45" t="s">
        <v>149</v>
      </c>
      <c r="G368" s="126"/>
    </row>
    <row r="369" spans="2:7">
      <c r="B369" s="125"/>
      <c r="G369" s="126"/>
    </row>
    <row r="370" spans="2:7">
      <c r="B370" s="125"/>
      <c r="C370" s="44" t="s">
        <v>401</v>
      </c>
      <c r="G370" s="126"/>
    </row>
    <row r="371" spans="2:7">
      <c r="B371" s="125"/>
      <c r="C371" s="45" t="s">
        <v>339</v>
      </c>
      <c r="G371" s="126"/>
    </row>
    <row r="372" spans="2:7" ht="13.5" thickBot="1">
      <c r="B372" s="140"/>
      <c r="C372" s="131"/>
      <c r="D372" s="131"/>
      <c r="E372" s="141"/>
      <c r="F372" s="131"/>
      <c r="G372" s="135"/>
    </row>
    <row r="374" spans="2:7" ht="13.5" thickBot="1"/>
    <row r="375" spans="2:7" ht="13.5" thickBot="1">
      <c r="B375" s="239" t="s">
        <v>528</v>
      </c>
      <c r="C375" s="240"/>
      <c r="D375" s="240"/>
      <c r="E375" s="240"/>
      <c r="F375" s="240"/>
      <c r="G375" s="241"/>
    </row>
    <row r="376" spans="2:7" ht="13.5" thickBot="1">
      <c r="B376" s="125"/>
      <c r="G376" s="126"/>
    </row>
    <row r="377" spans="2:7">
      <c r="B377" s="125"/>
      <c r="C377" s="127" t="s">
        <v>27</v>
      </c>
      <c r="D377" s="128"/>
      <c r="E377" s="128" t="s">
        <v>1</v>
      </c>
      <c r="F377" s="129">
        <v>95</v>
      </c>
      <c r="G377" s="126"/>
    </row>
    <row r="378" spans="2:7" ht="13.5" thickBot="1">
      <c r="B378" s="125"/>
      <c r="C378" s="130"/>
      <c r="D378" s="131"/>
      <c r="E378" s="131" t="s">
        <v>54</v>
      </c>
      <c r="F378" s="132">
        <v>6</v>
      </c>
      <c r="G378" s="126"/>
    </row>
    <row r="379" spans="2:7" ht="13.5" thickBot="1">
      <c r="B379" s="125"/>
      <c r="G379" s="126"/>
    </row>
    <row r="380" spans="2:7">
      <c r="B380" s="125"/>
      <c r="C380" s="127" t="s">
        <v>4</v>
      </c>
      <c r="D380" s="128"/>
      <c r="E380" s="128" t="s">
        <v>1</v>
      </c>
      <c r="F380" s="133" t="s">
        <v>427</v>
      </c>
      <c r="G380" s="126"/>
    </row>
    <row r="381" spans="2:7">
      <c r="B381" s="125"/>
      <c r="C381" s="59" t="s">
        <v>2</v>
      </c>
      <c r="E381" s="45" t="s">
        <v>326</v>
      </c>
      <c r="F381" s="126"/>
      <c r="G381" s="126"/>
    </row>
    <row r="382" spans="2:7" ht="13.5" thickBot="1">
      <c r="B382" s="125"/>
      <c r="C382" s="130" t="s">
        <v>3</v>
      </c>
      <c r="D382" s="131"/>
      <c r="E382" s="134" t="s">
        <v>529</v>
      </c>
      <c r="F382" s="135"/>
      <c r="G382" s="126"/>
    </row>
    <row r="383" spans="2:7">
      <c r="B383" s="125"/>
      <c r="G383" s="126"/>
    </row>
    <row r="384" spans="2:7" ht="13.5" thickBot="1">
      <c r="B384" s="125"/>
      <c r="G384" s="126"/>
    </row>
    <row r="385" spans="2:7" ht="13.5" thickBot="1">
      <c r="B385" s="125"/>
      <c r="C385" s="136" t="s">
        <v>29</v>
      </c>
      <c r="D385" s="137"/>
      <c r="E385" s="138" t="s">
        <v>293</v>
      </c>
      <c r="F385" s="139"/>
      <c r="G385" s="126"/>
    </row>
    <row r="386" spans="2:7">
      <c r="B386" s="125"/>
      <c r="G386" s="126"/>
    </row>
    <row r="387" spans="2:7">
      <c r="B387" s="125"/>
      <c r="C387" s="45" t="s">
        <v>5</v>
      </c>
      <c r="G387" s="126"/>
    </row>
    <row r="388" spans="2:7">
      <c r="B388" s="125"/>
      <c r="G388" s="126"/>
    </row>
    <row r="389" spans="2:7">
      <c r="B389" s="59">
        <v>1</v>
      </c>
      <c r="C389" s="45" t="s">
        <v>6</v>
      </c>
      <c r="G389" s="126"/>
    </row>
    <row r="390" spans="2:7">
      <c r="B390" s="59">
        <v>2</v>
      </c>
      <c r="C390" s="45" t="s">
        <v>147</v>
      </c>
      <c r="G390" s="126"/>
    </row>
    <row r="391" spans="2:7">
      <c r="B391" s="59">
        <v>3</v>
      </c>
      <c r="C391" s="45" t="s">
        <v>35</v>
      </c>
      <c r="G391" s="126"/>
    </row>
    <row r="392" spans="2:7">
      <c r="B392" s="59">
        <v>4</v>
      </c>
      <c r="C392" s="45" t="s">
        <v>11</v>
      </c>
      <c r="G392" s="126"/>
    </row>
    <row r="393" spans="2:7">
      <c r="B393" s="59">
        <v>5</v>
      </c>
      <c r="C393" s="45" t="s">
        <v>146</v>
      </c>
      <c r="G393" s="126"/>
    </row>
    <row r="394" spans="2:7">
      <c r="B394" s="59">
        <v>6</v>
      </c>
      <c r="C394" s="45" t="s">
        <v>143</v>
      </c>
      <c r="G394" s="126"/>
    </row>
    <row r="395" spans="2:7">
      <c r="B395" s="59">
        <v>7</v>
      </c>
      <c r="C395" s="45" t="s">
        <v>13</v>
      </c>
      <c r="G395" s="126"/>
    </row>
    <row r="396" spans="2:7">
      <c r="B396" s="59">
        <v>8</v>
      </c>
      <c r="C396" s="45" t="s">
        <v>33</v>
      </c>
      <c r="G396" s="126"/>
    </row>
    <row r="397" spans="2:7">
      <c r="B397" s="59">
        <v>9</v>
      </c>
      <c r="C397" s="45" t="s">
        <v>139</v>
      </c>
      <c r="G397" s="126"/>
    </row>
    <row r="398" spans="2:7">
      <c r="B398" s="59">
        <v>10</v>
      </c>
      <c r="C398" s="45" t="s">
        <v>145</v>
      </c>
      <c r="G398" s="126"/>
    </row>
    <row r="399" spans="2:7">
      <c r="B399" s="59">
        <v>11</v>
      </c>
      <c r="C399" s="45" t="s">
        <v>42</v>
      </c>
      <c r="G399" s="126"/>
    </row>
    <row r="400" spans="2:7">
      <c r="B400" s="59">
        <v>12</v>
      </c>
      <c r="C400" s="45" t="s">
        <v>19</v>
      </c>
      <c r="G400" s="126"/>
    </row>
    <row r="401" spans="2:8">
      <c r="B401" s="59">
        <v>13</v>
      </c>
      <c r="C401" s="45" t="s">
        <v>142</v>
      </c>
      <c r="G401" s="126"/>
    </row>
    <row r="402" spans="2:8">
      <c r="B402" s="59">
        <v>14</v>
      </c>
      <c r="C402" s="45" t="s">
        <v>34</v>
      </c>
      <c r="G402" s="126"/>
    </row>
    <row r="403" spans="2:8">
      <c r="B403" s="59">
        <v>15</v>
      </c>
      <c r="C403" s="45" t="s">
        <v>16</v>
      </c>
      <c r="G403" s="126"/>
    </row>
    <row r="404" spans="2:8">
      <c r="B404" s="125"/>
      <c r="G404" s="126"/>
    </row>
    <row r="405" spans="2:8">
      <c r="B405" s="125"/>
      <c r="C405" s="45" t="s">
        <v>530</v>
      </c>
      <c r="G405" s="126"/>
    </row>
    <row r="406" spans="2:8">
      <c r="B406" s="125"/>
      <c r="C406" s="45" t="s">
        <v>531</v>
      </c>
      <c r="G406" s="126"/>
    </row>
    <row r="407" spans="2:8">
      <c r="B407" s="125"/>
      <c r="C407" s="45" t="s">
        <v>523</v>
      </c>
      <c r="G407" s="126"/>
    </row>
    <row r="408" spans="2:8">
      <c r="B408" s="125"/>
      <c r="C408" s="45" t="s">
        <v>532</v>
      </c>
      <c r="G408" s="126"/>
    </row>
    <row r="409" spans="2:8">
      <c r="B409" s="125"/>
      <c r="C409" s="45" t="s">
        <v>533</v>
      </c>
      <c r="G409" s="126"/>
    </row>
    <row r="410" spans="2:8">
      <c r="B410" s="125"/>
      <c r="C410" s="45" t="s">
        <v>534</v>
      </c>
      <c r="G410" s="126"/>
    </row>
    <row r="411" spans="2:8">
      <c r="B411" s="125"/>
      <c r="C411" s="45" t="s">
        <v>535</v>
      </c>
      <c r="G411" s="126"/>
    </row>
    <row r="412" spans="2:8">
      <c r="B412" s="125"/>
      <c r="C412" s="45" t="s">
        <v>536</v>
      </c>
      <c r="G412" s="126"/>
    </row>
    <row r="413" spans="2:8">
      <c r="B413" s="125"/>
      <c r="G413" s="126"/>
    </row>
    <row r="414" spans="2:8">
      <c r="B414" s="125"/>
      <c r="C414" s="124" t="s">
        <v>21</v>
      </c>
      <c r="G414" s="126"/>
    </row>
    <row r="415" spans="2:8">
      <c r="B415" s="142">
        <v>1</v>
      </c>
      <c r="C415" s="45" t="s">
        <v>11</v>
      </c>
      <c r="G415" s="126"/>
    </row>
    <row r="416" spans="2:8">
      <c r="B416" s="142">
        <v>1</v>
      </c>
      <c r="C416" s="45" t="s">
        <v>16</v>
      </c>
      <c r="G416" s="126"/>
      <c r="H416" s="45">
        <f>14*5</f>
        <v>70</v>
      </c>
    </row>
    <row r="417" spans="2:8">
      <c r="B417" s="142">
        <v>3</v>
      </c>
      <c r="C417" s="45" t="s">
        <v>33</v>
      </c>
      <c r="G417" s="126"/>
      <c r="H417" s="45">
        <f>18/2</f>
        <v>9</v>
      </c>
    </row>
    <row r="418" spans="2:8">
      <c r="B418" s="142">
        <v>2</v>
      </c>
      <c r="C418" s="45" t="s">
        <v>146</v>
      </c>
      <c r="G418" s="126"/>
    </row>
    <row r="419" spans="2:8">
      <c r="B419" s="142">
        <v>4</v>
      </c>
      <c r="C419" s="45" t="s">
        <v>142</v>
      </c>
      <c r="G419" s="126"/>
    </row>
    <row r="420" spans="2:8">
      <c r="B420" s="142">
        <v>1</v>
      </c>
      <c r="C420" s="45" t="s">
        <v>35</v>
      </c>
      <c r="G420" s="126"/>
    </row>
    <row r="421" spans="2:8">
      <c r="B421" s="142">
        <v>1</v>
      </c>
      <c r="C421" s="45" t="s">
        <v>6</v>
      </c>
      <c r="G421" s="126"/>
    </row>
    <row r="422" spans="2:8">
      <c r="B422" s="142">
        <v>2</v>
      </c>
      <c r="C422" s="45" t="s">
        <v>13</v>
      </c>
      <c r="G422" s="126"/>
    </row>
    <row r="423" spans="2:8">
      <c r="B423" s="142">
        <v>1</v>
      </c>
      <c r="C423" s="45" t="s">
        <v>19</v>
      </c>
      <c r="G423" s="126"/>
    </row>
    <row r="424" spans="2:8">
      <c r="B424" s="142">
        <v>1</v>
      </c>
      <c r="C424" s="45" t="s">
        <v>458</v>
      </c>
      <c r="G424" s="126"/>
    </row>
    <row r="425" spans="2:8">
      <c r="B425" s="143"/>
      <c r="G425" s="126"/>
    </row>
    <row r="426" spans="2:8">
      <c r="B426" s="125"/>
      <c r="C426" s="44" t="s">
        <v>337</v>
      </c>
      <c r="G426" s="126"/>
    </row>
    <row r="427" spans="2:8">
      <c r="B427" s="125" t="s">
        <v>351</v>
      </c>
      <c r="C427" s="45" t="s">
        <v>139</v>
      </c>
      <c r="G427" s="126"/>
    </row>
    <row r="428" spans="2:8">
      <c r="B428" s="125"/>
      <c r="G428" s="126"/>
    </row>
    <row r="429" spans="2:8">
      <c r="B429" s="125"/>
      <c r="C429" s="44" t="s">
        <v>401</v>
      </c>
      <c r="G429" s="126"/>
    </row>
    <row r="430" spans="2:8">
      <c r="B430" s="125"/>
      <c r="C430" s="45" t="s">
        <v>13</v>
      </c>
      <c r="G430" s="126"/>
    </row>
    <row r="431" spans="2:8">
      <c r="B431" s="125"/>
      <c r="C431" s="45" t="s">
        <v>149</v>
      </c>
      <c r="G431" s="126"/>
    </row>
    <row r="432" spans="2:8" ht="13.5" thickBot="1">
      <c r="B432" s="140"/>
      <c r="C432" s="131"/>
      <c r="D432" s="131"/>
      <c r="E432" s="141"/>
      <c r="F432" s="131"/>
      <c r="G432" s="135"/>
    </row>
    <row r="434" spans="2:7" ht="13.5" thickBot="1"/>
    <row r="435" spans="2:7" ht="13.5" thickBot="1">
      <c r="B435" s="239" t="s">
        <v>537</v>
      </c>
      <c r="C435" s="240"/>
      <c r="D435" s="240"/>
      <c r="E435" s="240"/>
      <c r="F435" s="240"/>
      <c r="G435" s="241"/>
    </row>
    <row r="436" spans="2:7" ht="13.5" thickBot="1">
      <c r="B436" s="125"/>
      <c r="G436" s="126"/>
    </row>
    <row r="437" spans="2:7">
      <c r="B437" s="125"/>
      <c r="C437" s="127" t="s">
        <v>27</v>
      </c>
      <c r="D437" s="128"/>
      <c r="E437" s="128" t="s">
        <v>101</v>
      </c>
      <c r="F437" s="129">
        <v>11</v>
      </c>
      <c r="G437" s="126"/>
    </row>
    <row r="438" spans="2:7" ht="13.5" thickBot="1">
      <c r="B438" s="125"/>
      <c r="C438" s="130"/>
      <c r="D438" s="131"/>
      <c r="E438" s="131" t="s">
        <v>1</v>
      </c>
      <c r="F438" s="132">
        <v>88</v>
      </c>
      <c r="G438" s="126"/>
    </row>
    <row r="439" spans="2:7" ht="13.5" thickBot="1">
      <c r="B439" s="125"/>
      <c r="G439" s="126"/>
    </row>
    <row r="440" spans="2:7">
      <c r="B440" s="125"/>
      <c r="C440" s="127" t="s">
        <v>4</v>
      </c>
      <c r="D440" s="128"/>
      <c r="E440" s="128" t="s">
        <v>538</v>
      </c>
      <c r="F440" s="133"/>
      <c r="G440" s="126"/>
    </row>
    <row r="441" spans="2:7">
      <c r="B441" s="125"/>
      <c r="C441" s="59" t="s">
        <v>2</v>
      </c>
      <c r="E441" s="45" t="s">
        <v>326</v>
      </c>
      <c r="F441" s="126"/>
      <c r="G441" s="126"/>
    </row>
    <row r="442" spans="2:7" ht="13.5" thickBot="1">
      <c r="B442" s="125"/>
      <c r="C442" s="130" t="s">
        <v>3</v>
      </c>
      <c r="D442" s="131"/>
      <c r="E442" s="134" t="s">
        <v>529</v>
      </c>
      <c r="F442" s="135"/>
      <c r="G442" s="126"/>
    </row>
    <row r="443" spans="2:7">
      <c r="B443" s="125"/>
      <c r="G443" s="126"/>
    </row>
    <row r="444" spans="2:7" ht="13.5" thickBot="1">
      <c r="B444" s="125"/>
      <c r="G444" s="126"/>
    </row>
    <row r="445" spans="2:7" ht="13.5" thickBot="1">
      <c r="B445" s="125"/>
      <c r="C445" s="136" t="s">
        <v>29</v>
      </c>
      <c r="D445" s="137"/>
      <c r="E445" s="138" t="s">
        <v>294</v>
      </c>
      <c r="F445" s="139"/>
      <c r="G445" s="126"/>
    </row>
    <row r="446" spans="2:7">
      <c r="B446" s="125"/>
      <c r="G446" s="126"/>
    </row>
    <row r="447" spans="2:7">
      <c r="B447" s="125"/>
      <c r="C447" s="45" t="s">
        <v>5</v>
      </c>
      <c r="G447" s="126"/>
    </row>
    <row r="448" spans="2:7">
      <c r="B448" s="125"/>
      <c r="G448" s="126"/>
    </row>
    <row r="449" spans="2:7">
      <c r="B449" s="59">
        <v>1</v>
      </c>
      <c r="C449" s="45" t="s">
        <v>6</v>
      </c>
      <c r="G449" s="126"/>
    </row>
    <row r="450" spans="2:7">
      <c r="B450" s="59">
        <v>2</v>
      </c>
      <c r="C450" s="45" t="s">
        <v>147</v>
      </c>
      <c r="G450" s="126"/>
    </row>
    <row r="451" spans="2:7">
      <c r="B451" s="59">
        <v>3</v>
      </c>
      <c r="C451" s="45" t="s">
        <v>35</v>
      </c>
      <c r="G451" s="126"/>
    </row>
    <row r="452" spans="2:7">
      <c r="B452" s="59">
        <v>4</v>
      </c>
      <c r="C452" s="45" t="s">
        <v>11</v>
      </c>
      <c r="G452" s="126"/>
    </row>
    <row r="453" spans="2:7">
      <c r="B453" s="59">
        <v>5</v>
      </c>
      <c r="C453" s="45" t="s">
        <v>12</v>
      </c>
      <c r="G453" s="126"/>
    </row>
    <row r="454" spans="2:7">
      <c r="B454" s="59">
        <v>6</v>
      </c>
      <c r="C454" s="45" t="s">
        <v>34</v>
      </c>
      <c r="G454" s="126"/>
    </row>
    <row r="455" spans="2:7">
      <c r="B455" s="59">
        <v>7</v>
      </c>
      <c r="C455" s="45" t="s">
        <v>13</v>
      </c>
      <c r="G455" s="126"/>
    </row>
    <row r="456" spans="2:7">
      <c r="B456" s="59">
        <v>8</v>
      </c>
      <c r="C456" s="45" t="s">
        <v>33</v>
      </c>
      <c r="G456" s="126"/>
    </row>
    <row r="457" spans="2:7">
      <c r="B457" s="59">
        <v>9</v>
      </c>
      <c r="C457" s="45" t="s">
        <v>139</v>
      </c>
      <c r="G457" s="126"/>
    </row>
    <row r="458" spans="2:7">
      <c r="B458" s="59">
        <v>10</v>
      </c>
      <c r="C458" s="45" t="s">
        <v>145</v>
      </c>
      <c r="G458" s="126"/>
    </row>
    <row r="459" spans="2:7">
      <c r="B459" s="59">
        <v>11</v>
      </c>
      <c r="C459" s="45" t="s">
        <v>42</v>
      </c>
      <c r="G459" s="126"/>
    </row>
    <row r="460" spans="2:7">
      <c r="B460" s="59">
        <v>12</v>
      </c>
      <c r="C460" s="45" t="s">
        <v>19</v>
      </c>
      <c r="G460" s="126"/>
    </row>
    <row r="461" spans="2:7">
      <c r="B461" s="59">
        <v>13</v>
      </c>
      <c r="C461" s="45" t="s">
        <v>142</v>
      </c>
      <c r="G461" s="126"/>
    </row>
    <row r="462" spans="2:7">
      <c r="B462" s="59">
        <v>14</v>
      </c>
      <c r="C462" s="45" t="s">
        <v>144</v>
      </c>
      <c r="G462" s="126"/>
    </row>
    <row r="463" spans="2:7">
      <c r="B463" s="59">
        <v>15</v>
      </c>
      <c r="C463" s="45" t="s">
        <v>16</v>
      </c>
      <c r="G463" s="126"/>
    </row>
    <row r="464" spans="2:7">
      <c r="B464" s="125"/>
      <c r="G464" s="126"/>
    </row>
    <row r="465" spans="2:11">
      <c r="B465" s="125"/>
      <c r="C465" s="45" t="s">
        <v>539</v>
      </c>
      <c r="G465" s="126"/>
    </row>
    <row r="466" spans="2:11">
      <c r="B466" s="125"/>
      <c r="C466" s="45" t="s">
        <v>540</v>
      </c>
      <c r="G466" s="126"/>
    </row>
    <row r="467" spans="2:11">
      <c r="B467" s="125"/>
      <c r="C467" s="45" t="s">
        <v>541</v>
      </c>
      <c r="G467" s="126"/>
    </row>
    <row r="468" spans="2:11">
      <c r="B468" s="125"/>
      <c r="C468" s="45" t="s">
        <v>542</v>
      </c>
      <c r="G468" s="126"/>
    </row>
    <row r="469" spans="2:11">
      <c r="B469" s="125"/>
      <c r="C469" s="45" t="s">
        <v>543</v>
      </c>
      <c r="G469" s="126"/>
    </row>
    <row r="470" spans="2:11">
      <c r="B470" s="125"/>
      <c r="C470" s="45" t="s">
        <v>544</v>
      </c>
      <c r="G470" s="126"/>
    </row>
    <row r="471" spans="2:11">
      <c r="B471" s="125"/>
      <c r="G471" s="126"/>
    </row>
    <row r="472" spans="2:11">
      <c r="B472" s="125"/>
      <c r="C472" s="124" t="s">
        <v>21</v>
      </c>
      <c r="G472" s="126"/>
    </row>
    <row r="473" spans="2:11">
      <c r="B473" s="142">
        <v>1</v>
      </c>
      <c r="C473" s="45" t="s">
        <v>139</v>
      </c>
      <c r="G473" s="126"/>
    </row>
    <row r="474" spans="2:11">
      <c r="B474" s="142">
        <v>2</v>
      </c>
      <c r="C474" s="45" t="s">
        <v>145</v>
      </c>
      <c r="G474" s="126"/>
      <c r="K474" s="45">
        <v>7</v>
      </c>
    </row>
    <row r="475" spans="2:11">
      <c r="B475" s="142">
        <v>4</v>
      </c>
      <c r="C475" s="45" t="s">
        <v>33</v>
      </c>
      <c r="G475" s="126"/>
      <c r="K475" s="45">
        <v>7</v>
      </c>
    </row>
    <row r="476" spans="2:11">
      <c r="B476" s="142">
        <v>2</v>
      </c>
      <c r="C476" s="45" t="s">
        <v>19</v>
      </c>
      <c r="G476" s="126"/>
      <c r="K476" s="45">
        <v>5</v>
      </c>
    </row>
    <row r="477" spans="2:11">
      <c r="B477" s="142">
        <v>1</v>
      </c>
      <c r="C477" s="45" t="s">
        <v>149</v>
      </c>
      <c r="G477" s="126"/>
      <c r="I477" s="45">
        <f>14*5</f>
        <v>70</v>
      </c>
      <c r="K477" s="45">
        <v>7</v>
      </c>
    </row>
    <row r="478" spans="2:11">
      <c r="B478" s="142">
        <v>1</v>
      </c>
      <c r="C478" s="45" t="s">
        <v>146</v>
      </c>
      <c r="G478" s="126"/>
      <c r="I478" s="45">
        <f>9*2</f>
        <v>18</v>
      </c>
      <c r="K478" s="45">
        <v>7</v>
      </c>
    </row>
    <row r="479" spans="2:11">
      <c r="B479" s="142">
        <v>1</v>
      </c>
      <c r="C479" s="45" t="s">
        <v>155</v>
      </c>
      <c r="G479" s="126"/>
      <c r="I479" s="45">
        <f>+I478+I477</f>
        <v>88</v>
      </c>
      <c r="K479" s="45">
        <v>7</v>
      </c>
    </row>
    <row r="480" spans="2:11">
      <c r="B480" s="142">
        <v>1</v>
      </c>
      <c r="C480" s="45" t="s">
        <v>142</v>
      </c>
      <c r="G480" s="126"/>
      <c r="K480" s="45">
        <v>7</v>
      </c>
    </row>
    <row r="481" spans="2:11">
      <c r="B481" s="142">
        <v>1</v>
      </c>
      <c r="C481" s="45" t="s">
        <v>59</v>
      </c>
      <c r="G481" s="126"/>
      <c r="K481" s="45">
        <v>5</v>
      </c>
    </row>
    <row r="482" spans="2:11">
      <c r="B482" s="143"/>
      <c r="G482" s="126"/>
      <c r="K482" s="45">
        <v>7</v>
      </c>
    </row>
    <row r="483" spans="2:11">
      <c r="B483" s="125"/>
      <c r="C483" s="44" t="s">
        <v>337</v>
      </c>
      <c r="G483" s="126"/>
      <c r="K483" s="45">
        <v>5</v>
      </c>
    </row>
    <row r="484" spans="2:11">
      <c r="B484" s="125" t="s">
        <v>381</v>
      </c>
      <c r="C484" s="45" t="s">
        <v>139</v>
      </c>
      <c r="G484" s="126"/>
      <c r="K484" s="45">
        <v>7</v>
      </c>
    </row>
    <row r="485" spans="2:11">
      <c r="B485" s="125"/>
      <c r="G485" s="126"/>
      <c r="K485" s="45">
        <v>5</v>
      </c>
    </row>
    <row r="486" spans="2:11">
      <c r="B486" s="125"/>
      <c r="C486" s="44" t="s">
        <v>401</v>
      </c>
      <c r="G486" s="126"/>
      <c r="K486" s="45">
        <v>5</v>
      </c>
    </row>
    <row r="487" spans="2:11">
      <c r="B487" s="125"/>
      <c r="C487" s="45" t="s">
        <v>339</v>
      </c>
      <c r="G487" s="126"/>
      <c r="K487" s="45">
        <v>7</v>
      </c>
    </row>
    <row r="488" spans="2:11" ht="13.5" thickBot="1">
      <c r="B488" s="140"/>
      <c r="C488" s="131"/>
      <c r="D488" s="131"/>
      <c r="E488" s="141"/>
      <c r="F488" s="131"/>
      <c r="G488" s="135"/>
      <c r="K488" s="45">
        <f>SUM(K474:K487)</f>
        <v>88</v>
      </c>
    </row>
    <row r="490" spans="2:11" ht="13.5" thickBot="1"/>
    <row r="491" spans="2:11" ht="13.5" thickBot="1">
      <c r="B491" s="239" t="s">
        <v>545</v>
      </c>
      <c r="C491" s="240"/>
      <c r="D491" s="240"/>
      <c r="E491" s="240"/>
      <c r="F491" s="240"/>
      <c r="G491" s="241"/>
    </row>
    <row r="492" spans="2:11" ht="13.5" thickBot="1">
      <c r="B492" s="125"/>
      <c r="G492" s="126"/>
    </row>
    <row r="493" spans="2:11">
      <c r="B493" s="125"/>
      <c r="C493" s="127" t="s">
        <v>27</v>
      </c>
      <c r="D493" s="128"/>
      <c r="E493" s="128" t="s">
        <v>30</v>
      </c>
      <c r="F493" s="129">
        <v>3</v>
      </c>
      <c r="G493" s="126"/>
    </row>
    <row r="494" spans="2:11" ht="13.5" thickBot="1">
      <c r="B494" s="125"/>
      <c r="C494" s="130"/>
      <c r="D494" s="131"/>
      <c r="E494" s="131" t="s">
        <v>1</v>
      </c>
      <c r="F494" s="132">
        <v>33</v>
      </c>
      <c r="G494" s="126"/>
    </row>
    <row r="495" spans="2:11" ht="13.5" thickBot="1">
      <c r="B495" s="125"/>
      <c r="G495" s="126"/>
    </row>
    <row r="496" spans="2:11">
      <c r="B496" s="125"/>
      <c r="C496" s="127" t="s">
        <v>4</v>
      </c>
      <c r="D496" s="128"/>
      <c r="E496" s="128" t="s">
        <v>30</v>
      </c>
      <c r="F496" s="133"/>
      <c r="G496" s="126"/>
    </row>
    <row r="497" spans="2:7">
      <c r="B497" s="125"/>
      <c r="C497" s="59" t="s">
        <v>2</v>
      </c>
      <c r="E497" s="45" t="s">
        <v>326</v>
      </c>
      <c r="F497" s="126"/>
      <c r="G497" s="126"/>
    </row>
    <row r="498" spans="2:7" ht="13.5" thickBot="1">
      <c r="B498" s="125"/>
      <c r="C498" s="130" t="s">
        <v>3</v>
      </c>
      <c r="D498" s="131"/>
      <c r="E498" s="134" t="s">
        <v>354</v>
      </c>
      <c r="F498" s="135"/>
      <c r="G498" s="126"/>
    </row>
    <row r="499" spans="2:7">
      <c r="B499" s="125"/>
      <c r="G499" s="126"/>
    </row>
    <row r="500" spans="2:7" ht="13.5" thickBot="1">
      <c r="B500" s="125"/>
      <c r="G500" s="126"/>
    </row>
    <row r="501" spans="2:7" ht="13.5" thickBot="1">
      <c r="B501" s="125"/>
      <c r="C501" s="136" t="s">
        <v>29</v>
      </c>
      <c r="D501" s="137"/>
      <c r="E501" s="138" t="s">
        <v>295</v>
      </c>
      <c r="F501" s="139"/>
      <c r="G501" s="126"/>
    </row>
    <row r="502" spans="2:7">
      <c r="B502" s="125"/>
      <c r="G502" s="126"/>
    </row>
    <row r="503" spans="2:7">
      <c r="B503" s="125"/>
      <c r="C503" s="45" t="s">
        <v>5</v>
      </c>
      <c r="G503" s="126"/>
    </row>
    <row r="504" spans="2:7">
      <c r="B504" s="125"/>
      <c r="G504" s="126"/>
    </row>
    <row r="505" spans="2:7">
      <c r="B505" s="59">
        <v>1</v>
      </c>
      <c r="C505" s="45" t="s">
        <v>6</v>
      </c>
      <c r="G505" s="126"/>
    </row>
    <row r="506" spans="2:7">
      <c r="B506" s="59">
        <v>2</v>
      </c>
      <c r="C506" s="45" t="s">
        <v>147</v>
      </c>
      <c r="G506" s="126"/>
    </row>
    <row r="507" spans="2:7">
      <c r="B507" s="59">
        <v>3</v>
      </c>
      <c r="C507" s="45" t="s">
        <v>35</v>
      </c>
      <c r="G507" s="126"/>
    </row>
    <row r="508" spans="2:7">
      <c r="B508" s="59">
        <v>4</v>
      </c>
      <c r="C508" s="45" t="s">
        <v>11</v>
      </c>
      <c r="G508" s="126"/>
    </row>
    <row r="509" spans="2:7">
      <c r="B509" s="59">
        <v>5</v>
      </c>
      <c r="C509" s="45" t="s">
        <v>12</v>
      </c>
      <c r="G509" s="126"/>
    </row>
    <row r="510" spans="2:7">
      <c r="B510" s="59">
        <v>6</v>
      </c>
      <c r="C510" s="45" t="s">
        <v>155</v>
      </c>
      <c r="G510" s="126"/>
    </row>
    <row r="511" spans="2:7">
      <c r="B511" s="59">
        <v>7</v>
      </c>
      <c r="C511" s="45" t="s">
        <v>13</v>
      </c>
      <c r="G511" s="126"/>
    </row>
    <row r="512" spans="2:7">
      <c r="B512" s="59">
        <v>8</v>
      </c>
      <c r="C512" s="45" t="s">
        <v>33</v>
      </c>
      <c r="G512" s="126"/>
    </row>
    <row r="513" spans="2:7">
      <c r="B513" s="59">
        <v>9</v>
      </c>
      <c r="C513" s="45" t="s">
        <v>139</v>
      </c>
      <c r="G513" s="126"/>
    </row>
    <row r="514" spans="2:7">
      <c r="B514" s="59">
        <v>10</v>
      </c>
      <c r="C514" s="45" t="s">
        <v>145</v>
      </c>
      <c r="G514" s="126"/>
    </row>
    <row r="515" spans="2:7">
      <c r="B515" s="59">
        <v>11</v>
      </c>
      <c r="C515" s="45" t="s">
        <v>42</v>
      </c>
      <c r="G515" s="126"/>
    </row>
    <row r="516" spans="2:7">
      <c r="B516" s="59">
        <v>12</v>
      </c>
      <c r="C516" s="45" t="s">
        <v>19</v>
      </c>
      <c r="G516" s="126"/>
    </row>
    <row r="517" spans="2:7">
      <c r="B517" s="59">
        <v>13</v>
      </c>
      <c r="C517" s="45" t="s">
        <v>142</v>
      </c>
      <c r="G517" s="126"/>
    </row>
    <row r="518" spans="2:7">
      <c r="B518" s="59">
        <v>14</v>
      </c>
      <c r="C518" s="45" t="s">
        <v>34</v>
      </c>
      <c r="G518" s="126"/>
    </row>
    <row r="519" spans="2:7">
      <c r="B519" s="59">
        <v>15</v>
      </c>
      <c r="C519" s="45" t="s">
        <v>16</v>
      </c>
      <c r="G519" s="126"/>
    </row>
    <row r="520" spans="2:7">
      <c r="B520" s="125"/>
      <c r="G520" s="126"/>
    </row>
    <row r="521" spans="2:7">
      <c r="B521" s="125"/>
      <c r="C521" s="45" t="s">
        <v>546</v>
      </c>
      <c r="G521" s="126"/>
    </row>
    <row r="522" spans="2:7">
      <c r="B522" s="125"/>
      <c r="C522" s="45" t="s">
        <v>547</v>
      </c>
      <c r="G522" s="126"/>
    </row>
    <row r="523" spans="2:7">
      <c r="B523" s="125"/>
      <c r="G523" s="126"/>
    </row>
    <row r="524" spans="2:7">
      <c r="B524" s="125"/>
      <c r="C524" s="124" t="s">
        <v>21</v>
      </c>
      <c r="G524" s="126"/>
    </row>
    <row r="525" spans="2:7">
      <c r="B525" s="142">
        <v>2</v>
      </c>
      <c r="C525" s="45" t="s">
        <v>42</v>
      </c>
      <c r="G525" s="126"/>
    </row>
    <row r="526" spans="2:7">
      <c r="B526" s="142">
        <v>1</v>
      </c>
      <c r="C526" s="45" t="s">
        <v>16</v>
      </c>
      <c r="G526" s="126"/>
    </row>
    <row r="527" spans="2:7">
      <c r="B527" s="142">
        <v>1</v>
      </c>
      <c r="C527" s="45" t="s">
        <v>33</v>
      </c>
      <c r="G527" s="126"/>
    </row>
    <row r="528" spans="2:7">
      <c r="B528" s="142">
        <v>1</v>
      </c>
      <c r="C528" s="45" t="s">
        <v>142</v>
      </c>
      <c r="G528" s="126"/>
    </row>
    <row r="529" spans="2:9">
      <c r="B529" s="143"/>
      <c r="G529" s="126"/>
    </row>
    <row r="530" spans="2:9">
      <c r="B530" s="125"/>
      <c r="C530" s="44" t="s">
        <v>337</v>
      </c>
      <c r="G530" s="126"/>
    </row>
    <row r="531" spans="2:9">
      <c r="B531" s="125" t="s">
        <v>338</v>
      </c>
      <c r="C531" s="45" t="s">
        <v>139</v>
      </c>
      <c r="G531" s="126"/>
    </row>
    <row r="532" spans="2:9">
      <c r="B532" s="125"/>
      <c r="G532" s="126"/>
    </row>
    <row r="533" spans="2:9">
      <c r="B533" s="125"/>
      <c r="C533" s="44" t="s">
        <v>401</v>
      </c>
      <c r="G533" s="126"/>
    </row>
    <row r="534" spans="2:9">
      <c r="B534" s="125"/>
      <c r="C534" s="45" t="s">
        <v>155</v>
      </c>
      <c r="G534" s="126"/>
    </row>
    <row r="535" spans="2:9" ht="13.5" thickBot="1">
      <c r="B535" s="140"/>
      <c r="C535" s="131"/>
      <c r="D535" s="131"/>
      <c r="E535" s="141"/>
      <c r="F535" s="131"/>
      <c r="G535" s="135"/>
    </row>
    <row r="537" spans="2:9" ht="13.5" thickBot="1"/>
    <row r="538" spans="2:9" ht="13.5" thickBot="1">
      <c r="B538" s="239" t="s">
        <v>548</v>
      </c>
      <c r="C538" s="240"/>
      <c r="D538" s="240"/>
      <c r="E538" s="240"/>
      <c r="F538" s="240"/>
      <c r="G538" s="241"/>
    </row>
    <row r="539" spans="2:9" ht="13.5" thickBot="1">
      <c r="B539" s="125"/>
      <c r="G539" s="126"/>
    </row>
    <row r="540" spans="2:9">
      <c r="B540" s="125"/>
      <c r="C540" s="127" t="s">
        <v>27</v>
      </c>
      <c r="D540" s="128"/>
      <c r="E540" s="128" t="s">
        <v>1</v>
      </c>
      <c r="F540" s="129">
        <v>32</v>
      </c>
      <c r="G540" s="126"/>
      <c r="H540" s="45">
        <f>+F541+F593+F641+F688+F741+F790+F847+F895+F951+F1002</f>
        <v>308</v>
      </c>
      <c r="I540" s="45">
        <v>33</v>
      </c>
    </row>
    <row r="541" spans="2:9" ht="13.5" thickBot="1">
      <c r="B541" s="125"/>
      <c r="C541" s="130"/>
      <c r="D541" s="131"/>
      <c r="E541" s="131" t="s">
        <v>40</v>
      </c>
      <c r="F541" s="132">
        <v>6</v>
      </c>
      <c r="G541" s="126"/>
      <c r="H541" s="45">
        <f>+F540+F594+F640+F689+F740+F791+F846+F896+F950+F1003</f>
        <v>176</v>
      </c>
      <c r="I541" s="45">
        <v>16</v>
      </c>
    </row>
    <row r="542" spans="2:9" ht="13.5" thickBot="1">
      <c r="B542" s="125"/>
      <c r="G542" s="126"/>
    </row>
    <row r="543" spans="2:9">
      <c r="B543" s="125"/>
      <c r="C543" s="127" t="s">
        <v>4</v>
      </c>
      <c r="D543" s="128"/>
      <c r="E543" s="128" t="s">
        <v>1</v>
      </c>
      <c r="F543" s="133" t="s">
        <v>549</v>
      </c>
      <c r="G543" s="126"/>
    </row>
    <row r="544" spans="2:9">
      <c r="B544" s="125"/>
      <c r="C544" s="59" t="s">
        <v>2</v>
      </c>
      <c r="E544" s="45" t="s">
        <v>404</v>
      </c>
      <c r="F544" s="126"/>
      <c r="G544" s="126"/>
    </row>
    <row r="545" spans="2:7" ht="13.5" thickBot="1">
      <c r="B545" s="125"/>
      <c r="C545" s="130" t="s">
        <v>3</v>
      </c>
      <c r="D545" s="131"/>
      <c r="E545" s="134" t="s">
        <v>326</v>
      </c>
      <c r="F545" s="135"/>
      <c r="G545" s="126"/>
    </row>
    <row r="546" spans="2:7">
      <c r="B546" s="125"/>
      <c r="G546" s="126"/>
    </row>
    <row r="547" spans="2:7" ht="13.5" thickBot="1">
      <c r="B547" s="125"/>
      <c r="G547" s="126"/>
    </row>
    <row r="548" spans="2:7" ht="13.5" thickBot="1">
      <c r="B548" s="125"/>
      <c r="C548" s="136" t="s">
        <v>29</v>
      </c>
      <c r="D548" s="137"/>
      <c r="E548" s="138" t="s">
        <v>249</v>
      </c>
      <c r="F548" s="139"/>
      <c r="G548" s="126"/>
    </row>
    <row r="549" spans="2:7">
      <c r="B549" s="125"/>
      <c r="G549" s="126"/>
    </row>
    <row r="550" spans="2:7">
      <c r="B550" s="125"/>
      <c r="C550" s="45" t="s">
        <v>5</v>
      </c>
      <c r="G550" s="126"/>
    </row>
    <row r="551" spans="2:7">
      <c r="B551" s="125"/>
      <c r="G551" s="126"/>
    </row>
    <row r="552" spans="2:7">
      <c r="B552" s="59">
        <v>1</v>
      </c>
      <c r="C552" s="45" t="s">
        <v>6</v>
      </c>
      <c r="G552" s="126"/>
    </row>
    <row r="553" spans="2:7">
      <c r="B553" s="59">
        <v>2</v>
      </c>
      <c r="C553" s="45" t="s">
        <v>7</v>
      </c>
      <c r="G553" s="126"/>
    </row>
    <row r="554" spans="2:7">
      <c r="B554" s="59">
        <v>3</v>
      </c>
      <c r="C554" s="45" t="s">
        <v>35</v>
      </c>
      <c r="G554" s="126"/>
    </row>
    <row r="555" spans="2:7">
      <c r="B555" s="59">
        <v>4</v>
      </c>
      <c r="C555" s="45" t="s">
        <v>11</v>
      </c>
      <c r="G555" s="126"/>
    </row>
    <row r="556" spans="2:7">
      <c r="B556" s="59">
        <v>5</v>
      </c>
      <c r="C556" s="45" t="s">
        <v>12</v>
      </c>
      <c r="G556" s="126"/>
    </row>
    <row r="557" spans="2:7">
      <c r="B557" s="59">
        <v>6</v>
      </c>
      <c r="C557" s="45" t="s">
        <v>155</v>
      </c>
      <c r="G557" s="126"/>
    </row>
    <row r="558" spans="2:7">
      <c r="B558" s="59">
        <v>7</v>
      </c>
      <c r="C558" s="45" t="s">
        <v>13</v>
      </c>
      <c r="G558" s="126"/>
    </row>
    <row r="559" spans="2:7">
      <c r="B559" s="59">
        <v>8</v>
      </c>
      <c r="C559" s="45" t="s">
        <v>33</v>
      </c>
      <c r="G559" s="126"/>
    </row>
    <row r="560" spans="2:7">
      <c r="B560" s="59">
        <v>9</v>
      </c>
      <c r="C560" s="45" t="s">
        <v>139</v>
      </c>
      <c r="G560" s="126"/>
    </row>
    <row r="561" spans="2:7">
      <c r="B561" s="59">
        <v>10</v>
      </c>
      <c r="C561" s="45" t="s">
        <v>145</v>
      </c>
      <c r="G561" s="126"/>
    </row>
    <row r="562" spans="2:7">
      <c r="B562" s="59">
        <v>11</v>
      </c>
      <c r="C562" s="45" t="s">
        <v>42</v>
      </c>
      <c r="G562" s="126"/>
    </row>
    <row r="563" spans="2:7">
      <c r="B563" s="59">
        <v>12</v>
      </c>
      <c r="C563" s="45" t="s">
        <v>19</v>
      </c>
      <c r="G563" s="126"/>
    </row>
    <row r="564" spans="2:7">
      <c r="B564" s="59">
        <v>13</v>
      </c>
      <c r="C564" s="45" t="s">
        <v>142</v>
      </c>
      <c r="G564" s="126"/>
    </row>
    <row r="565" spans="2:7">
      <c r="B565" s="59">
        <v>14</v>
      </c>
      <c r="C565" s="45" t="s">
        <v>34</v>
      </c>
      <c r="G565" s="126"/>
    </row>
    <row r="566" spans="2:7">
      <c r="B566" s="59">
        <v>15</v>
      </c>
      <c r="C566" s="45" t="s">
        <v>16</v>
      </c>
      <c r="G566" s="126"/>
    </row>
    <row r="567" spans="2:7">
      <c r="B567" s="125"/>
      <c r="G567" s="126"/>
    </row>
    <row r="568" spans="2:7">
      <c r="B568" s="125"/>
      <c r="C568" s="45" t="s">
        <v>550</v>
      </c>
      <c r="G568" s="126"/>
    </row>
    <row r="569" spans="2:7">
      <c r="B569" s="125"/>
      <c r="C569" s="45" t="s">
        <v>523</v>
      </c>
      <c r="G569" s="126"/>
    </row>
    <row r="570" spans="2:7">
      <c r="B570" s="125"/>
      <c r="C570" s="45" t="s">
        <v>541</v>
      </c>
      <c r="G570" s="126"/>
    </row>
    <row r="571" spans="2:7">
      <c r="B571" s="125"/>
      <c r="C571" s="45" t="s">
        <v>551</v>
      </c>
      <c r="G571" s="126"/>
    </row>
    <row r="572" spans="2:7">
      <c r="B572" s="125"/>
      <c r="C572" s="45" t="s">
        <v>552</v>
      </c>
      <c r="G572" s="126"/>
    </row>
    <row r="573" spans="2:7">
      <c r="B573" s="125"/>
      <c r="G573" s="126"/>
    </row>
    <row r="574" spans="2:7">
      <c r="B574" s="125"/>
      <c r="C574" s="124" t="s">
        <v>21</v>
      </c>
      <c r="G574" s="126"/>
    </row>
    <row r="575" spans="2:7">
      <c r="B575" s="142">
        <v>1</v>
      </c>
      <c r="C575" s="45" t="s">
        <v>33</v>
      </c>
      <c r="G575" s="126"/>
    </row>
    <row r="576" spans="2:7">
      <c r="B576" s="142">
        <v>2</v>
      </c>
      <c r="C576" s="45" t="s">
        <v>16</v>
      </c>
      <c r="G576" s="126"/>
    </row>
    <row r="577" spans="2:7">
      <c r="B577" s="142">
        <v>1</v>
      </c>
      <c r="C577" s="45" t="s">
        <v>139</v>
      </c>
      <c r="G577" s="126"/>
    </row>
    <row r="578" spans="2:7">
      <c r="B578" s="142">
        <v>1</v>
      </c>
      <c r="C578" s="45" t="s">
        <v>42</v>
      </c>
      <c r="G578" s="126"/>
    </row>
    <row r="579" spans="2:7">
      <c r="B579" s="142"/>
      <c r="G579" s="126"/>
    </row>
    <row r="580" spans="2:7">
      <c r="B580" s="125"/>
      <c r="C580" s="44" t="s">
        <v>22</v>
      </c>
      <c r="G580" s="126"/>
    </row>
    <row r="581" spans="2:7">
      <c r="B581" s="125" t="s">
        <v>336</v>
      </c>
      <c r="C581" s="45" t="s">
        <v>139</v>
      </c>
      <c r="G581" s="126"/>
    </row>
    <row r="582" spans="2:7">
      <c r="B582" s="125"/>
      <c r="G582" s="126"/>
    </row>
    <row r="583" spans="2:7">
      <c r="B583" s="125"/>
      <c r="C583" s="44" t="s">
        <v>337</v>
      </c>
      <c r="G583" s="126"/>
    </row>
    <row r="584" spans="2:7">
      <c r="B584" s="125" t="s">
        <v>352</v>
      </c>
      <c r="C584" s="45" t="s">
        <v>139</v>
      </c>
      <c r="G584" s="126"/>
    </row>
    <row r="585" spans="2:7">
      <c r="B585" s="125"/>
      <c r="G585" s="126"/>
    </row>
    <row r="586" spans="2:7">
      <c r="B586" s="125"/>
      <c r="C586" s="44" t="s">
        <v>401</v>
      </c>
      <c r="G586" s="126"/>
    </row>
    <row r="587" spans="2:7">
      <c r="B587" s="125"/>
      <c r="C587" s="45" t="s">
        <v>13</v>
      </c>
      <c r="G587" s="126"/>
    </row>
    <row r="588" spans="2:7" ht="13.5" thickBot="1">
      <c r="B588" s="140"/>
      <c r="C588" s="131"/>
      <c r="D588" s="131"/>
      <c r="E588" s="141"/>
      <c r="F588" s="131"/>
      <c r="G588" s="135"/>
    </row>
    <row r="590" spans="2:7" ht="13.5" thickBot="1"/>
    <row r="591" spans="2:7" ht="13.5" thickBot="1">
      <c r="B591" s="239" t="s">
        <v>553</v>
      </c>
      <c r="C591" s="240"/>
      <c r="D591" s="240"/>
      <c r="E591" s="240"/>
      <c r="F591" s="240"/>
      <c r="G591" s="241"/>
    </row>
    <row r="592" spans="2:7" ht="13.5" thickBot="1">
      <c r="B592" s="125"/>
      <c r="G592" s="126"/>
    </row>
    <row r="593" spans="2:7">
      <c r="B593" s="125"/>
      <c r="C593" s="127" t="s">
        <v>27</v>
      </c>
      <c r="D593" s="128"/>
      <c r="E593" s="128" t="s">
        <v>1</v>
      </c>
      <c r="F593" s="129">
        <v>11</v>
      </c>
      <c r="G593" s="126"/>
    </row>
    <row r="594" spans="2:7" ht="13.5" thickBot="1">
      <c r="B594" s="125"/>
      <c r="C594" s="130"/>
      <c r="D594" s="131"/>
      <c r="E594" s="131" t="s">
        <v>64</v>
      </c>
      <c r="F594" s="132">
        <v>13</v>
      </c>
      <c r="G594" s="126"/>
    </row>
    <row r="595" spans="2:7" ht="13.5" thickBot="1">
      <c r="B595" s="125"/>
      <c r="G595" s="126"/>
    </row>
    <row r="596" spans="2:7">
      <c r="B596" s="125"/>
      <c r="C596" s="127" t="s">
        <v>4</v>
      </c>
      <c r="D596" s="128"/>
      <c r="E596" s="128" t="s">
        <v>1</v>
      </c>
      <c r="F596" s="133" t="s">
        <v>205</v>
      </c>
      <c r="G596" s="126"/>
    </row>
    <row r="597" spans="2:7">
      <c r="B597" s="125"/>
      <c r="C597" s="59" t="s">
        <v>2</v>
      </c>
      <c r="E597" s="45" t="s">
        <v>404</v>
      </c>
      <c r="F597" s="126"/>
      <c r="G597" s="126"/>
    </row>
    <row r="598" spans="2:7" ht="13.5" thickBot="1">
      <c r="B598" s="125"/>
      <c r="C598" s="130" t="s">
        <v>3</v>
      </c>
      <c r="D598" s="131"/>
      <c r="E598" s="134" t="s">
        <v>326</v>
      </c>
      <c r="F598" s="135"/>
      <c r="G598" s="126"/>
    </row>
    <row r="599" spans="2:7">
      <c r="B599" s="125"/>
      <c r="G599" s="126"/>
    </row>
    <row r="600" spans="2:7" ht="13.5" thickBot="1">
      <c r="B600" s="125"/>
      <c r="G600" s="126"/>
    </row>
    <row r="601" spans="2:7" ht="13.5" thickBot="1">
      <c r="B601" s="125"/>
      <c r="C601" s="136" t="s">
        <v>29</v>
      </c>
      <c r="D601" s="137"/>
      <c r="E601" s="138" t="s">
        <v>296</v>
      </c>
      <c r="F601" s="139"/>
      <c r="G601" s="126"/>
    </row>
    <row r="602" spans="2:7">
      <c r="B602" s="125"/>
      <c r="G602" s="126"/>
    </row>
    <row r="603" spans="2:7">
      <c r="B603" s="125"/>
      <c r="C603" s="45" t="s">
        <v>5</v>
      </c>
      <c r="G603" s="126"/>
    </row>
    <row r="604" spans="2:7">
      <c r="B604" s="125"/>
      <c r="G604" s="126"/>
    </row>
    <row r="605" spans="2:7">
      <c r="B605" s="59">
        <v>1</v>
      </c>
      <c r="C605" s="45" t="s">
        <v>6</v>
      </c>
      <c r="G605" s="126"/>
    </row>
    <row r="606" spans="2:7">
      <c r="B606" s="59">
        <v>2</v>
      </c>
      <c r="C606" s="45" t="s">
        <v>7</v>
      </c>
      <c r="G606" s="126"/>
    </row>
    <row r="607" spans="2:7">
      <c r="B607" s="59">
        <v>3</v>
      </c>
      <c r="C607" s="45" t="s">
        <v>35</v>
      </c>
      <c r="G607" s="126"/>
    </row>
    <row r="608" spans="2:7">
      <c r="B608" s="59">
        <v>4</v>
      </c>
      <c r="C608" s="45" t="s">
        <v>11</v>
      </c>
      <c r="G608" s="126"/>
    </row>
    <row r="609" spans="2:7">
      <c r="B609" s="59">
        <v>5</v>
      </c>
      <c r="C609" s="45" t="s">
        <v>12</v>
      </c>
      <c r="G609" s="126"/>
    </row>
    <row r="610" spans="2:7">
      <c r="B610" s="59">
        <v>6</v>
      </c>
      <c r="C610" s="45" t="s">
        <v>155</v>
      </c>
      <c r="G610" s="126"/>
    </row>
    <row r="611" spans="2:7">
      <c r="B611" s="59">
        <v>7</v>
      </c>
      <c r="C611" s="45" t="s">
        <v>13</v>
      </c>
      <c r="G611" s="126"/>
    </row>
    <row r="612" spans="2:7">
      <c r="B612" s="59">
        <v>8</v>
      </c>
      <c r="C612" s="45" t="s">
        <v>33</v>
      </c>
      <c r="G612" s="126"/>
    </row>
    <row r="613" spans="2:7">
      <c r="B613" s="59">
        <v>9</v>
      </c>
      <c r="C613" s="45" t="s">
        <v>139</v>
      </c>
      <c r="G613" s="126"/>
    </row>
    <row r="614" spans="2:7">
      <c r="B614" s="59">
        <v>10</v>
      </c>
      <c r="C614" s="45" t="s">
        <v>145</v>
      </c>
      <c r="G614" s="126"/>
    </row>
    <row r="615" spans="2:7">
      <c r="B615" s="59">
        <v>11</v>
      </c>
      <c r="C615" s="45" t="s">
        <v>42</v>
      </c>
      <c r="G615" s="126"/>
    </row>
    <row r="616" spans="2:7">
      <c r="B616" s="59">
        <v>12</v>
      </c>
      <c r="C616" s="45" t="s">
        <v>19</v>
      </c>
      <c r="G616" s="126"/>
    </row>
    <row r="617" spans="2:7">
      <c r="B617" s="59">
        <v>13</v>
      </c>
      <c r="C617" s="45" t="s">
        <v>142</v>
      </c>
      <c r="G617" s="126"/>
    </row>
    <row r="618" spans="2:7">
      <c r="B618" s="59">
        <v>14</v>
      </c>
      <c r="C618" s="45" t="s">
        <v>34</v>
      </c>
      <c r="G618" s="126"/>
    </row>
    <row r="619" spans="2:7">
      <c r="B619" s="59">
        <v>15</v>
      </c>
      <c r="C619" s="45" t="s">
        <v>16</v>
      </c>
      <c r="G619" s="126"/>
    </row>
    <row r="620" spans="2:7">
      <c r="B620" s="125"/>
      <c r="G620" s="126"/>
    </row>
    <row r="621" spans="2:7">
      <c r="B621" s="125"/>
      <c r="C621" s="45" t="s">
        <v>554</v>
      </c>
      <c r="G621" s="126"/>
    </row>
    <row r="622" spans="2:7">
      <c r="B622" s="125"/>
      <c r="C622" s="45" t="s">
        <v>555</v>
      </c>
      <c r="G622" s="126"/>
    </row>
    <row r="623" spans="2:7">
      <c r="B623" s="125"/>
      <c r="C623" s="45" t="s">
        <v>536</v>
      </c>
      <c r="G623" s="126"/>
    </row>
    <row r="624" spans="2:7">
      <c r="B624" s="125"/>
      <c r="G624" s="126"/>
    </row>
    <row r="625" spans="2:7">
      <c r="B625" s="125"/>
      <c r="C625" s="124" t="s">
        <v>21</v>
      </c>
      <c r="G625" s="126"/>
    </row>
    <row r="626" spans="2:7">
      <c r="B626" s="142">
        <v>1</v>
      </c>
      <c r="C626" s="45" t="s">
        <v>139</v>
      </c>
      <c r="G626" s="126"/>
    </row>
    <row r="627" spans="2:7">
      <c r="B627" s="143"/>
      <c r="G627" s="126"/>
    </row>
    <row r="628" spans="2:7">
      <c r="B628" s="125"/>
      <c r="C628" s="44" t="s">
        <v>22</v>
      </c>
      <c r="G628" s="126"/>
    </row>
    <row r="629" spans="2:7">
      <c r="B629" s="125" t="s">
        <v>352</v>
      </c>
      <c r="C629" s="45" t="s">
        <v>139</v>
      </c>
      <c r="G629" s="126"/>
    </row>
    <row r="630" spans="2:7">
      <c r="B630" s="125"/>
      <c r="G630" s="126"/>
    </row>
    <row r="631" spans="2:7">
      <c r="B631" s="125"/>
      <c r="C631" s="44" t="s">
        <v>401</v>
      </c>
      <c r="G631" s="126"/>
    </row>
    <row r="632" spans="2:7">
      <c r="B632" s="125" t="s">
        <v>336</v>
      </c>
      <c r="C632" s="45" t="s">
        <v>12</v>
      </c>
      <c r="G632" s="126"/>
    </row>
    <row r="633" spans="2:7">
      <c r="B633" s="125" t="s">
        <v>336</v>
      </c>
      <c r="C633" s="45" t="s">
        <v>35</v>
      </c>
      <c r="G633" s="126"/>
    </row>
    <row r="634" spans="2:7">
      <c r="B634" s="125" t="s">
        <v>336</v>
      </c>
      <c r="C634" s="45" t="s">
        <v>6</v>
      </c>
      <c r="G634" s="126"/>
    </row>
    <row r="635" spans="2:7" ht="13.5" thickBot="1">
      <c r="B635" s="140"/>
      <c r="C635" s="131"/>
      <c r="D635" s="131"/>
      <c r="E635" s="141"/>
      <c r="F635" s="131"/>
      <c r="G635" s="135"/>
    </row>
    <row r="637" spans="2:7" ht="13.5" thickBot="1"/>
    <row r="638" spans="2:7" ht="13.5" thickBot="1">
      <c r="B638" s="239" t="s">
        <v>556</v>
      </c>
      <c r="C638" s="240"/>
      <c r="D638" s="240"/>
      <c r="E638" s="240"/>
      <c r="F638" s="240"/>
      <c r="G638" s="241"/>
    </row>
    <row r="639" spans="2:7" ht="13.5" thickBot="1">
      <c r="B639" s="125"/>
      <c r="G639" s="126"/>
    </row>
    <row r="640" spans="2:7">
      <c r="B640" s="125"/>
      <c r="C640" s="127" t="s">
        <v>27</v>
      </c>
      <c r="D640" s="128"/>
      <c r="E640" s="128" t="s">
        <v>37</v>
      </c>
      <c r="F640" s="129">
        <v>20</v>
      </c>
      <c r="G640" s="126"/>
    </row>
    <row r="641" spans="2:7" ht="13.5" thickBot="1">
      <c r="B641" s="125"/>
      <c r="C641" s="130"/>
      <c r="D641" s="131"/>
      <c r="E641" s="131" t="s">
        <v>1</v>
      </c>
      <c r="F641" s="132">
        <v>13</v>
      </c>
      <c r="G641" s="126"/>
    </row>
    <row r="642" spans="2:7" ht="13.5" thickBot="1">
      <c r="B642" s="125"/>
      <c r="G642" s="126"/>
    </row>
    <row r="643" spans="2:7">
      <c r="B643" s="125"/>
      <c r="C643" s="127" t="s">
        <v>4</v>
      </c>
      <c r="D643" s="128"/>
      <c r="E643" s="128" t="s">
        <v>37</v>
      </c>
      <c r="F643" s="133"/>
      <c r="G643" s="126"/>
    </row>
    <row r="644" spans="2:7">
      <c r="B644" s="125"/>
      <c r="C644" s="59" t="s">
        <v>2</v>
      </c>
      <c r="E644" s="45" t="s">
        <v>326</v>
      </c>
      <c r="F644" s="126"/>
      <c r="G644" s="126"/>
    </row>
    <row r="645" spans="2:7" ht="13.5" thickBot="1">
      <c r="B645" s="125"/>
      <c r="C645" s="130" t="s">
        <v>3</v>
      </c>
      <c r="D645" s="131"/>
      <c r="E645" s="134" t="s">
        <v>354</v>
      </c>
      <c r="F645" s="135"/>
      <c r="G645" s="126"/>
    </row>
    <row r="646" spans="2:7">
      <c r="B646" s="125"/>
      <c r="G646" s="126"/>
    </row>
    <row r="647" spans="2:7" ht="13.5" thickBot="1">
      <c r="B647" s="125"/>
      <c r="G647" s="126"/>
    </row>
    <row r="648" spans="2:7" ht="13.5" thickBot="1">
      <c r="B648" s="125"/>
      <c r="C648" s="136" t="s">
        <v>29</v>
      </c>
      <c r="D648" s="137"/>
      <c r="E648" s="138" t="s">
        <v>297</v>
      </c>
      <c r="F648" s="139"/>
      <c r="G648" s="126"/>
    </row>
    <row r="649" spans="2:7">
      <c r="B649" s="125"/>
      <c r="G649" s="126"/>
    </row>
    <row r="650" spans="2:7">
      <c r="B650" s="125"/>
      <c r="C650" s="45" t="s">
        <v>5</v>
      </c>
      <c r="G650" s="126"/>
    </row>
    <row r="651" spans="2:7">
      <c r="B651" s="125"/>
      <c r="G651" s="126"/>
    </row>
    <row r="652" spans="2:7">
      <c r="B652" s="59">
        <v>1</v>
      </c>
      <c r="C652" s="45" t="s">
        <v>6</v>
      </c>
      <c r="G652" s="126"/>
    </row>
    <row r="653" spans="2:7">
      <c r="B653" s="59">
        <v>2</v>
      </c>
      <c r="C653" s="45" t="s">
        <v>7</v>
      </c>
      <c r="G653" s="126"/>
    </row>
    <row r="654" spans="2:7">
      <c r="B654" s="59">
        <v>3</v>
      </c>
      <c r="C654" s="45" t="s">
        <v>35</v>
      </c>
      <c r="G654" s="126"/>
    </row>
    <row r="655" spans="2:7">
      <c r="B655" s="59">
        <v>4</v>
      </c>
      <c r="C655" s="45" t="s">
        <v>11</v>
      </c>
      <c r="G655" s="126"/>
    </row>
    <row r="656" spans="2:7">
      <c r="B656" s="59">
        <v>5</v>
      </c>
      <c r="C656" s="45" t="s">
        <v>12</v>
      </c>
      <c r="G656" s="126"/>
    </row>
    <row r="657" spans="2:7">
      <c r="B657" s="59">
        <v>6</v>
      </c>
      <c r="C657" s="45" t="s">
        <v>155</v>
      </c>
      <c r="G657" s="126"/>
    </row>
    <row r="658" spans="2:7">
      <c r="B658" s="59">
        <v>7</v>
      </c>
      <c r="C658" s="45" t="s">
        <v>33</v>
      </c>
      <c r="G658" s="126"/>
    </row>
    <row r="659" spans="2:7">
      <c r="B659" s="59">
        <v>8</v>
      </c>
      <c r="C659" s="45" t="s">
        <v>13</v>
      </c>
      <c r="G659" s="126"/>
    </row>
    <row r="660" spans="2:7">
      <c r="B660" s="59">
        <v>9</v>
      </c>
      <c r="C660" s="45" t="s">
        <v>139</v>
      </c>
      <c r="G660" s="126"/>
    </row>
    <row r="661" spans="2:7">
      <c r="B661" s="59">
        <v>10</v>
      </c>
      <c r="C661" s="45" t="s">
        <v>149</v>
      </c>
      <c r="G661" s="126"/>
    </row>
    <row r="662" spans="2:7">
      <c r="B662" s="59">
        <v>11</v>
      </c>
      <c r="C662" s="45" t="s">
        <v>42</v>
      </c>
      <c r="G662" s="126"/>
    </row>
    <row r="663" spans="2:7">
      <c r="B663" s="59">
        <v>12</v>
      </c>
      <c r="C663" s="45" t="s">
        <v>19</v>
      </c>
      <c r="G663" s="126"/>
    </row>
    <row r="664" spans="2:7">
      <c r="B664" s="59">
        <v>13</v>
      </c>
      <c r="C664" s="45" t="s">
        <v>145</v>
      </c>
      <c r="G664" s="126"/>
    </row>
    <row r="665" spans="2:7">
      <c r="B665" s="59">
        <v>14</v>
      </c>
      <c r="C665" s="45" t="s">
        <v>34</v>
      </c>
      <c r="G665" s="126"/>
    </row>
    <row r="666" spans="2:7">
      <c r="B666" s="59">
        <v>15</v>
      </c>
      <c r="C666" s="45" t="s">
        <v>16</v>
      </c>
      <c r="G666" s="126"/>
    </row>
    <row r="667" spans="2:7">
      <c r="B667" s="125"/>
      <c r="G667" s="126"/>
    </row>
    <row r="668" spans="2:7">
      <c r="B668" s="125"/>
      <c r="C668" s="45" t="s">
        <v>557</v>
      </c>
      <c r="G668" s="126"/>
    </row>
    <row r="669" spans="2:7">
      <c r="B669" s="125"/>
      <c r="C669" s="45" t="s">
        <v>558</v>
      </c>
      <c r="G669" s="126"/>
    </row>
    <row r="670" spans="2:7">
      <c r="B670" s="125"/>
      <c r="C670" s="45" t="s">
        <v>559</v>
      </c>
      <c r="G670" s="126"/>
    </row>
    <row r="671" spans="2:7">
      <c r="B671" s="125"/>
      <c r="G671" s="126"/>
    </row>
    <row r="672" spans="2:7">
      <c r="B672" s="125"/>
      <c r="C672" s="124" t="s">
        <v>21</v>
      </c>
      <c r="G672" s="126"/>
    </row>
    <row r="673" spans="2:7">
      <c r="B673" s="142">
        <v>1</v>
      </c>
      <c r="C673" s="45" t="s">
        <v>56</v>
      </c>
      <c r="G673" s="126"/>
    </row>
    <row r="674" spans="2:7">
      <c r="B674" s="142"/>
      <c r="G674" s="126"/>
    </row>
    <row r="675" spans="2:7">
      <c r="B675" s="125"/>
      <c r="C675" s="44" t="s">
        <v>337</v>
      </c>
      <c r="G675" s="126"/>
    </row>
    <row r="676" spans="2:7">
      <c r="B676" s="125" t="s">
        <v>336</v>
      </c>
      <c r="C676" s="45" t="s">
        <v>139</v>
      </c>
      <c r="G676" s="126"/>
    </row>
    <row r="677" spans="2:7">
      <c r="B677" s="125"/>
      <c r="G677" s="126"/>
    </row>
    <row r="678" spans="2:7">
      <c r="B678" s="125"/>
      <c r="C678" s="44" t="s">
        <v>22</v>
      </c>
      <c r="G678" s="126"/>
    </row>
    <row r="679" spans="2:7">
      <c r="B679" s="125" t="s">
        <v>352</v>
      </c>
      <c r="C679" s="45" t="s">
        <v>139</v>
      </c>
      <c r="G679" s="126"/>
    </row>
    <row r="680" spans="2:7">
      <c r="B680" s="125"/>
      <c r="G680" s="126"/>
    </row>
    <row r="681" spans="2:7">
      <c r="B681" s="125"/>
      <c r="C681" s="44" t="s">
        <v>401</v>
      </c>
      <c r="G681" s="126"/>
    </row>
    <row r="682" spans="2:7">
      <c r="B682" s="125"/>
      <c r="C682" s="45" t="s">
        <v>339</v>
      </c>
      <c r="G682" s="126"/>
    </row>
    <row r="683" spans="2:7" ht="13.5" thickBot="1">
      <c r="B683" s="140"/>
      <c r="C683" s="131"/>
      <c r="D683" s="131"/>
      <c r="E683" s="141"/>
      <c r="F683" s="131"/>
      <c r="G683" s="135"/>
    </row>
    <row r="685" spans="2:7" ht="13.5" thickBot="1"/>
    <row r="686" spans="2:7" ht="13.5" thickBot="1">
      <c r="B686" s="239" t="s">
        <v>560</v>
      </c>
      <c r="C686" s="240"/>
      <c r="D686" s="240"/>
      <c r="E686" s="240"/>
      <c r="F686" s="240"/>
      <c r="G686" s="241"/>
    </row>
    <row r="687" spans="2:7" ht="13.5" thickBot="1">
      <c r="B687" s="125"/>
      <c r="G687" s="126"/>
    </row>
    <row r="688" spans="2:7">
      <c r="B688" s="125"/>
      <c r="C688" s="127" t="s">
        <v>27</v>
      </c>
      <c r="D688" s="128"/>
      <c r="E688" s="128" t="s">
        <v>1</v>
      </c>
      <c r="F688" s="129">
        <v>32</v>
      </c>
      <c r="G688" s="126"/>
    </row>
    <row r="689" spans="2:7" ht="13.5" thickBot="1">
      <c r="B689" s="125"/>
      <c r="C689" s="130"/>
      <c r="D689" s="131"/>
      <c r="E689" s="131" t="s">
        <v>69</v>
      </c>
      <c r="F689" s="132">
        <v>20</v>
      </c>
      <c r="G689" s="126"/>
    </row>
    <row r="690" spans="2:7" ht="13.5" thickBot="1">
      <c r="B690" s="125"/>
      <c r="G690" s="126"/>
    </row>
    <row r="691" spans="2:7">
      <c r="B691" s="125"/>
      <c r="C691" s="127" t="s">
        <v>4</v>
      </c>
      <c r="D691" s="128"/>
      <c r="E691" s="128" t="s">
        <v>1</v>
      </c>
      <c r="F691" s="133" t="s">
        <v>561</v>
      </c>
      <c r="G691" s="126"/>
    </row>
    <row r="692" spans="2:7">
      <c r="B692" s="125"/>
      <c r="C692" s="59" t="s">
        <v>2</v>
      </c>
      <c r="E692" s="45" t="s">
        <v>384</v>
      </c>
      <c r="F692" s="126"/>
      <c r="G692" s="126"/>
    </row>
    <row r="693" spans="2:7" ht="13.5" thickBot="1">
      <c r="B693" s="125"/>
      <c r="C693" s="130" t="s">
        <v>3</v>
      </c>
      <c r="D693" s="131"/>
      <c r="E693" s="134" t="s">
        <v>326</v>
      </c>
      <c r="F693" s="135"/>
      <c r="G693" s="126"/>
    </row>
    <row r="694" spans="2:7">
      <c r="B694" s="125"/>
      <c r="G694" s="126"/>
    </row>
    <row r="695" spans="2:7" ht="13.5" thickBot="1">
      <c r="B695" s="125"/>
      <c r="G695" s="126"/>
    </row>
    <row r="696" spans="2:7" ht="13.5" thickBot="1">
      <c r="B696" s="125"/>
      <c r="C696" s="136" t="s">
        <v>29</v>
      </c>
      <c r="D696" s="137"/>
      <c r="E696" s="138" t="s">
        <v>292</v>
      </c>
      <c r="F696" s="139"/>
      <c r="G696" s="126"/>
    </row>
    <row r="697" spans="2:7">
      <c r="B697" s="125"/>
      <c r="G697" s="126"/>
    </row>
    <row r="698" spans="2:7">
      <c r="B698" s="125"/>
      <c r="C698" s="45" t="s">
        <v>5</v>
      </c>
      <c r="G698" s="126"/>
    </row>
    <row r="699" spans="2:7">
      <c r="B699" s="125"/>
      <c r="G699" s="126"/>
    </row>
    <row r="700" spans="2:7">
      <c r="B700" s="59">
        <v>1</v>
      </c>
      <c r="C700" s="45" t="s">
        <v>6</v>
      </c>
      <c r="G700" s="126"/>
    </row>
    <row r="701" spans="2:7">
      <c r="B701" s="59">
        <v>2</v>
      </c>
      <c r="C701" s="45" t="s">
        <v>7</v>
      </c>
      <c r="G701" s="126"/>
    </row>
    <row r="702" spans="2:7">
      <c r="B702" s="59">
        <v>3</v>
      </c>
      <c r="C702" s="45" t="s">
        <v>35</v>
      </c>
      <c r="G702" s="126"/>
    </row>
    <row r="703" spans="2:7">
      <c r="B703" s="59">
        <v>4</v>
      </c>
      <c r="C703" s="45" t="s">
        <v>11</v>
      </c>
      <c r="G703" s="126"/>
    </row>
    <row r="704" spans="2:7">
      <c r="B704" s="59">
        <v>5</v>
      </c>
      <c r="C704" s="45" t="s">
        <v>12</v>
      </c>
      <c r="G704" s="126"/>
    </row>
    <row r="705" spans="2:7">
      <c r="B705" s="59">
        <v>6</v>
      </c>
      <c r="C705" s="45" t="s">
        <v>155</v>
      </c>
      <c r="G705" s="126"/>
    </row>
    <row r="706" spans="2:7">
      <c r="B706" s="59">
        <v>7</v>
      </c>
      <c r="C706" s="45" t="s">
        <v>33</v>
      </c>
      <c r="G706" s="126"/>
    </row>
    <row r="707" spans="2:7">
      <c r="B707" s="59">
        <v>8</v>
      </c>
      <c r="C707" s="45" t="s">
        <v>13</v>
      </c>
      <c r="G707" s="126"/>
    </row>
    <row r="708" spans="2:7">
      <c r="B708" s="59">
        <v>9</v>
      </c>
      <c r="C708" s="45" t="s">
        <v>139</v>
      </c>
      <c r="G708" s="126"/>
    </row>
    <row r="709" spans="2:7">
      <c r="B709" s="59">
        <v>10</v>
      </c>
      <c r="C709" s="45" t="s">
        <v>149</v>
      </c>
      <c r="G709" s="126"/>
    </row>
    <row r="710" spans="2:7">
      <c r="B710" s="59">
        <v>11</v>
      </c>
      <c r="C710" s="45" t="s">
        <v>42</v>
      </c>
      <c r="G710" s="126"/>
    </row>
    <row r="711" spans="2:7">
      <c r="B711" s="59">
        <v>12</v>
      </c>
      <c r="C711" s="45" t="s">
        <v>19</v>
      </c>
      <c r="G711" s="126"/>
    </row>
    <row r="712" spans="2:7">
      <c r="B712" s="59">
        <v>13</v>
      </c>
      <c r="C712" s="45" t="s">
        <v>145</v>
      </c>
      <c r="G712" s="126"/>
    </row>
    <row r="713" spans="2:7">
      <c r="B713" s="59">
        <v>14</v>
      </c>
      <c r="C713" s="45" t="s">
        <v>34</v>
      </c>
      <c r="G713" s="126"/>
    </row>
    <row r="714" spans="2:7">
      <c r="B714" s="59">
        <v>15</v>
      </c>
      <c r="C714" s="45" t="s">
        <v>144</v>
      </c>
      <c r="G714" s="126"/>
    </row>
    <row r="715" spans="2:7">
      <c r="B715" s="125"/>
      <c r="G715" s="126"/>
    </row>
    <row r="716" spans="2:7">
      <c r="B716" s="125"/>
      <c r="C716" s="45" t="s">
        <v>562</v>
      </c>
      <c r="G716" s="126"/>
    </row>
    <row r="717" spans="2:7">
      <c r="B717" s="125"/>
      <c r="C717" s="45" t="s">
        <v>406</v>
      </c>
      <c r="G717" s="126"/>
    </row>
    <row r="718" spans="2:7">
      <c r="B718" s="125"/>
      <c r="G718" s="126"/>
    </row>
    <row r="719" spans="2:7">
      <c r="B719" s="125"/>
      <c r="C719" s="124" t="s">
        <v>21</v>
      </c>
      <c r="G719" s="126"/>
    </row>
    <row r="720" spans="2:7">
      <c r="B720" s="142">
        <v>2</v>
      </c>
      <c r="C720" s="45" t="s">
        <v>19</v>
      </c>
      <c r="G720" s="126"/>
    </row>
    <row r="721" spans="2:7">
      <c r="B721" s="142">
        <v>1</v>
      </c>
      <c r="C721" s="45" t="s">
        <v>33</v>
      </c>
      <c r="G721" s="126"/>
    </row>
    <row r="722" spans="2:7">
      <c r="B722" s="142">
        <v>1</v>
      </c>
      <c r="C722" s="45" t="s">
        <v>12</v>
      </c>
      <c r="G722" s="126"/>
    </row>
    <row r="723" spans="2:7">
      <c r="B723" s="142"/>
      <c r="G723" s="126"/>
    </row>
    <row r="724" spans="2:7">
      <c r="B724" s="125"/>
      <c r="C724" s="44" t="s">
        <v>337</v>
      </c>
      <c r="G724" s="126"/>
    </row>
    <row r="725" spans="2:7">
      <c r="B725" s="125" t="s">
        <v>335</v>
      </c>
      <c r="C725" s="45" t="s">
        <v>139</v>
      </c>
      <c r="G725" s="126"/>
    </row>
    <row r="726" spans="2:7">
      <c r="B726" s="125"/>
      <c r="G726" s="126"/>
    </row>
    <row r="727" spans="2:7">
      <c r="B727" s="125"/>
      <c r="C727" s="44" t="s">
        <v>22</v>
      </c>
      <c r="G727" s="126"/>
    </row>
    <row r="728" spans="2:7">
      <c r="B728" s="125" t="s">
        <v>352</v>
      </c>
      <c r="C728" s="45" t="s">
        <v>139</v>
      </c>
      <c r="G728" s="126"/>
    </row>
    <row r="729" spans="2:7">
      <c r="B729" s="125"/>
      <c r="G729" s="126"/>
    </row>
    <row r="730" spans="2:7">
      <c r="B730" s="125"/>
      <c r="C730" s="44" t="s">
        <v>401</v>
      </c>
      <c r="G730" s="126"/>
    </row>
    <row r="731" spans="2:7">
      <c r="B731" s="125" t="s">
        <v>336</v>
      </c>
      <c r="C731" s="112" t="s">
        <v>33</v>
      </c>
      <c r="G731" s="126"/>
    </row>
    <row r="732" spans="2:7">
      <c r="B732" s="125" t="s">
        <v>336</v>
      </c>
      <c r="C732" s="112" t="s">
        <v>13</v>
      </c>
      <c r="G732" s="126"/>
    </row>
    <row r="733" spans="2:7">
      <c r="B733" s="125" t="s">
        <v>336</v>
      </c>
      <c r="C733" s="112" t="s">
        <v>12</v>
      </c>
      <c r="G733" s="126"/>
    </row>
    <row r="734" spans="2:7">
      <c r="B734" s="125" t="s">
        <v>336</v>
      </c>
      <c r="C734" s="112" t="s">
        <v>35</v>
      </c>
      <c r="G734" s="126"/>
    </row>
    <row r="735" spans="2:7" ht="13.5" thickBot="1">
      <c r="B735" s="140"/>
      <c r="C735" s="131"/>
      <c r="D735" s="131"/>
      <c r="E735" s="141"/>
      <c r="F735" s="131"/>
      <c r="G735" s="135"/>
    </row>
    <row r="737" spans="2:7" ht="13.5" thickBot="1"/>
    <row r="738" spans="2:7" ht="13.5" thickBot="1">
      <c r="B738" s="239" t="s">
        <v>563</v>
      </c>
      <c r="C738" s="240"/>
      <c r="D738" s="240"/>
      <c r="E738" s="240"/>
      <c r="F738" s="240"/>
      <c r="G738" s="241"/>
    </row>
    <row r="739" spans="2:7" ht="13.5" thickBot="1">
      <c r="B739" s="125"/>
      <c r="G739" s="126"/>
    </row>
    <row r="740" spans="2:7">
      <c r="B740" s="125"/>
      <c r="C740" s="127" t="s">
        <v>27</v>
      </c>
      <c r="D740" s="128"/>
      <c r="E740" s="128" t="s">
        <v>70</v>
      </c>
      <c r="F740" s="129">
        <v>6</v>
      </c>
      <c r="G740" s="126"/>
    </row>
    <row r="741" spans="2:7" ht="13.5" thickBot="1">
      <c r="B741" s="125"/>
      <c r="C741" s="130"/>
      <c r="D741" s="131"/>
      <c r="E741" s="131" t="s">
        <v>1</v>
      </c>
      <c r="F741" s="132">
        <v>40</v>
      </c>
      <c r="G741" s="126"/>
    </row>
    <row r="742" spans="2:7" ht="13.5" thickBot="1">
      <c r="B742" s="125"/>
      <c r="G742" s="126"/>
    </row>
    <row r="743" spans="2:7">
      <c r="B743" s="125"/>
      <c r="C743" s="127" t="s">
        <v>4</v>
      </c>
      <c r="D743" s="128"/>
      <c r="E743" s="128" t="s">
        <v>70</v>
      </c>
      <c r="F743" s="133"/>
      <c r="G743" s="126"/>
    </row>
    <row r="744" spans="2:7">
      <c r="B744" s="125"/>
      <c r="C744" s="59" t="s">
        <v>2</v>
      </c>
      <c r="E744" s="45" t="s">
        <v>326</v>
      </c>
      <c r="F744" s="126"/>
      <c r="G744" s="126"/>
    </row>
    <row r="745" spans="2:7" ht="13.5" thickBot="1">
      <c r="B745" s="125"/>
      <c r="C745" s="130" t="s">
        <v>3</v>
      </c>
      <c r="D745" s="131"/>
      <c r="E745" s="134" t="s">
        <v>326</v>
      </c>
      <c r="F745" s="135"/>
      <c r="G745" s="126"/>
    </row>
    <row r="746" spans="2:7">
      <c r="B746" s="125"/>
      <c r="G746" s="126"/>
    </row>
    <row r="747" spans="2:7" ht="13.5" thickBot="1">
      <c r="B747" s="125"/>
      <c r="G747" s="126"/>
    </row>
    <row r="748" spans="2:7" ht="13.5" thickBot="1">
      <c r="B748" s="125"/>
      <c r="C748" s="136" t="s">
        <v>29</v>
      </c>
      <c r="D748" s="137"/>
      <c r="E748" s="138" t="s">
        <v>298</v>
      </c>
      <c r="F748" s="139"/>
      <c r="G748" s="126"/>
    </row>
    <row r="749" spans="2:7">
      <c r="B749" s="125"/>
      <c r="G749" s="126"/>
    </row>
    <row r="750" spans="2:7">
      <c r="B750" s="125"/>
      <c r="C750" s="45" t="s">
        <v>5</v>
      </c>
      <c r="G750" s="126"/>
    </row>
    <row r="751" spans="2:7">
      <c r="B751" s="125"/>
      <c r="G751" s="126"/>
    </row>
    <row r="752" spans="2:7">
      <c r="B752" s="59">
        <v>1</v>
      </c>
      <c r="C752" s="45" t="s">
        <v>6</v>
      </c>
      <c r="G752" s="126"/>
    </row>
    <row r="753" spans="2:7">
      <c r="B753" s="59">
        <v>2</v>
      </c>
      <c r="C753" s="45" t="s">
        <v>7</v>
      </c>
      <c r="G753" s="126"/>
    </row>
    <row r="754" spans="2:7">
      <c r="B754" s="59">
        <v>3</v>
      </c>
      <c r="C754" s="45" t="s">
        <v>35</v>
      </c>
      <c r="G754" s="126"/>
    </row>
    <row r="755" spans="2:7">
      <c r="B755" s="59">
        <v>4</v>
      </c>
      <c r="C755" s="45" t="s">
        <v>11</v>
      </c>
      <c r="G755" s="126"/>
    </row>
    <row r="756" spans="2:7">
      <c r="B756" s="59">
        <v>5</v>
      </c>
      <c r="C756" s="45" t="s">
        <v>12</v>
      </c>
      <c r="G756" s="126"/>
    </row>
    <row r="757" spans="2:7">
      <c r="B757" s="59">
        <v>6</v>
      </c>
      <c r="C757" s="45" t="s">
        <v>155</v>
      </c>
      <c r="G757" s="126"/>
    </row>
    <row r="758" spans="2:7">
      <c r="B758" s="59">
        <v>7</v>
      </c>
      <c r="C758" s="45" t="s">
        <v>143</v>
      </c>
      <c r="G758" s="126"/>
    </row>
    <row r="759" spans="2:7">
      <c r="B759" s="59">
        <v>8</v>
      </c>
      <c r="C759" s="45" t="s">
        <v>13</v>
      </c>
      <c r="G759" s="126"/>
    </row>
    <row r="760" spans="2:7">
      <c r="B760" s="59">
        <v>9</v>
      </c>
      <c r="C760" s="45" t="s">
        <v>139</v>
      </c>
      <c r="G760" s="126"/>
    </row>
    <row r="761" spans="2:7">
      <c r="B761" s="59">
        <v>10</v>
      </c>
      <c r="C761" s="45" t="s">
        <v>149</v>
      </c>
      <c r="G761" s="126"/>
    </row>
    <row r="762" spans="2:7">
      <c r="B762" s="59">
        <v>11</v>
      </c>
      <c r="C762" s="45" t="s">
        <v>42</v>
      </c>
      <c r="G762" s="126"/>
    </row>
    <row r="763" spans="2:7">
      <c r="B763" s="59">
        <v>12</v>
      </c>
      <c r="C763" s="45" t="s">
        <v>19</v>
      </c>
      <c r="G763" s="126"/>
    </row>
    <row r="764" spans="2:7">
      <c r="B764" s="59">
        <v>13</v>
      </c>
      <c r="C764" s="45" t="s">
        <v>145</v>
      </c>
      <c r="G764" s="126"/>
    </row>
    <row r="765" spans="2:7">
      <c r="B765" s="59">
        <v>14</v>
      </c>
      <c r="C765" s="45" t="s">
        <v>34</v>
      </c>
      <c r="G765" s="126"/>
    </row>
    <row r="766" spans="2:7">
      <c r="B766" s="59">
        <v>15</v>
      </c>
      <c r="C766" s="45" t="s">
        <v>144</v>
      </c>
      <c r="G766" s="126"/>
    </row>
    <row r="767" spans="2:7">
      <c r="B767" s="125"/>
      <c r="G767" s="126"/>
    </row>
    <row r="768" spans="2:7">
      <c r="B768" s="125"/>
      <c r="C768" s="45" t="s">
        <v>435</v>
      </c>
      <c r="G768" s="126"/>
    </row>
    <row r="769" spans="2:7">
      <c r="B769" s="125"/>
      <c r="C769" s="45" t="s">
        <v>564</v>
      </c>
      <c r="G769" s="126"/>
    </row>
    <row r="770" spans="2:7">
      <c r="B770" s="125"/>
      <c r="C770" s="45" t="s">
        <v>533</v>
      </c>
      <c r="G770" s="126"/>
    </row>
    <row r="771" spans="2:7">
      <c r="B771" s="125"/>
      <c r="G771" s="126"/>
    </row>
    <row r="772" spans="2:7">
      <c r="B772" s="125"/>
      <c r="C772" s="124" t="s">
        <v>21</v>
      </c>
      <c r="G772" s="126"/>
    </row>
    <row r="773" spans="2:7">
      <c r="B773" s="142">
        <v>1</v>
      </c>
      <c r="C773" s="45" t="s">
        <v>12</v>
      </c>
      <c r="G773" s="126"/>
    </row>
    <row r="774" spans="2:7">
      <c r="B774" s="142">
        <v>1</v>
      </c>
      <c r="C774" s="45" t="s">
        <v>34</v>
      </c>
      <c r="G774" s="126"/>
    </row>
    <row r="775" spans="2:7">
      <c r="B775" s="142">
        <v>1</v>
      </c>
      <c r="C775" s="45" t="s">
        <v>35</v>
      </c>
      <c r="G775" s="126"/>
    </row>
    <row r="776" spans="2:7">
      <c r="B776" s="142">
        <v>1</v>
      </c>
      <c r="C776" s="45" t="s">
        <v>139</v>
      </c>
      <c r="G776" s="126"/>
    </row>
    <row r="777" spans="2:7">
      <c r="B777" s="142">
        <v>1</v>
      </c>
      <c r="C777" s="45" t="s">
        <v>149</v>
      </c>
      <c r="G777" s="126"/>
    </row>
    <row r="778" spans="2:7">
      <c r="B778" s="142">
        <v>1</v>
      </c>
      <c r="C778" s="45" t="s">
        <v>56</v>
      </c>
      <c r="G778" s="126"/>
    </row>
    <row r="779" spans="2:7">
      <c r="B779" s="142"/>
      <c r="G779" s="126"/>
    </row>
    <row r="780" spans="2:7">
      <c r="B780" s="125"/>
      <c r="C780" s="44" t="s">
        <v>337</v>
      </c>
      <c r="G780" s="126"/>
    </row>
    <row r="781" spans="2:7">
      <c r="B781" s="125" t="s">
        <v>351</v>
      </c>
      <c r="C781" s="45" t="s">
        <v>139</v>
      </c>
      <c r="G781" s="126"/>
    </row>
    <row r="782" spans="2:7">
      <c r="B782" s="142"/>
      <c r="G782" s="126"/>
    </row>
    <row r="783" spans="2:7">
      <c r="B783" s="125"/>
      <c r="C783" s="44" t="s">
        <v>401</v>
      </c>
      <c r="G783" s="126"/>
    </row>
    <row r="784" spans="2:7">
      <c r="B784" s="125"/>
      <c r="C784" s="45" t="s">
        <v>339</v>
      </c>
      <c r="G784" s="126"/>
    </row>
    <row r="785" spans="2:7" ht="13.5" thickBot="1">
      <c r="B785" s="140"/>
      <c r="C785" s="131"/>
      <c r="D785" s="131"/>
      <c r="E785" s="141"/>
      <c r="F785" s="131"/>
      <c r="G785" s="135"/>
    </row>
    <row r="787" spans="2:7" ht="13.5" thickBot="1"/>
    <row r="788" spans="2:7" ht="13.5" thickBot="1">
      <c r="B788" s="239" t="s">
        <v>565</v>
      </c>
      <c r="C788" s="240"/>
      <c r="D788" s="240"/>
      <c r="E788" s="240"/>
      <c r="F788" s="240"/>
      <c r="G788" s="241"/>
    </row>
    <row r="789" spans="2:7" ht="13.5" thickBot="1">
      <c r="B789" s="125"/>
      <c r="G789" s="126"/>
    </row>
    <row r="790" spans="2:7">
      <c r="B790" s="125"/>
      <c r="C790" s="127" t="s">
        <v>27</v>
      </c>
      <c r="D790" s="128"/>
      <c r="E790" s="128" t="s">
        <v>1</v>
      </c>
      <c r="F790" s="129">
        <v>56</v>
      </c>
      <c r="G790" s="126"/>
    </row>
    <row r="791" spans="2:7" ht="13.5" thickBot="1">
      <c r="B791" s="125"/>
      <c r="C791" s="130"/>
      <c r="D791" s="131"/>
      <c r="E791" s="131" t="s">
        <v>66</v>
      </c>
      <c r="F791" s="132">
        <v>17</v>
      </c>
      <c r="G791" s="126"/>
    </row>
    <row r="792" spans="2:7" ht="13.5" thickBot="1">
      <c r="B792" s="125"/>
      <c r="G792" s="126"/>
    </row>
    <row r="793" spans="2:7">
      <c r="B793" s="125"/>
      <c r="C793" s="127" t="s">
        <v>4</v>
      </c>
      <c r="D793" s="128"/>
      <c r="E793" s="128" t="s">
        <v>1</v>
      </c>
      <c r="F793" s="133" t="s">
        <v>561</v>
      </c>
      <c r="G793" s="126"/>
    </row>
    <row r="794" spans="2:7">
      <c r="B794" s="125"/>
      <c r="C794" s="59" t="s">
        <v>2</v>
      </c>
      <c r="E794" s="45" t="s">
        <v>404</v>
      </c>
      <c r="F794" s="126"/>
      <c r="G794" s="126"/>
    </row>
    <row r="795" spans="2:7" ht="13.5" thickBot="1">
      <c r="B795" s="125"/>
      <c r="C795" s="130" t="s">
        <v>3</v>
      </c>
      <c r="D795" s="131"/>
      <c r="E795" s="134" t="s">
        <v>326</v>
      </c>
      <c r="F795" s="135"/>
      <c r="G795" s="126"/>
    </row>
    <row r="796" spans="2:7">
      <c r="B796" s="125"/>
      <c r="G796" s="126"/>
    </row>
    <row r="797" spans="2:7" ht="13.5" thickBot="1">
      <c r="B797" s="125"/>
      <c r="G797" s="126"/>
    </row>
    <row r="798" spans="2:7" ht="13.5" thickBot="1">
      <c r="B798" s="125"/>
      <c r="C798" s="136" t="s">
        <v>29</v>
      </c>
      <c r="D798" s="137"/>
      <c r="E798" s="138" t="s">
        <v>299</v>
      </c>
      <c r="F798" s="139"/>
      <c r="G798" s="126"/>
    </row>
    <row r="799" spans="2:7">
      <c r="B799" s="125"/>
      <c r="G799" s="126"/>
    </row>
    <row r="800" spans="2:7">
      <c r="B800" s="125"/>
      <c r="C800" s="45" t="s">
        <v>5</v>
      </c>
      <c r="G800" s="126"/>
    </row>
    <row r="801" spans="2:7">
      <c r="B801" s="125"/>
      <c r="G801" s="126"/>
    </row>
    <row r="802" spans="2:7">
      <c r="B802" s="59">
        <v>1</v>
      </c>
      <c r="C802" s="45" t="s">
        <v>6</v>
      </c>
      <c r="G802" s="126"/>
    </row>
    <row r="803" spans="2:7">
      <c r="B803" s="59">
        <v>2</v>
      </c>
      <c r="C803" s="45" t="s">
        <v>7</v>
      </c>
      <c r="G803" s="126"/>
    </row>
    <row r="804" spans="2:7">
      <c r="B804" s="59">
        <v>3</v>
      </c>
      <c r="C804" s="45" t="s">
        <v>35</v>
      </c>
      <c r="G804" s="126"/>
    </row>
    <row r="805" spans="2:7">
      <c r="B805" s="59">
        <v>4</v>
      </c>
      <c r="C805" s="45" t="s">
        <v>11</v>
      </c>
      <c r="G805" s="126"/>
    </row>
    <row r="806" spans="2:7">
      <c r="B806" s="59">
        <v>5</v>
      </c>
      <c r="C806" s="45" t="s">
        <v>12</v>
      </c>
      <c r="G806" s="126"/>
    </row>
    <row r="807" spans="2:7">
      <c r="B807" s="59">
        <v>6</v>
      </c>
      <c r="C807" s="45" t="s">
        <v>155</v>
      </c>
      <c r="G807" s="126"/>
    </row>
    <row r="808" spans="2:7">
      <c r="B808" s="59">
        <v>7</v>
      </c>
      <c r="C808" s="45" t="s">
        <v>33</v>
      </c>
      <c r="G808" s="126"/>
    </row>
    <row r="809" spans="2:7">
      <c r="B809" s="59">
        <v>8</v>
      </c>
      <c r="C809" s="45" t="s">
        <v>13</v>
      </c>
      <c r="G809" s="126"/>
    </row>
    <row r="810" spans="2:7">
      <c r="B810" s="59">
        <v>9</v>
      </c>
      <c r="C810" s="45" t="s">
        <v>139</v>
      </c>
      <c r="G810" s="126"/>
    </row>
    <row r="811" spans="2:7">
      <c r="B811" s="59">
        <v>10</v>
      </c>
      <c r="C811" s="45" t="s">
        <v>149</v>
      </c>
      <c r="G811" s="126"/>
    </row>
    <row r="812" spans="2:7">
      <c r="B812" s="59">
        <v>11</v>
      </c>
      <c r="C812" s="45" t="s">
        <v>42</v>
      </c>
      <c r="G812" s="126"/>
    </row>
    <row r="813" spans="2:7">
      <c r="B813" s="59">
        <v>12</v>
      </c>
      <c r="C813" s="45" t="s">
        <v>19</v>
      </c>
      <c r="G813" s="126"/>
    </row>
    <row r="814" spans="2:7">
      <c r="B814" s="59">
        <v>13</v>
      </c>
      <c r="C814" s="45" t="s">
        <v>145</v>
      </c>
      <c r="G814" s="126"/>
    </row>
    <row r="815" spans="2:7">
      <c r="B815" s="59">
        <v>14</v>
      </c>
      <c r="C815" s="45" t="s">
        <v>34</v>
      </c>
      <c r="G815" s="126"/>
    </row>
    <row r="816" spans="2:7">
      <c r="B816" s="59">
        <v>15</v>
      </c>
      <c r="C816" s="45" t="s">
        <v>144</v>
      </c>
      <c r="G816" s="126"/>
    </row>
    <row r="817" spans="2:7">
      <c r="B817" s="125"/>
      <c r="G817" s="126"/>
    </row>
    <row r="818" spans="2:7">
      <c r="B818" s="125"/>
      <c r="C818" s="45" t="s">
        <v>485</v>
      </c>
      <c r="G818" s="126"/>
    </row>
    <row r="819" spans="2:7">
      <c r="B819" s="125"/>
      <c r="C819" s="45" t="s">
        <v>406</v>
      </c>
      <c r="G819" s="126"/>
    </row>
    <row r="820" spans="2:7">
      <c r="B820" s="125"/>
      <c r="C820" s="45" t="s">
        <v>566</v>
      </c>
      <c r="G820" s="126"/>
    </row>
    <row r="821" spans="2:7">
      <c r="B821" s="125"/>
      <c r="C821" s="45" t="s">
        <v>567</v>
      </c>
      <c r="G821" s="126"/>
    </row>
    <row r="822" spans="2:7">
      <c r="B822" s="125"/>
      <c r="C822" s="45" t="s">
        <v>486</v>
      </c>
      <c r="G822" s="126"/>
    </row>
    <row r="823" spans="2:7">
      <c r="B823" s="125"/>
      <c r="C823" s="45" t="s">
        <v>514</v>
      </c>
      <c r="G823" s="126"/>
    </row>
    <row r="824" spans="2:7">
      <c r="B824" s="125"/>
      <c r="G824" s="126"/>
    </row>
    <row r="825" spans="2:7">
      <c r="B825" s="125"/>
      <c r="C825" s="124" t="s">
        <v>21</v>
      </c>
      <c r="G825" s="126"/>
    </row>
    <row r="826" spans="2:7">
      <c r="B826" s="142">
        <v>2</v>
      </c>
      <c r="C826" s="45" t="s">
        <v>56</v>
      </c>
      <c r="G826" s="126"/>
    </row>
    <row r="827" spans="2:7">
      <c r="B827" s="142">
        <v>2</v>
      </c>
      <c r="C827" s="45" t="s">
        <v>139</v>
      </c>
      <c r="G827" s="126"/>
    </row>
    <row r="828" spans="2:7">
      <c r="B828" s="142">
        <v>1</v>
      </c>
      <c r="C828" s="45" t="s">
        <v>19</v>
      </c>
      <c r="G828" s="126"/>
    </row>
    <row r="829" spans="2:7">
      <c r="B829" s="142">
        <v>1</v>
      </c>
      <c r="C829" s="45" t="s">
        <v>155</v>
      </c>
      <c r="G829" s="126"/>
    </row>
    <row r="830" spans="2:7">
      <c r="B830" s="142">
        <v>1</v>
      </c>
      <c r="C830" s="45" t="s">
        <v>33</v>
      </c>
      <c r="G830" s="126"/>
    </row>
    <row r="831" spans="2:7">
      <c r="B831" s="142">
        <v>1</v>
      </c>
      <c r="C831" s="45" t="s">
        <v>34</v>
      </c>
      <c r="G831" s="126"/>
    </row>
    <row r="832" spans="2:7">
      <c r="B832" s="142"/>
      <c r="G832" s="126"/>
    </row>
    <row r="833" spans="2:7">
      <c r="B833" s="142"/>
      <c r="C833" s="44" t="s">
        <v>337</v>
      </c>
      <c r="G833" s="126"/>
    </row>
    <row r="834" spans="2:7">
      <c r="B834" s="142">
        <v>5</v>
      </c>
      <c r="C834" s="45" t="s">
        <v>139</v>
      </c>
      <c r="G834" s="126"/>
    </row>
    <row r="835" spans="2:7">
      <c r="B835" s="142"/>
      <c r="G835" s="126"/>
    </row>
    <row r="836" spans="2:7">
      <c r="B836" s="142"/>
      <c r="C836" s="44" t="s">
        <v>22</v>
      </c>
      <c r="G836" s="126"/>
    </row>
    <row r="837" spans="2:7">
      <c r="B837" s="142">
        <v>2</v>
      </c>
      <c r="C837" s="45" t="s">
        <v>139</v>
      </c>
      <c r="G837" s="126"/>
    </row>
    <row r="838" spans="2:7">
      <c r="B838" s="142"/>
      <c r="G838" s="126"/>
    </row>
    <row r="839" spans="2:7">
      <c r="B839" s="125"/>
      <c r="C839" s="44" t="s">
        <v>401</v>
      </c>
      <c r="G839" s="126"/>
    </row>
    <row r="840" spans="2:7">
      <c r="B840" s="125" t="s">
        <v>336</v>
      </c>
      <c r="C840" s="45" t="s">
        <v>144</v>
      </c>
      <c r="G840" s="126"/>
    </row>
    <row r="841" spans="2:7" ht="13.5" thickBot="1">
      <c r="B841" s="140"/>
      <c r="C841" s="131"/>
      <c r="D841" s="131"/>
      <c r="E841" s="141"/>
      <c r="F841" s="131"/>
      <c r="G841" s="135"/>
    </row>
    <row r="843" spans="2:7" ht="13.5" thickBot="1"/>
    <row r="844" spans="2:7" ht="13.5" thickBot="1">
      <c r="B844" s="239" t="s">
        <v>568</v>
      </c>
      <c r="C844" s="240"/>
      <c r="D844" s="240"/>
      <c r="E844" s="240"/>
      <c r="F844" s="240"/>
      <c r="G844" s="241"/>
    </row>
    <row r="845" spans="2:7" ht="13.5" thickBot="1">
      <c r="B845" s="125"/>
      <c r="G845" s="126"/>
    </row>
    <row r="846" spans="2:7">
      <c r="B846" s="125"/>
      <c r="C846" s="127" t="s">
        <v>27</v>
      </c>
      <c r="D846" s="128"/>
      <c r="E846" s="128" t="s">
        <v>47</v>
      </c>
      <c r="F846" s="129">
        <v>12</v>
      </c>
      <c r="G846" s="126"/>
    </row>
    <row r="847" spans="2:7" ht="13.5" thickBot="1">
      <c r="B847" s="125"/>
      <c r="C847" s="130"/>
      <c r="D847" s="131"/>
      <c r="E847" s="131" t="s">
        <v>1</v>
      </c>
      <c r="F847" s="132">
        <v>15</v>
      </c>
      <c r="G847" s="126"/>
    </row>
    <row r="848" spans="2:7" ht="13.5" thickBot="1">
      <c r="B848" s="125"/>
      <c r="G848" s="126"/>
    </row>
    <row r="849" spans="2:7">
      <c r="B849" s="125"/>
      <c r="C849" s="127" t="s">
        <v>4</v>
      </c>
      <c r="D849" s="128"/>
      <c r="E849" s="128" t="s">
        <v>47</v>
      </c>
      <c r="F849" s="133" t="s">
        <v>569</v>
      </c>
      <c r="G849" s="126"/>
    </row>
    <row r="850" spans="2:7">
      <c r="B850" s="125"/>
      <c r="C850" s="59" t="s">
        <v>2</v>
      </c>
      <c r="E850" s="45" t="s">
        <v>404</v>
      </c>
      <c r="F850" s="126"/>
      <c r="G850" s="126"/>
    </row>
    <row r="851" spans="2:7" ht="13.5" thickBot="1">
      <c r="B851" s="125"/>
      <c r="C851" s="130" t="s">
        <v>3</v>
      </c>
      <c r="D851" s="131"/>
      <c r="E851" s="134" t="s">
        <v>385</v>
      </c>
      <c r="F851" s="135"/>
      <c r="G851" s="126"/>
    </row>
    <row r="852" spans="2:7">
      <c r="B852" s="125"/>
      <c r="G852" s="126"/>
    </row>
    <row r="853" spans="2:7" ht="13.5" thickBot="1">
      <c r="B853" s="125"/>
      <c r="G853" s="126"/>
    </row>
    <row r="854" spans="2:7" ht="13.5" thickBot="1">
      <c r="B854" s="125"/>
      <c r="C854" s="136" t="s">
        <v>29</v>
      </c>
      <c r="D854" s="137"/>
      <c r="E854" s="138" t="s">
        <v>471</v>
      </c>
      <c r="F854" s="139"/>
      <c r="G854" s="126"/>
    </row>
    <row r="855" spans="2:7">
      <c r="B855" s="125"/>
      <c r="G855" s="126"/>
    </row>
    <row r="856" spans="2:7">
      <c r="B856" s="125"/>
      <c r="C856" s="45" t="s">
        <v>5</v>
      </c>
      <c r="G856" s="126"/>
    </row>
    <row r="857" spans="2:7">
      <c r="B857" s="125"/>
      <c r="G857" s="126"/>
    </row>
    <row r="858" spans="2:7">
      <c r="B858" s="59">
        <v>1</v>
      </c>
      <c r="C858" s="45" t="s">
        <v>6</v>
      </c>
      <c r="G858" s="126"/>
    </row>
    <row r="859" spans="2:7">
      <c r="B859" s="59">
        <v>2</v>
      </c>
      <c r="C859" s="45" t="s">
        <v>7</v>
      </c>
      <c r="G859" s="126"/>
    </row>
    <row r="860" spans="2:7">
      <c r="B860" s="59">
        <v>3</v>
      </c>
      <c r="C860" s="45" t="s">
        <v>35</v>
      </c>
      <c r="G860" s="126"/>
    </row>
    <row r="861" spans="2:7">
      <c r="B861" s="59">
        <v>4</v>
      </c>
      <c r="C861" s="45" t="s">
        <v>146</v>
      </c>
      <c r="G861" s="126"/>
    </row>
    <row r="862" spans="2:7">
      <c r="B862" s="59">
        <v>5</v>
      </c>
      <c r="C862" s="45" t="s">
        <v>12</v>
      </c>
      <c r="G862" s="126"/>
    </row>
    <row r="863" spans="2:7">
      <c r="B863" s="59">
        <v>6</v>
      </c>
      <c r="C863" s="45" t="s">
        <v>155</v>
      </c>
      <c r="G863" s="126"/>
    </row>
    <row r="864" spans="2:7">
      <c r="B864" s="59">
        <v>7</v>
      </c>
      <c r="C864" s="45" t="s">
        <v>143</v>
      </c>
      <c r="G864" s="126"/>
    </row>
    <row r="865" spans="2:7">
      <c r="B865" s="59">
        <v>8</v>
      </c>
      <c r="C865" s="45" t="s">
        <v>33</v>
      </c>
      <c r="G865" s="126"/>
    </row>
    <row r="866" spans="2:7">
      <c r="B866" s="59">
        <v>9</v>
      </c>
      <c r="C866" s="45" t="s">
        <v>139</v>
      </c>
      <c r="G866" s="126"/>
    </row>
    <row r="867" spans="2:7">
      <c r="B867" s="59">
        <v>10</v>
      </c>
      <c r="C867" s="45" t="s">
        <v>149</v>
      </c>
      <c r="G867" s="126"/>
    </row>
    <row r="868" spans="2:7">
      <c r="B868" s="59">
        <v>11</v>
      </c>
      <c r="C868" s="45" t="s">
        <v>42</v>
      </c>
      <c r="G868" s="126"/>
    </row>
    <row r="869" spans="2:7">
      <c r="B869" s="59">
        <v>12</v>
      </c>
      <c r="C869" s="45" t="s">
        <v>19</v>
      </c>
      <c r="G869" s="126"/>
    </row>
    <row r="870" spans="2:7">
      <c r="B870" s="59">
        <v>13</v>
      </c>
      <c r="C870" s="45" t="s">
        <v>145</v>
      </c>
      <c r="G870" s="126"/>
    </row>
    <row r="871" spans="2:7">
      <c r="B871" s="59">
        <v>14</v>
      </c>
      <c r="C871" s="45" t="s">
        <v>34</v>
      </c>
      <c r="G871" s="126"/>
    </row>
    <row r="872" spans="2:7">
      <c r="B872" s="59">
        <v>15</v>
      </c>
      <c r="C872" s="45" t="s">
        <v>16</v>
      </c>
      <c r="G872" s="126"/>
    </row>
    <row r="873" spans="2:7">
      <c r="B873" s="125"/>
      <c r="G873" s="126"/>
    </row>
    <row r="874" spans="2:7">
      <c r="B874" s="125"/>
      <c r="C874" s="45" t="s">
        <v>570</v>
      </c>
      <c r="G874" s="126"/>
    </row>
    <row r="875" spans="2:7">
      <c r="B875" s="125"/>
      <c r="C875" s="45" t="s">
        <v>571</v>
      </c>
      <c r="G875" s="126"/>
    </row>
    <row r="876" spans="2:7">
      <c r="B876" s="125"/>
      <c r="C876" s="45" t="s">
        <v>572</v>
      </c>
      <c r="G876" s="126"/>
    </row>
    <row r="877" spans="2:7">
      <c r="B877" s="125"/>
      <c r="G877" s="126"/>
    </row>
    <row r="878" spans="2:7">
      <c r="B878" s="125"/>
      <c r="C878" s="124" t="s">
        <v>21</v>
      </c>
      <c r="G878" s="126"/>
    </row>
    <row r="879" spans="2:7">
      <c r="B879" s="142">
        <v>1</v>
      </c>
      <c r="C879" s="45" t="s">
        <v>16</v>
      </c>
      <c r="G879" s="126"/>
    </row>
    <row r="880" spans="2:7">
      <c r="B880" s="142">
        <v>1</v>
      </c>
      <c r="C880" s="45" t="s">
        <v>33</v>
      </c>
      <c r="G880" s="126"/>
    </row>
    <row r="881" spans="2:7">
      <c r="B881" s="142"/>
      <c r="G881" s="126"/>
    </row>
    <row r="882" spans="2:7">
      <c r="B882" s="142"/>
      <c r="C882" s="44" t="s">
        <v>337</v>
      </c>
      <c r="G882" s="126"/>
    </row>
    <row r="883" spans="2:7">
      <c r="B883" s="142">
        <v>1</v>
      </c>
      <c r="C883" s="45" t="s">
        <v>139</v>
      </c>
      <c r="G883" s="126"/>
    </row>
    <row r="884" spans="2:7">
      <c r="B884" s="142"/>
      <c r="G884" s="126"/>
    </row>
    <row r="885" spans="2:7">
      <c r="B885" s="142"/>
      <c r="C885" s="44" t="s">
        <v>22</v>
      </c>
      <c r="G885" s="126"/>
    </row>
    <row r="886" spans="2:7">
      <c r="B886" s="142">
        <v>1</v>
      </c>
      <c r="C886" s="45" t="s">
        <v>139</v>
      </c>
      <c r="G886" s="126"/>
    </row>
    <row r="887" spans="2:7">
      <c r="B887" s="142"/>
      <c r="G887" s="126"/>
    </row>
    <row r="888" spans="2:7">
      <c r="B888" s="125"/>
      <c r="C888" s="44" t="s">
        <v>401</v>
      </c>
      <c r="G888" s="126"/>
    </row>
    <row r="889" spans="2:7">
      <c r="B889" s="125"/>
      <c r="C889" s="45" t="s">
        <v>16</v>
      </c>
      <c r="G889" s="126"/>
    </row>
    <row r="890" spans="2:7" ht="13.5" thickBot="1">
      <c r="B890" s="140"/>
      <c r="C890" s="131"/>
      <c r="D890" s="131"/>
      <c r="E890" s="141"/>
      <c r="F890" s="131"/>
      <c r="G890" s="135"/>
    </row>
    <row r="892" spans="2:7" ht="13.5" thickBot="1"/>
    <row r="893" spans="2:7" ht="13.5" thickBot="1">
      <c r="B893" s="239" t="s">
        <v>573</v>
      </c>
      <c r="C893" s="240"/>
      <c r="D893" s="240"/>
      <c r="E893" s="240"/>
      <c r="F893" s="240"/>
      <c r="G893" s="241"/>
    </row>
    <row r="894" spans="2:7" ht="13.5" thickBot="1">
      <c r="B894" s="125"/>
      <c r="G894" s="126"/>
    </row>
    <row r="895" spans="2:7">
      <c r="B895" s="125"/>
      <c r="C895" s="127" t="s">
        <v>27</v>
      </c>
      <c r="D895" s="128"/>
      <c r="E895" s="128" t="s">
        <v>1</v>
      </c>
      <c r="F895" s="129">
        <v>49</v>
      </c>
      <c r="G895" s="126"/>
    </row>
    <row r="896" spans="2:7" ht="13.5" thickBot="1">
      <c r="B896" s="125"/>
      <c r="C896" s="130"/>
      <c r="D896" s="131"/>
      <c r="E896" s="131" t="s">
        <v>68</v>
      </c>
      <c r="F896" s="132">
        <v>14</v>
      </c>
      <c r="G896" s="126"/>
    </row>
    <row r="897" spans="2:7" ht="13.5" thickBot="1">
      <c r="B897" s="125"/>
      <c r="G897" s="126"/>
    </row>
    <row r="898" spans="2:7">
      <c r="B898" s="125"/>
      <c r="C898" s="127" t="s">
        <v>4</v>
      </c>
      <c r="D898" s="128"/>
      <c r="E898" s="128" t="s">
        <v>1</v>
      </c>
      <c r="F898" s="133" t="s">
        <v>561</v>
      </c>
      <c r="G898" s="126"/>
    </row>
    <row r="899" spans="2:7">
      <c r="B899" s="125"/>
      <c r="C899" s="59" t="s">
        <v>2</v>
      </c>
      <c r="E899" s="45" t="s">
        <v>574</v>
      </c>
      <c r="F899" s="126"/>
      <c r="G899" s="126"/>
    </row>
    <row r="900" spans="2:7" ht="13.5" thickBot="1">
      <c r="B900" s="125"/>
      <c r="C900" s="130" t="s">
        <v>3</v>
      </c>
      <c r="D900" s="131"/>
      <c r="E900" s="134" t="s">
        <v>344</v>
      </c>
      <c r="F900" s="135"/>
      <c r="G900" s="126"/>
    </row>
    <row r="901" spans="2:7">
      <c r="B901" s="125"/>
      <c r="G901" s="126"/>
    </row>
    <row r="902" spans="2:7" ht="13.5" thickBot="1">
      <c r="B902" s="125"/>
      <c r="G902" s="126"/>
    </row>
    <row r="903" spans="2:7" ht="13.5" thickBot="1">
      <c r="B903" s="125"/>
      <c r="C903" s="136" t="s">
        <v>29</v>
      </c>
      <c r="D903" s="137"/>
      <c r="E903" s="138" t="s">
        <v>293</v>
      </c>
      <c r="F903" s="139"/>
      <c r="G903" s="126"/>
    </row>
    <row r="904" spans="2:7">
      <c r="B904" s="125"/>
      <c r="G904" s="126"/>
    </row>
    <row r="905" spans="2:7">
      <c r="B905" s="125"/>
      <c r="C905" s="45" t="s">
        <v>5</v>
      </c>
      <c r="G905" s="126"/>
    </row>
    <row r="906" spans="2:7">
      <c r="B906" s="125"/>
      <c r="G906" s="126"/>
    </row>
    <row r="907" spans="2:7">
      <c r="B907" s="59">
        <v>1</v>
      </c>
      <c r="C907" s="45" t="s">
        <v>6</v>
      </c>
      <c r="G907" s="126"/>
    </row>
    <row r="908" spans="2:7">
      <c r="B908" s="59">
        <v>2</v>
      </c>
      <c r="C908" s="45" t="s">
        <v>7</v>
      </c>
      <c r="G908" s="126"/>
    </row>
    <row r="909" spans="2:7">
      <c r="B909" s="59">
        <v>3</v>
      </c>
      <c r="C909" s="45" t="s">
        <v>35</v>
      </c>
      <c r="G909" s="126"/>
    </row>
    <row r="910" spans="2:7">
      <c r="B910" s="59">
        <v>4</v>
      </c>
      <c r="C910" s="45" t="s">
        <v>146</v>
      </c>
      <c r="G910" s="126"/>
    </row>
    <row r="911" spans="2:7">
      <c r="B911" s="59">
        <v>5</v>
      </c>
      <c r="C911" s="45" t="s">
        <v>12</v>
      </c>
      <c r="G911" s="126"/>
    </row>
    <row r="912" spans="2:7">
      <c r="B912" s="59">
        <v>6</v>
      </c>
      <c r="C912" s="45" t="s">
        <v>155</v>
      </c>
      <c r="G912" s="126"/>
    </row>
    <row r="913" spans="2:7">
      <c r="B913" s="59">
        <v>7</v>
      </c>
      <c r="C913" s="45" t="s">
        <v>143</v>
      </c>
      <c r="G913" s="126"/>
    </row>
    <row r="914" spans="2:7">
      <c r="B914" s="59">
        <v>8</v>
      </c>
      <c r="C914" s="45" t="s">
        <v>33</v>
      </c>
      <c r="G914" s="126"/>
    </row>
    <row r="915" spans="2:7">
      <c r="B915" s="59">
        <v>9</v>
      </c>
      <c r="C915" s="45" t="s">
        <v>139</v>
      </c>
      <c r="G915" s="126"/>
    </row>
    <row r="916" spans="2:7">
      <c r="B916" s="59">
        <v>10</v>
      </c>
      <c r="C916" s="45" t="s">
        <v>149</v>
      </c>
      <c r="G916" s="126"/>
    </row>
    <row r="917" spans="2:7">
      <c r="B917" s="59">
        <v>11</v>
      </c>
      <c r="C917" s="45" t="s">
        <v>144</v>
      </c>
      <c r="G917" s="126"/>
    </row>
    <row r="918" spans="2:7">
      <c r="B918" s="59">
        <v>12</v>
      </c>
      <c r="C918" s="45" t="s">
        <v>19</v>
      </c>
      <c r="G918" s="126"/>
    </row>
    <row r="919" spans="2:7">
      <c r="B919" s="59">
        <v>13</v>
      </c>
      <c r="C919" s="45" t="s">
        <v>145</v>
      </c>
      <c r="G919" s="126"/>
    </row>
    <row r="920" spans="2:7">
      <c r="B920" s="59">
        <v>14</v>
      </c>
      <c r="C920" s="45" t="s">
        <v>34</v>
      </c>
      <c r="G920" s="126"/>
    </row>
    <row r="921" spans="2:7">
      <c r="B921" s="59">
        <v>15</v>
      </c>
      <c r="C921" s="45" t="s">
        <v>16</v>
      </c>
      <c r="G921" s="126"/>
    </row>
    <row r="922" spans="2:7">
      <c r="B922" s="125"/>
      <c r="G922" s="126"/>
    </row>
    <row r="923" spans="2:7">
      <c r="B923" s="125"/>
      <c r="C923" s="45" t="s">
        <v>485</v>
      </c>
      <c r="G923" s="126"/>
    </row>
    <row r="924" spans="2:7">
      <c r="B924" s="125"/>
      <c r="C924" s="45" t="s">
        <v>479</v>
      </c>
      <c r="G924" s="126"/>
    </row>
    <row r="925" spans="2:7">
      <c r="B925" s="125"/>
      <c r="C925" s="45" t="s">
        <v>575</v>
      </c>
      <c r="G925" s="126"/>
    </row>
    <row r="926" spans="2:7">
      <c r="B926" s="125"/>
      <c r="C926" s="45" t="s">
        <v>576</v>
      </c>
      <c r="G926" s="126"/>
    </row>
    <row r="927" spans="2:7">
      <c r="B927" s="125"/>
      <c r="C927" s="45" t="s">
        <v>552</v>
      </c>
      <c r="G927" s="126"/>
    </row>
    <row r="928" spans="2:7">
      <c r="B928" s="125"/>
      <c r="C928" s="45" t="s">
        <v>577</v>
      </c>
      <c r="G928" s="126"/>
    </row>
    <row r="929" spans="2:7">
      <c r="B929" s="125"/>
      <c r="C929" s="45" t="s">
        <v>578</v>
      </c>
      <c r="G929" s="126"/>
    </row>
    <row r="930" spans="2:7">
      <c r="B930" s="125"/>
      <c r="G930" s="126"/>
    </row>
    <row r="931" spans="2:7">
      <c r="B931" s="125"/>
      <c r="C931" s="124" t="s">
        <v>21</v>
      </c>
      <c r="G931" s="126"/>
    </row>
    <row r="932" spans="2:7">
      <c r="B932" s="142">
        <v>1</v>
      </c>
      <c r="C932" s="45" t="s">
        <v>19</v>
      </c>
      <c r="G932" s="126"/>
    </row>
    <row r="933" spans="2:7">
      <c r="B933" s="142">
        <v>1</v>
      </c>
      <c r="C933" s="45" t="s">
        <v>145</v>
      </c>
      <c r="G933" s="126"/>
    </row>
    <row r="934" spans="2:7">
      <c r="B934" s="142">
        <v>1</v>
      </c>
      <c r="C934" s="45" t="s">
        <v>56</v>
      </c>
      <c r="G934" s="126"/>
    </row>
    <row r="935" spans="2:7">
      <c r="B935" s="142">
        <v>1</v>
      </c>
      <c r="C935" s="45" t="s">
        <v>7</v>
      </c>
      <c r="G935" s="126"/>
    </row>
    <row r="936" spans="2:7">
      <c r="B936" s="142">
        <v>1</v>
      </c>
      <c r="C936" s="45" t="s">
        <v>144</v>
      </c>
      <c r="G936" s="126"/>
    </row>
    <row r="937" spans="2:7">
      <c r="B937" s="142">
        <v>2</v>
      </c>
      <c r="C937" s="45" t="s">
        <v>149</v>
      </c>
      <c r="G937" s="126"/>
    </row>
    <row r="938" spans="2:7">
      <c r="B938" s="142"/>
      <c r="G938" s="126"/>
    </row>
    <row r="939" spans="2:7">
      <c r="B939" s="142"/>
      <c r="G939" s="126"/>
    </row>
    <row r="940" spans="2:7">
      <c r="B940" s="142"/>
      <c r="C940" s="44" t="s">
        <v>337</v>
      </c>
      <c r="G940" s="126"/>
    </row>
    <row r="941" spans="2:7">
      <c r="B941" s="142">
        <v>7</v>
      </c>
      <c r="C941" s="45" t="s">
        <v>139</v>
      </c>
      <c r="G941" s="126"/>
    </row>
    <row r="942" spans="2:7">
      <c r="B942" s="142"/>
      <c r="G942" s="126"/>
    </row>
    <row r="943" spans="2:7">
      <c r="B943" s="125"/>
      <c r="C943" s="44" t="s">
        <v>401</v>
      </c>
      <c r="G943" s="126"/>
    </row>
    <row r="944" spans="2:7">
      <c r="B944" s="125"/>
      <c r="C944" s="45" t="s">
        <v>339</v>
      </c>
      <c r="G944" s="126"/>
    </row>
    <row r="945" spans="2:7" ht="13.5" thickBot="1">
      <c r="B945" s="140"/>
      <c r="C945" s="131"/>
      <c r="D945" s="131"/>
      <c r="E945" s="141"/>
      <c r="F945" s="131"/>
      <c r="G945" s="135"/>
    </row>
    <row r="947" spans="2:7" ht="13.5" thickBot="1"/>
    <row r="948" spans="2:7" ht="13.5" thickBot="1">
      <c r="B948" s="239" t="s">
        <v>579</v>
      </c>
      <c r="C948" s="240"/>
      <c r="D948" s="240"/>
      <c r="E948" s="240"/>
      <c r="F948" s="240"/>
      <c r="G948" s="241"/>
    </row>
    <row r="949" spans="2:7" ht="13.5" thickBot="1">
      <c r="B949" s="125"/>
      <c r="G949" s="126"/>
    </row>
    <row r="950" spans="2:7">
      <c r="B950" s="125"/>
      <c r="C950" s="127" t="s">
        <v>27</v>
      </c>
      <c r="D950" s="128"/>
      <c r="E950" s="128" t="s">
        <v>39</v>
      </c>
      <c r="F950" s="129">
        <v>22</v>
      </c>
      <c r="G950" s="126"/>
    </row>
    <row r="951" spans="2:7" ht="13.5" thickBot="1">
      <c r="B951" s="125"/>
      <c r="C951" s="130"/>
      <c r="D951" s="131"/>
      <c r="E951" s="131" t="s">
        <v>1</v>
      </c>
      <c r="F951" s="132">
        <v>47</v>
      </c>
      <c r="G951" s="126"/>
    </row>
    <row r="952" spans="2:7" ht="13.5" thickBot="1">
      <c r="B952" s="125"/>
      <c r="G952" s="126"/>
    </row>
    <row r="953" spans="2:7">
      <c r="B953" s="125"/>
      <c r="C953" s="127" t="s">
        <v>4</v>
      </c>
      <c r="D953" s="128"/>
      <c r="E953" s="128" t="s">
        <v>39</v>
      </c>
      <c r="F953" s="133"/>
      <c r="G953" s="126"/>
    </row>
    <row r="954" spans="2:7">
      <c r="B954" s="125"/>
      <c r="C954" s="59" t="s">
        <v>2</v>
      </c>
      <c r="E954" s="45" t="s">
        <v>326</v>
      </c>
      <c r="F954" s="126"/>
      <c r="G954" s="126"/>
    </row>
    <row r="955" spans="2:7" ht="13.5" thickBot="1">
      <c r="B955" s="125"/>
      <c r="C955" s="130" t="s">
        <v>3</v>
      </c>
      <c r="D955" s="131"/>
      <c r="E955" s="134" t="s">
        <v>326</v>
      </c>
      <c r="F955" s="135"/>
      <c r="G955" s="126"/>
    </row>
    <row r="956" spans="2:7">
      <c r="B956" s="125"/>
      <c r="G956" s="126"/>
    </row>
    <row r="957" spans="2:7" ht="13.5" thickBot="1">
      <c r="B957" s="125"/>
      <c r="G957" s="126"/>
    </row>
    <row r="958" spans="2:7" ht="13.5" thickBot="1">
      <c r="B958" s="125"/>
      <c r="C958" s="136" t="s">
        <v>29</v>
      </c>
      <c r="D958" s="137"/>
      <c r="E958" s="138" t="s">
        <v>289</v>
      </c>
      <c r="F958" s="139"/>
      <c r="G958" s="126"/>
    </row>
    <row r="959" spans="2:7">
      <c r="B959" s="125"/>
      <c r="G959" s="126"/>
    </row>
    <row r="960" spans="2:7">
      <c r="B960" s="125"/>
      <c r="C960" s="45" t="s">
        <v>5</v>
      </c>
      <c r="G960" s="126"/>
    </row>
    <row r="961" spans="2:7">
      <c r="B961" s="125"/>
      <c r="G961" s="126"/>
    </row>
    <row r="962" spans="2:7">
      <c r="B962" s="59">
        <v>1</v>
      </c>
      <c r="C962" s="45" t="s">
        <v>6</v>
      </c>
      <c r="G962" s="126"/>
    </row>
    <row r="963" spans="2:7">
      <c r="B963" s="59">
        <v>2</v>
      </c>
      <c r="C963" s="45" t="s">
        <v>147</v>
      </c>
      <c r="G963" s="126"/>
    </row>
    <row r="964" spans="2:7">
      <c r="B964" s="59">
        <v>3</v>
      </c>
      <c r="C964" s="45" t="s">
        <v>35</v>
      </c>
      <c r="G964" s="126"/>
    </row>
    <row r="965" spans="2:7">
      <c r="B965" s="59">
        <v>4</v>
      </c>
      <c r="C965" s="45" t="s">
        <v>146</v>
      </c>
      <c r="G965" s="126"/>
    </row>
    <row r="966" spans="2:7">
      <c r="B966" s="59">
        <v>5</v>
      </c>
      <c r="C966" s="45" t="s">
        <v>12</v>
      </c>
      <c r="G966" s="126"/>
    </row>
    <row r="967" spans="2:7">
      <c r="B967" s="59">
        <v>6</v>
      </c>
      <c r="C967" s="45" t="s">
        <v>155</v>
      </c>
      <c r="G967" s="126"/>
    </row>
    <row r="968" spans="2:7">
      <c r="B968" s="59">
        <v>7</v>
      </c>
      <c r="C968" s="45" t="s">
        <v>143</v>
      </c>
      <c r="G968" s="126"/>
    </row>
    <row r="969" spans="2:7">
      <c r="B969" s="59">
        <v>8</v>
      </c>
      <c r="C969" s="45" t="s">
        <v>33</v>
      </c>
      <c r="G969" s="126"/>
    </row>
    <row r="970" spans="2:7">
      <c r="B970" s="59">
        <v>9</v>
      </c>
      <c r="C970" s="45" t="s">
        <v>139</v>
      </c>
      <c r="G970" s="126"/>
    </row>
    <row r="971" spans="2:7">
      <c r="B971" s="59">
        <v>10</v>
      </c>
      <c r="C971" s="45" t="s">
        <v>149</v>
      </c>
      <c r="G971" s="126"/>
    </row>
    <row r="972" spans="2:7">
      <c r="B972" s="59">
        <v>11</v>
      </c>
      <c r="C972" s="45" t="s">
        <v>144</v>
      </c>
      <c r="G972" s="126"/>
    </row>
    <row r="973" spans="2:7">
      <c r="B973" s="59">
        <v>12</v>
      </c>
      <c r="C973" s="45" t="s">
        <v>19</v>
      </c>
      <c r="G973" s="126"/>
    </row>
    <row r="974" spans="2:7">
      <c r="B974" s="59">
        <v>13</v>
      </c>
      <c r="C974" s="45" t="s">
        <v>145</v>
      </c>
      <c r="G974" s="126"/>
    </row>
    <row r="975" spans="2:7">
      <c r="B975" s="59">
        <v>14</v>
      </c>
      <c r="C975" s="45" t="s">
        <v>34</v>
      </c>
      <c r="G975" s="126"/>
    </row>
    <row r="976" spans="2:7">
      <c r="B976" s="59">
        <v>15</v>
      </c>
      <c r="C976" s="45" t="s">
        <v>16</v>
      </c>
      <c r="G976" s="126"/>
    </row>
    <row r="977" spans="2:7">
      <c r="B977" s="125"/>
      <c r="G977" s="126"/>
    </row>
    <row r="978" spans="2:7">
      <c r="B978" s="125"/>
      <c r="C978" s="45" t="s">
        <v>570</v>
      </c>
      <c r="G978" s="126"/>
    </row>
    <row r="979" spans="2:7">
      <c r="B979" s="125"/>
      <c r="C979" s="45" t="s">
        <v>580</v>
      </c>
      <c r="G979" s="126"/>
    </row>
    <row r="980" spans="2:7">
      <c r="B980" s="125"/>
      <c r="C980" s="45" t="s">
        <v>581</v>
      </c>
      <c r="G980" s="126"/>
    </row>
    <row r="981" spans="2:7">
      <c r="B981" s="125"/>
      <c r="C981" s="45" t="s">
        <v>582</v>
      </c>
      <c r="G981" s="126"/>
    </row>
    <row r="982" spans="2:7">
      <c r="B982" s="125"/>
      <c r="G982" s="126"/>
    </row>
    <row r="983" spans="2:7">
      <c r="B983" s="125"/>
      <c r="C983" s="124" t="s">
        <v>21</v>
      </c>
      <c r="G983" s="126"/>
    </row>
    <row r="984" spans="2:7">
      <c r="B984" s="142">
        <v>2</v>
      </c>
      <c r="C984" s="45" t="s">
        <v>139</v>
      </c>
      <c r="G984" s="126"/>
    </row>
    <row r="985" spans="2:7">
      <c r="B985" s="142">
        <v>1</v>
      </c>
      <c r="C985" s="45" t="s">
        <v>146</v>
      </c>
      <c r="G985" s="126"/>
    </row>
    <row r="986" spans="2:7">
      <c r="B986" s="142">
        <v>1</v>
      </c>
      <c r="C986" s="45" t="s">
        <v>144</v>
      </c>
      <c r="G986" s="126"/>
    </row>
    <row r="987" spans="2:7">
      <c r="B987" s="142">
        <v>1</v>
      </c>
      <c r="C987" s="45" t="s">
        <v>16</v>
      </c>
      <c r="G987" s="126"/>
    </row>
    <row r="988" spans="2:7">
      <c r="B988" s="142">
        <v>1</v>
      </c>
      <c r="C988" s="45" t="s">
        <v>155</v>
      </c>
      <c r="G988" s="126"/>
    </row>
    <row r="989" spans="2:7">
      <c r="B989" s="142">
        <v>1</v>
      </c>
      <c r="C989" s="45" t="s">
        <v>156</v>
      </c>
      <c r="G989" s="126"/>
    </row>
    <row r="990" spans="2:7">
      <c r="B990" s="142"/>
      <c r="G990" s="126"/>
    </row>
    <row r="991" spans="2:7">
      <c r="B991" s="142"/>
      <c r="C991" s="44" t="s">
        <v>337</v>
      </c>
      <c r="G991" s="126"/>
    </row>
    <row r="992" spans="2:7">
      <c r="B992" s="142">
        <v>6</v>
      </c>
      <c r="C992" s="45" t="s">
        <v>139</v>
      </c>
      <c r="G992" s="126"/>
    </row>
    <row r="993" spans="2:7">
      <c r="B993" s="142"/>
      <c r="G993" s="126"/>
    </row>
    <row r="994" spans="2:7">
      <c r="B994" s="125"/>
      <c r="C994" s="44" t="s">
        <v>401</v>
      </c>
      <c r="G994" s="126"/>
    </row>
    <row r="995" spans="2:7">
      <c r="B995" s="125" t="s">
        <v>336</v>
      </c>
      <c r="C995" s="45" t="s">
        <v>33</v>
      </c>
      <c r="G995" s="126"/>
    </row>
    <row r="996" spans="2:7">
      <c r="B996" s="125"/>
      <c r="G996" s="126"/>
    </row>
    <row r="997" spans="2:7" ht="13.5" thickBot="1">
      <c r="B997" s="140"/>
      <c r="C997" s="131"/>
      <c r="D997" s="131"/>
      <c r="E997" s="141"/>
      <c r="F997" s="131"/>
      <c r="G997" s="135"/>
    </row>
    <row r="999" spans="2:7" ht="13.5" thickBot="1"/>
    <row r="1000" spans="2:7" ht="13.5" thickBot="1">
      <c r="B1000" s="239" t="s">
        <v>583</v>
      </c>
      <c r="C1000" s="240"/>
      <c r="D1000" s="240"/>
      <c r="E1000" s="240"/>
      <c r="F1000" s="240"/>
      <c r="G1000" s="241"/>
    </row>
    <row r="1001" spans="2:7" ht="13.5" thickBot="1">
      <c r="B1001" s="125"/>
      <c r="G1001" s="126"/>
    </row>
    <row r="1002" spans="2:7">
      <c r="B1002" s="125"/>
      <c r="C1002" s="127" t="s">
        <v>27</v>
      </c>
      <c r="D1002" s="128"/>
      <c r="E1002" s="128" t="s">
        <v>1</v>
      </c>
      <c r="F1002" s="129">
        <v>39</v>
      </c>
      <c r="G1002" s="126"/>
    </row>
    <row r="1003" spans="2:7" ht="13.5" thickBot="1">
      <c r="B1003" s="125"/>
      <c r="C1003" s="130"/>
      <c r="D1003" s="131"/>
      <c r="E1003" s="131" t="s">
        <v>65</v>
      </c>
      <c r="F1003" s="132">
        <v>20</v>
      </c>
      <c r="G1003" s="126"/>
    </row>
    <row r="1004" spans="2:7" ht="13.5" thickBot="1">
      <c r="B1004" s="125"/>
      <c r="G1004" s="126"/>
    </row>
    <row r="1005" spans="2:7">
      <c r="B1005" s="125"/>
      <c r="C1005" s="127" t="s">
        <v>4</v>
      </c>
      <c r="D1005" s="128"/>
      <c r="E1005" s="128" t="s">
        <v>1</v>
      </c>
      <c r="F1005" s="133" t="s">
        <v>561</v>
      </c>
      <c r="G1005" s="126"/>
    </row>
    <row r="1006" spans="2:7">
      <c r="B1006" s="125"/>
      <c r="C1006" s="59" t="s">
        <v>2</v>
      </c>
      <c r="E1006" s="45" t="s">
        <v>326</v>
      </c>
      <c r="F1006" s="126"/>
      <c r="G1006" s="126"/>
    </row>
    <row r="1007" spans="2:7" ht="13.5" thickBot="1">
      <c r="B1007" s="125"/>
      <c r="C1007" s="130" t="s">
        <v>3</v>
      </c>
      <c r="D1007" s="131"/>
      <c r="E1007" s="134" t="s">
        <v>326</v>
      </c>
      <c r="F1007" s="135"/>
      <c r="G1007" s="126"/>
    </row>
    <row r="1008" spans="2:7">
      <c r="B1008" s="125"/>
      <c r="G1008" s="126"/>
    </row>
    <row r="1009" spans="2:7" ht="13.5" thickBot="1">
      <c r="B1009" s="125"/>
      <c r="G1009" s="126"/>
    </row>
    <row r="1010" spans="2:7" ht="13.5" thickBot="1">
      <c r="B1010" s="125"/>
      <c r="C1010" s="136" t="s">
        <v>29</v>
      </c>
      <c r="D1010" s="137"/>
      <c r="E1010" s="138" t="s">
        <v>278</v>
      </c>
      <c r="F1010" s="139"/>
      <c r="G1010" s="126"/>
    </row>
    <row r="1011" spans="2:7">
      <c r="B1011" s="125"/>
      <c r="G1011" s="126"/>
    </row>
    <row r="1012" spans="2:7">
      <c r="B1012" s="125"/>
      <c r="C1012" s="45" t="s">
        <v>5</v>
      </c>
      <c r="G1012" s="126"/>
    </row>
    <row r="1013" spans="2:7">
      <c r="B1013" s="125"/>
      <c r="G1013" s="126"/>
    </row>
    <row r="1014" spans="2:7">
      <c r="B1014" s="59">
        <v>1</v>
      </c>
      <c r="C1014" s="45" t="s">
        <v>6</v>
      </c>
      <c r="G1014" s="126"/>
    </row>
    <row r="1015" spans="2:7">
      <c r="B1015" s="59">
        <v>2</v>
      </c>
      <c r="C1015" s="45" t="s">
        <v>7</v>
      </c>
      <c r="G1015" s="126"/>
    </row>
    <row r="1016" spans="2:7">
      <c r="B1016" s="59">
        <v>3</v>
      </c>
      <c r="C1016" s="45" t="s">
        <v>35</v>
      </c>
      <c r="G1016" s="126"/>
    </row>
    <row r="1017" spans="2:7">
      <c r="B1017" s="59">
        <v>4</v>
      </c>
      <c r="C1017" s="45" t="s">
        <v>146</v>
      </c>
      <c r="G1017" s="126"/>
    </row>
    <row r="1018" spans="2:7">
      <c r="B1018" s="59">
        <v>5</v>
      </c>
      <c r="C1018" s="45" t="s">
        <v>12</v>
      </c>
      <c r="G1018" s="126"/>
    </row>
    <row r="1019" spans="2:7">
      <c r="B1019" s="59">
        <v>6</v>
      </c>
      <c r="C1019" s="45" t="s">
        <v>155</v>
      </c>
      <c r="G1019" s="126"/>
    </row>
    <row r="1020" spans="2:7">
      <c r="B1020" s="59">
        <v>7</v>
      </c>
      <c r="C1020" s="45" t="s">
        <v>143</v>
      </c>
      <c r="G1020" s="126"/>
    </row>
    <row r="1021" spans="2:7">
      <c r="B1021" s="59">
        <v>8</v>
      </c>
      <c r="C1021" s="45" t="s">
        <v>33</v>
      </c>
      <c r="G1021" s="126"/>
    </row>
    <row r="1022" spans="2:7">
      <c r="B1022" s="59">
        <v>9</v>
      </c>
      <c r="C1022" s="45" t="s">
        <v>139</v>
      </c>
      <c r="G1022" s="126"/>
    </row>
    <row r="1023" spans="2:7">
      <c r="B1023" s="59">
        <v>10</v>
      </c>
      <c r="C1023" s="45" t="s">
        <v>149</v>
      </c>
      <c r="G1023" s="126"/>
    </row>
    <row r="1024" spans="2:7">
      <c r="B1024" s="59">
        <v>11</v>
      </c>
      <c r="C1024" s="45" t="s">
        <v>144</v>
      </c>
      <c r="G1024" s="126"/>
    </row>
    <row r="1025" spans="2:8">
      <c r="B1025" s="59">
        <v>12</v>
      </c>
      <c r="C1025" s="45" t="s">
        <v>19</v>
      </c>
      <c r="G1025" s="126"/>
    </row>
    <row r="1026" spans="2:8">
      <c r="B1026" s="59">
        <v>13</v>
      </c>
      <c r="C1026" s="45" t="s">
        <v>145</v>
      </c>
      <c r="G1026" s="126"/>
    </row>
    <row r="1027" spans="2:8">
      <c r="B1027" s="59">
        <v>14</v>
      </c>
      <c r="C1027" s="45" t="s">
        <v>34</v>
      </c>
      <c r="G1027" s="126"/>
    </row>
    <row r="1028" spans="2:8">
      <c r="B1028" s="59">
        <v>15</v>
      </c>
      <c r="C1028" s="45" t="s">
        <v>16</v>
      </c>
      <c r="G1028" s="126"/>
    </row>
    <row r="1029" spans="2:8">
      <c r="B1029" s="125"/>
      <c r="G1029" s="126"/>
    </row>
    <row r="1030" spans="2:8">
      <c r="B1030" s="125"/>
      <c r="C1030" s="45" t="s">
        <v>584</v>
      </c>
      <c r="G1030" s="126"/>
    </row>
    <row r="1031" spans="2:8">
      <c r="B1031" s="125"/>
      <c r="G1031" s="126"/>
    </row>
    <row r="1032" spans="2:8">
      <c r="B1032" s="125"/>
      <c r="C1032" s="124" t="s">
        <v>21</v>
      </c>
      <c r="G1032" s="126"/>
    </row>
    <row r="1033" spans="2:8">
      <c r="B1033" s="142">
        <v>2</v>
      </c>
      <c r="C1033" s="45" t="s">
        <v>33</v>
      </c>
      <c r="G1033" s="126"/>
    </row>
    <row r="1034" spans="2:8">
      <c r="B1034" s="142">
        <v>1</v>
      </c>
      <c r="C1034" s="45" t="s">
        <v>16</v>
      </c>
      <c r="G1034" s="126"/>
    </row>
    <row r="1035" spans="2:8">
      <c r="B1035" s="142">
        <v>1</v>
      </c>
      <c r="C1035" s="45" t="s">
        <v>34</v>
      </c>
      <c r="G1035" s="126"/>
    </row>
    <row r="1036" spans="2:8">
      <c r="B1036" s="142">
        <v>1</v>
      </c>
      <c r="C1036" s="45" t="s">
        <v>146</v>
      </c>
      <c r="G1036" s="126"/>
    </row>
    <row r="1037" spans="2:8">
      <c r="B1037" s="142"/>
      <c r="G1037" s="126"/>
    </row>
    <row r="1038" spans="2:8">
      <c r="B1038" s="142"/>
      <c r="C1038" s="44" t="s">
        <v>337</v>
      </c>
      <c r="G1038" s="126"/>
      <c r="H1038" s="45">
        <v>10</v>
      </c>
    </row>
    <row r="1039" spans="2:8">
      <c r="B1039" s="142">
        <v>4</v>
      </c>
      <c r="C1039" s="45" t="s">
        <v>139</v>
      </c>
      <c r="G1039" s="126"/>
    </row>
    <row r="1040" spans="2:8">
      <c r="B1040" s="142"/>
      <c r="G1040" s="126"/>
    </row>
    <row r="1041" spans="2:7">
      <c r="B1041" s="142"/>
      <c r="C1041" s="44" t="s">
        <v>22</v>
      </c>
      <c r="G1041" s="126"/>
    </row>
    <row r="1042" spans="2:7">
      <c r="B1042" s="142">
        <v>2</v>
      </c>
      <c r="C1042" s="45" t="s">
        <v>139</v>
      </c>
      <c r="G1042" s="126"/>
    </row>
    <row r="1043" spans="2:7">
      <c r="B1043" s="142"/>
      <c r="G1043" s="126"/>
    </row>
    <row r="1044" spans="2:7">
      <c r="B1044" s="125"/>
      <c r="C1044" s="44" t="s">
        <v>401</v>
      </c>
      <c r="G1044" s="126"/>
    </row>
    <row r="1045" spans="2:7">
      <c r="B1045" s="125" t="s">
        <v>336</v>
      </c>
      <c r="C1045" s="45" t="s">
        <v>7</v>
      </c>
      <c r="G1045" s="126"/>
    </row>
    <row r="1046" spans="2:7">
      <c r="B1046" s="125" t="s">
        <v>336</v>
      </c>
      <c r="C1046" s="45" t="s">
        <v>146</v>
      </c>
      <c r="G1046" s="126"/>
    </row>
    <row r="1047" spans="2:7" ht="13.5" thickBot="1">
      <c r="B1047" s="140"/>
      <c r="C1047" s="131"/>
      <c r="D1047" s="131"/>
      <c r="E1047" s="141"/>
      <c r="F1047" s="131"/>
      <c r="G1047" s="135"/>
    </row>
    <row r="1049" spans="2:7" ht="13.5" thickBot="1"/>
    <row r="1050" spans="2:7" ht="13.5" thickBot="1">
      <c r="B1050" s="239" t="s">
        <v>585</v>
      </c>
      <c r="C1050" s="240"/>
      <c r="D1050" s="240"/>
      <c r="E1050" s="240"/>
      <c r="F1050" s="240"/>
      <c r="G1050" s="241"/>
    </row>
    <row r="1051" spans="2:7" ht="13.5" thickBot="1">
      <c r="B1051" s="145"/>
      <c r="C1051" s="128"/>
      <c r="D1051" s="128"/>
      <c r="E1051" s="146"/>
      <c r="F1051" s="128"/>
      <c r="G1051" s="133"/>
    </row>
    <row r="1052" spans="2:7">
      <c r="B1052" s="125"/>
      <c r="C1052" s="127" t="s">
        <v>27</v>
      </c>
      <c r="D1052" s="128"/>
      <c r="E1052" s="128" t="s">
        <v>36</v>
      </c>
      <c r="F1052" s="129">
        <v>27</v>
      </c>
      <c r="G1052" s="126"/>
    </row>
    <row r="1053" spans="2:7" ht="13.5" thickBot="1">
      <c r="B1053" s="125"/>
      <c r="C1053" s="130"/>
      <c r="D1053" s="131"/>
      <c r="E1053" s="131" t="s">
        <v>1</v>
      </c>
      <c r="F1053" s="132">
        <v>69</v>
      </c>
      <c r="G1053" s="126"/>
    </row>
    <row r="1054" spans="2:7" ht="13.5" thickBot="1">
      <c r="B1054" s="125"/>
      <c r="G1054" s="126"/>
    </row>
    <row r="1055" spans="2:7">
      <c r="B1055" s="125"/>
      <c r="C1055" s="127" t="s">
        <v>4</v>
      </c>
      <c r="D1055" s="128"/>
      <c r="E1055" s="128" t="s">
        <v>36</v>
      </c>
      <c r="F1055" s="133"/>
      <c r="G1055" s="126"/>
    </row>
    <row r="1056" spans="2:7">
      <c r="B1056" s="125"/>
      <c r="C1056" s="59" t="s">
        <v>2</v>
      </c>
      <c r="E1056" s="45" t="s">
        <v>326</v>
      </c>
      <c r="F1056" s="126"/>
      <c r="G1056" s="126"/>
    </row>
    <row r="1057" spans="2:7" ht="13.5" thickBot="1">
      <c r="B1057" s="125"/>
      <c r="C1057" s="130" t="s">
        <v>3</v>
      </c>
      <c r="D1057" s="131"/>
      <c r="E1057" s="134" t="s">
        <v>326</v>
      </c>
      <c r="F1057" s="135"/>
      <c r="G1057" s="126"/>
    </row>
    <row r="1058" spans="2:7">
      <c r="B1058" s="125"/>
      <c r="G1058" s="126"/>
    </row>
    <row r="1059" spans="2:7" ht="13.5" thickBot="1">
      <c r="B1059" s="125"/>
      <c r="G1059" s="126"/>
    </row>
    <row r="1060" spans="2:7" ht="13.5" thickBot="1">
      <c r="B1060" s="125"/>
      <c r="C1060" s="136" t="s">
        <v>29</v>
      </c>
      <c r="D1060" s="137"/>
      <c r="E1060" s="138" t="s">
        <v>275</v>
      </c>
      <c r="F1060" s="139"/>
      <c r="G1060" s="126"/>
    </row>
    <row r="1061" spans="2:7">
      <c r="B1061" s="125"/>
      <c r="G1061" s="126"/>
    </row>
    <row r="1062" spans="2:7">
      <c r="B1062" s="125"/>
      <c r="C1062" s="45" t="s">
        <v>5</v>
      </c>
      <c r="G1062" s="126"/>
    </row>
    <row r="1063" spans="2:7">
      <c r="B1063" s="125"/>
      <c r="G1063" s="126"/>
    </row>
    <row r="1064" spans="2:7">
      <c r="B1064" s="59">
        <v>1</v>
      </c>
      <c r="C1064" s="45" t="s">
        <v>6</v>
      </c>
      <c r="G1064" s="126"/>
    </row>
    <row r="1065" spans="2:7">
      <c r="B1065" s="59">
        <v>2</v>
      </c>
      <c r="C1065" s="45" t="s">
        <v>7</v>
      </c>
      <c r="G1065" s="126"/>
    </row>
    <row r="1066" spans="2:7">
      <c r="B1066" s="59">
        <v>3</v>
      </c>
      <c r="C1066" s="45" t="s">
        <v>35</v>
      </c>
      <c r="G1066" s="126"/>
    </row>
    <row r="1067" spans="2:7">
      <c r="B1067" s="59">
        <v>4</v>
      </c>
      <c r="C1067" s="45" t="s">
        <v>146</v>
      </c>
      <c r="G1067" s="126"/>
    </row>
    <row r="1068" spans="2:7">
      <c r="B1068" s="59">
        <v>5</v>
      </c>
      <c r="C1068" s="45" t="s">
        <v>12</v>
      </c>
      <c r="G1068" s="126"/>
    </row>
    <row r="1069" spans="2:7">
      <c r="B1069" s="59">
        <v>6</v>
      </c>
      <c r="C1069" s="45" t="s">
        <v>155</v>
      </c>
      <c r="G1069" s="126"/>
    </row>
    <row r="1070" spans="2:7">
      <c r="B1070" s="59">
        <v>7</v>
      </c>
      <c r="C1070" s="45" t="s">
        <v>143</v>
      </c>
      <c r="G1070" s="126"/>
    </row>
    <row r="1071" spans="2:7">
      <c r="B1071" s="59">
        <v>8</v>
      </c>
      <c r="C1071" s="45" t="s">
        <v>33</v>
      </c>
      <c r="G1071" s="126"/>
    </row>
    <row r="1072" spans="2:7">
      <c r="B1072" s="59">
        <v>9</v>
      </c>
      <c r="C1072" s="45" t="s">
        <v>139</v>
      </c>
      <c r="G1072" s="126"/>
    </row>
    <row r="1073" spans="2:7">
      <c r="B1073" s="59">
        <v>10</v>
      </c>
      <c r="C1073" s="45" t="s">
        <v>149</v>
      </c>
      <c r="G1073" s="126"/>
    </row>
    <row r="1074" spans="2:7">
      <c r="B1074" s="59">
        <v>11</v>
      </c>
      <c r="C1074" s="45" t="s">
        <v>144</v>
      </c>
      <c r="G1074" s="126"/>
    </row>
    <row r="1075" spans="2:7">
      <c r="B1075" s="59">
        <v>12</v>
      </c>
      <c r="C1075" s="45" t="s">
        <v>19</v>
      </c>
      <c r="G1075" s="126"/>
    </row>
    <row r="1076" spans="2:7">
      <c r="B1076" s="59">
        <v>13</v>
      </c>
      <c r="C1076" s="45" t="s">
        <v>145</v>
      </c>
      <c r="G1076" s="126"/>
    </row>
    <row r="1077" spans="2:7">
      <c r="B1077" s="59">
        <v>14</v>
      </c>
      <c r="C1077" s="45" t="s">
        <v>34</v>
      </c>
      <c r="G1077" s="126"/>
    </row>
    <row r="1078" spans="2:7">
      <c r="B1078" s="59">
        <v>15</v>
      </c>
      <c r="C1078" s="45" t="s">
        <v>16</v>
      </c>
      <c r="G1078" s="126"/>
    </row>
    <row r="1079" spans="2:7">
      <c r="B1079" s="125"/>
      <c r="G1079" s="126"/>
    </row>
    <row r="1080" spans="2:7">
      <c r="B1080" s="125"/>
      <c r="C1080" s="45" t="s">
        <v>485</v>
      </c>
      <c r="G1080" s="126"/>
    </row>
    <row r="1081" spans="2:7">
      <c r="B1081" s="125"/>
      <c r="C1081" s="45" t="s">
        <v>486</v>
      </c>
      <c r="G1081" s="126"/>
    </row>
    <row r="1082" spans="2:7">
      <c r="B1082" s="125"/>
      <c r="C1082" s="45" t="s">
        <v>479</v>
      </c>
      <c r="G1082" s="126"/>
    </row>
    <row r="1083" spans="2:7">
      <c r="B1083" s="125"/>
      <c r="C1083" s="45" t="s">
        <v>575</v>
      </c>
      <c r="G1083" s="126"/>
    </row>
    <row r="1084" spans="2:7">
      <c r="B1084" s="125"/>
      <c r="C1084" s="45" t="s">
        <v>586</v>
      </c>
      <c r="G1084" s="126"/>
    </row>
    <row r="1085" spans="2:7">
      <c r="B1085" s="125"/>
      <c r="C1085" s="45" t="s">
        <v>587</v>
      </c>
      <c r="G1085" s="126"/>
    </row>
    <row r="1086" spans="2:7">
      <c r="B1086" s="125"/>
      <c r="C1086" s="45" t="s">
        <v>588</v>
      </c>
      <c r="G1086" s="126"/>
    </row>
    <row r="1087" spans="2:7">
      <c r="B1087" s="125"/>
      <c r="C1087" s="45" t="s">
        <v>589</v>
      </c>
      <c r="G1087" s="126"/>
    </row>
    <row r="1088" spans="2:7">
      <c r="B1088" s="125"/>
      <c r="C1088" s="45" t="s">
        <v>590</v>
      </c>
      <c r="G1088" s="126"/>
    </row>
    <row r="1089" spans="2:7">
      <c r="B1089" s="125"/>
      <c r="G1089" s="126"/>
    </row>
    <row r="1090" spans="2:7">
      <c r="B1090" s="125"/>
      <c r="C1090" s="124" t="s">
        <v>21</v>
      </c>
      <c r="G1090" s="126"/>
    </row>
    <row r="1091" spans="2:7">
      <c r="B1091" s="142">
        <v>3</v>
      </c>
      <c r="C1091" s="45" t="s">
        <v>56</v>
      </c>
      <c r="G1091" s="126"/>
    </row>
    <row r="1092" spans="2:7">
      <c r="B1092" s="142">
        <v>3</v>
      </c>
      <c r="C1092" s="45" t="s">
        <v>144</v>
      </c>
      <c r="G1092" s="126"/>
    </row>
    <row r="1093" spans="2:7">
      <c r="B1093" s="142">
        <v>1</v>
      </c>
      <c r="C1093" s="45" t="s">
        <v>146</v>
      </c>
      <c r="G1093" s="126"/>
    </row>
    <row r="1094" spans="2:7">
      <c r="B1094" s="142">
        <v>1</v>
      </c>
      <c r="C1094" s="45" t="s">
        <v>35</v>
      </c>
      <c r="G1094" s="126"/>
    </row>
    <row r="1095" spans="2:7">
      <c r="B1095" s="142">
        <v>1</v>
      </c>
      <c r="C1095" s="45" t="s">
        <v>34</v>
      </c>
      <c r="G1095" s="126"/>
    </row>
    <row r="1096" spans="2:7">
      <c r="B1096" s="142">
        <v>1</v>
      </c>
      <c r="C1096" s="45" t="s">
        <v>19</v>
      </c>
      <c r="G1096" s="126"/>
    </row>
    <row r="1097" spans="2:7">
      <c r="B1097" s="142">
        <v>1</v>
      </c>
      <c r="C1097" s="45" t="s">
        <v>143</v>
      </c>
      <c r="G1097" s="126"/>
    </row>
    <row r="1098" spans="2:7">
      <c r="B1098" s="142"/>
      <c r="G1098" s="126"/>
    </row>
    <row r="1099" spans="2:7">
      <c r="B1099" s="142"/>
      <c r="C1099" s="44" t="s">
        <v>337</v>
      </c>
      <c r="G1099" s="126"/>
    </row>
    <row r="1100" spans="2:7">
      <c r="B1100" s="142">
        <v>5</v>
      </c>
      <c r="C1100" s="45" t="s">
        <v>139</v>
      </c>
      <c r="G1100" s="126"/>
    </row>
    <row r="1101" spans="2:7">
      <c r="B1101" s="142">
        <v>1</v>
      </c>
      <c r="C1101" s="45" t="s">
        <v>591</v>
      </c>
      <c r="G1101" s="126"/>
    </row>
    <row r="1102" spans="2:7">
      <c r="B1102" s="142">
        <v>1</v>
      </c>
      <c r="C1102" s="45" t="s">
        <v>157</v>
      </c>
      <c r="G1102" s="126"/>
    </row>
    <row r="1103" spans="2:7">
      <c r="B1103" s="142"/>
      <c r="G1103" s="126"/>
    </row>
    <row r="1104" spans="2:7">
      <c r="B1104" s="125"/>
      <c r="C1104" s="44" t="s">
        <v>401</v>
      </c>
      <c r="G1104" s="126"/>
    </row>
    <row r="1105" spans="2:7">
      <c r="B1105" s="125"/>
      <c r="C1105" s="45" t="s">
        <v>339</v>
      </c>
      <c r="G1105" s="126"/>
    </row>
    <row r="1106" spans="2:7" ht="13.5" thickBot="1">
      <c r="B1106" s="140"/>
      <c r="C1106" s="131"/>
      <c r="D1106" s="131"/>
      <c r="E1106" s="141"/>
      <c r="F1106" s="131"/>
      <c r="G1106" s="135"/>
    </row>
    <row r="1108" spans="2:7" ht="13.5" thickBot="1"/>
    <row r="1109" spans="2:7" ht="13.5" thickBot="1">
      <c r="B1109" s="239" t="s">
        <v>592</v>
      </c>
      <c r="C1109" s="240"/>
      <c r="D1109" s="240"/>
      <c r="E1109" s="240"/>
      <c r="F1109" s="240"/>
      <c r="G1109" s="241"/>
    </row>
    <row r="1110" spans="2:7" ht="13.5" thickBot="1">
      <c r="B1110" s="145"/>
      <c r="C1110" s="128"/>
      <c r="D1110" s="128"/>
      <c r="E1110" s="146"/>
      <c r="F1110" s="128"/>
      <c r="G1110" s="133"/>
    </row>
    <row r="1111" spans="2:7">
      <c r="B1111" s="125"/>
      <c r="C1111" s="127" t="s">
        <v>27</v>
      </c>
      <c r="D1111" s="128"/>
      <c r="E1111" s="128" t="s">
        <v>1</v>
      </c>
      <c r="F1111" s="129">
        <v>39</v>
      </c>
      <c r="G1111" s="126"/>
    </row>
    <row r="1112" spans="2:7" ht="13.5" thickBot="1">
      <c r="B1112" s="125"/>
      <c r="C1112" s="130"/>
      <c r="D1112" s="131"/>
      <c r="E1112" s="131" t="s">
        <v>71</v>
      </c>
      <c r="F1112" s="132">
        <v>13</v>
      </c>
      <c r="G1112" s="126"/>
    </row>
    <row r="1113" spans="2:7" ht="13.5" thickBot="1">
      <c r="B1113" s="125"/>
      <c r="G1113" s="126"/>
    </row>
    <row r="1114" spans="2:7">
      <c r="B1114" s="125"/>
      <c r="C1114" s="127" t="s">
        <v>4</v>
      </c>
      <c r="D1114" s="128"/>
      <c r="E1114" s="128" t="s">
        <v>1</v>
      </c>
      <c r="F1114" s="133" t="s">
        <v>593</v>
      </c>
      <c r="G1114" s="126"/>
    </row>
    <row r="1115" spans="2:7">
      <c r="B1115" s="125"/>
      <c r="C1115" s="59" t="s">
        <v>2</v>
      </c>
      <c r="E1115" s="45" t="s">
        <v>326</v>
      </c>
      <c r="F1115" s="126"/>
      <c r="G1115" s="126"/>
    </row>
    <row r="1116" spans="2:7" ht="13.5" thickBot="1">
      <c r="B1116" s="125"/>
      <c r="C1116" s="130" t="s">
        <v>3</v>
      </c>
      <c r="D1116" s="131"/>
      <c r="E1116" s="134" t="s">
        <v>326</v>
      </c>
      <c r="F1116" s="135"/>
      <c r="G1116" s="126"/>
    </row>
    <row r="1117" spans="2:7">
      <c r="B1117" s="125"/>
      <c r="G1117" s="126"/>
    </row>
    <row r="1118" spans="2:7" ht="13.5" thickBot="1">
      <c r="B1118" s="125"/>
      <c r="G1118" s="126"/>
    </row>
    <row r="1119" spans="2:7" ht="13.5" thickBot="1">
      <c r="B1119" s="125"/>
      <c r="C1119" s="136" t="s">
        <v>29</v>
      </c>
      <c r="D1119" s="137"/>
      <c r="E1119" s="138" t="s">
        <v>471</v>
      </c>
      <c r="F1119" s="139"/>
      <c r="G1119" s="126"/>
    </row>
    <row r="1120" spans="2:7">
      <c r="B1120" s="125"/>
      <c r="G1120" s="126"/>
    </row>
    <row r="1121" spans="2:7">
      <c r="B1121" s="125"/>
      <c r="C1121" s="45" t="s">
        <v>5</v>
      </c>
      <c r="G1121" s="126"/>
    </row>
    <row r="1122" spans="2:7">
      <c r="B1122" s="125"/>
      <c r="G1122" s="126"/>
    </row>
    <row r="1123" spans="2:7">
      <c r="B1123" s="59">
        <v>1</v>
      </c>
      <c r="C1123" s="45" t="s">
        <v>6</v>
      </c>
      <c r="G1123" s="126"/>
    </row>
    <row r="1124" spans="2:7">
      <c r="B1124" s="59">
        <v>2</v>
      </c>
      <c r="C1124" s="45" t="s">
        <v>7</v>
      </c>
      <c r="G1124" s="126"/>
    </row>
    <row r="1125" spans="2:7">
      <c r="B1125" s="59">
        <v>3</v>
      </c>
      <c r="C1125" s="45" t="s">
        <v>35</v>
      </c>
      <c r="G1125" s="126"/>
    </row>
    <row r="1126" spans="2:7">
      <c r="B1126" s="59">
        <v>4</v>
      </c>
      <c r="C1126" s="45" t="s">
        <v>146</v>
      </c>
      <c r="G1126" s="126"/>
    </row>
    <row r="1127" spans="2:7">
      <c r="B1127" s="59">
        <v>5</v>
      </c>
      <c r="C1127" s="45" t="s">
        <v>12</v>
      </c>
      <c r="G1127" s="126"/>
    </row>
    <row r="1128" spans="2:7">
      <c r="B1128" s="59">
        <v>6</v>
      </c>
      <c r="C1128" s="45" t="s">
        <v>155</v>
      </c>
      <c r="G1128" s="126"/>
    </row>
    <row r="1129" spans="2:7">
      <c r="B1129" s="59">
        <v>7</v>
      </c>
      <c r="C1129" s="45" t="s">
        <v>143</v>
      </c>
      <c r="G1129" s="126"/>
    </row>
    <row r="1130" spans="2:7">
      <c r="B1130" s="59">
        <v>8</v>
      </c>
      <c r="C1130" s="45" t="s">
        <v>33</v>
      </c>
      <c r="G1130" s="126"/>
    </row>
    <row r="1131" spans="2:7">
      <c r="B1131" s="59">
        <v>9</v>
      </c>
      <c r="C1131" s="45" t="s">
        <v>139</v>
      </c>
      <c r="G1131" s="126"/>
    </row>
    <row r="1132" spans="2:7">
      <c r="B1132" s="59">
        <v>10</v>
      </c>
      <c r="C1132" s="45" t="s">
        <v>149</v>
      </c>
      <c r="G1132" s="126"/>
    </row>
    <row r="1133" spans="2:7">
      <c r="B1133" s="59">
        <v>11</v>
      </c>
      <c r="C1133" s="45" t="s">
        <v>42</v>
      </c>
      <c r="G1133" s="126"/>
    </row>
    <row r="1134" spans="2:7">
      <c r="B1134" s="59">
        <v>12</v>
      </c>
      <c r="C1134" s="45" t="s">
        <v>19</v>
      </c>
      <c r="G1134" s="126"/>
    </row>
    <row r="1135" spans="2:7">
      <c r="B1135" s="59">
        <v>13</v>
      </c>
      <c r="C1135" s="45" t="s">
        <v>145</v>
      </c>
      <c r="G1135" s="126"/>
    </row>
    <row r="1136" spans="2:7">
      <c r="B1136" s="59">
        <v>14</v>
      </c>
      <c r="C1136" s="45" t="s">
        <v>34</v>
      </c>
      <c r="G1136" s="126"/>
    </row>
    <row r="1137" spans="2:7">
      <c r="B1137" s="59">
        <v>15</v>
      </c>
      <c r="C1137" s="45" t="s">
        <v>144</v>
      </c>
      <c r="G1137" s="126"/>
    </row>
    <row r="1138" spans="2:7">
      <c r="B1138" s="125"/>
      <c r="G1138" s="126"/>
    </row>
    <row r="1139" spans="2:7">
      <c r="B1139" s="125"/>
      <c r="C1139" s="45" t="s">
        <v>594</v>
      </c>
      <c r="G1139" s="126"/>
    </row>
    <row r="1140" spans="2:7">
      <c r="B1140" s="125"/>
      <c r="C1140" s="45" t="s">
        <v>595</v>
      </c>
      <c r="G1140" s="126"/>
    </row>
    <row r="1141" spans="2:7">
      <c r="B1141" s="125"/>
      <c r="C1141" s="45" t="s">
        <v>596</v>
      </c>
      <c r="G1141" s="126"/>
    </row>
    <row r="1142" spans="2:7">
      <c r="B1142" s="125"/>
      <c r="C1142" s="45" t="s">
        <v>597</v>
      </c>
      <c r="G1142" s="126"/>
    </row>
    <row r="1143" spans="2:7">
      <c r="B1143" s="125"/>
      <c r="C1143" s="45" t="s">
        <v>588</v>
      </c>
      <c r="G1143" s="126"/>
    </row>
    <row r="1144" spans="2:7">
      <c r="B1144" s="125"/>
      <c r="C1144" s="45" t="s">
        <v>598</v>
      </c>
      <c r="G1144" s="126"/>
    </row>
    <row r="1145" spans="2:7">
      <c r="B1145" s="125"/>
      <c r="C1145" s="45" t="s">
        <v>599</v>
      </c>
      <c r="G1145" s="126"/>
    </row>
    <row r="1146" spans="2:7">
      <c r="B1146" s="125"/>
      <c r="G1146" s="126"/>
    </row>
    <row r="1147" spans="2:7">
      <c r="B1147" s="125"/>
      <c r="C1147" s="124" t="s">
        <v>21</v>
      </c>
      <c r="G1147" s="126"/>
    </row>
    <row r="1148" spans="2:7">
      <c r="B1148" s="142">
        <v>2</v>
      </c>
      <c r="C1148" s="45" t="s">
        <v>33</v>
      </c>
      <c r="G1148" s="126"/>
    </row>
    <row r="1149" spans="2:7">
      <c r="B1149" s="142">
        <v>1</v>
      </c>
      <c r="C1149" s="45" t="s">
        <v>144</v>
      </c>
      <c r="G1149" s="126"/>
    </row>
    <row r="1150" spans="2:7">
      <c r="B1150" s="142">
        <v>1</v>
      </c>
      <c r="C1150" s="45" t="s">
        <v>7</v>
      </c>
      <c r="G1150" s="126"/>
    </row>
    <row r="1151" spans="2:7">
      <c r="B1151" s="142">
        <v>1</v>
      </c>
      <c r="C1151" s="45" t="s">
        <v>35</v>
      </c>
      <c r="G1151" s="126"/>
    </row>
    <row r="1152" spans="2:7">
      <c r="B1152" s="142">
        <v>1</v>
      </c>
      <c r="C1152" s="45" t="s">
        <v>145</v>
      </c>
      <c r="G1152" s="126"/>
    </row>
    <row r="1153" spans="2:7">
      <c r="B1153" s="142">
        <v>1</v>
      </c>
      <c r="C1153" s="45" t="s">
        <v>143</v>
      </c>
      <c r="G1153" s="126"/>
    </row>
    <row r="1154" spans="2:7">
      <c r="B1154" s="142"/>
      <c r="G1154" s="126"/>
    </row>
    <row r="1155" spans="2:7">
      <c r="B1155" s="142"/>
      <c r="C1155" s="44" t="s">
        <v>337</v>
      </c>
      <c r="G1155" s="126"/>
    </row>
    <row r="1156" spans="2:7">
      <c r="B1156" s="142">
        <v>2</v>
      </c>
      <c r="C1156" s="45" t="s">
        <v>139</v>
      </c>
      <c r="G1156" s="126"/>
    </row>
    <row r="1157" spans="2:7">
      <c r="B1157" s="142"/>
      <c r="G1157" s="126"/>
    </row>
    <row r="1158" spans="2:7">
      <c r="B1158" s="125"/>
      <c r="C1158" s="44" t="s">
        <v>401</v>
      </c>
      <c r="G1158" s="126"/>
    </row>
    <row r="1159" spans="2:7">
      <c r="B1159" s="125" t="s">
        <v>336</v>
      </c>
      <c r="C1159" s="45" t="s">
        <v>75</v>
      </c>
      <c r="G1159" s="126"/>
    </row>
    <row r="1160" spans="2:7" ht="13.5" thickBot="1">
      <c r="B1160" s="140"/>
      <c r="C1160" s="131"/>
      <c r="D1160" s="131"/>
      <c r="E1160" s="141"/>
      <c r="F1160" s="131"/>
      <c r="G1160" s="135"/>
    </row>
    <row r="1162" spans="2:7" ht="13.5" thickBot="1"/>
    <row r="1163" spans="2:7" ht="13.5" thickBot="1">
      <c r="B1163" s="239" t="s">
        <v>600</v>
      </c>
      <c r="C1163" s="240"/>
      <c r="D1163" s="240"/>
      <c r="E1163" s="240"/>
      <c r="F1163" s="240"/>
      <c r="G1163" s="241"/>
    </row>
    <row r="1164" spans="2:7" ht="13.5" thickBot="1">
      <c r="B1164" s="145"/>
      <c r="C1164" s="128"/>
      <c r="D1164" s="128"/>
      <c r="E1164" s="146"/>
      <c r="F1164" s="128"/>
      <c r="G1164" s="133"/>
    </row>
    <row r="1165" spans="2:7">
      <c r="B1165" s="125"/>
      <c r="C1165" s="127" t="s">
        <v>27</v>
      </c>
      <c r="D1165" s="128"/>
      <c r="E1165" s="128" t="s">
        <v>200</v>
      </c>
      <c r="F1165" s="129">
        <v>19</v>
      </c>
      <c r="G1165" s="126"/>
    </row>
    <row r="1166" spans="2:7" ht="13.5" thickBot="1">
      <c r="B1166" s="125"/>
      <c r="C1166" s="130"/>
      <c r="D1166" s="131"/>
      <c r="E1166" s="131" t="s">
        <v>1</v>
      </c>
      <c r="F1166" s="132">
        <v>35</v>
      </c>
      <c r="G1166" s="126"/>
    </row>
    <row r="1167" spans="2:7" ht="13.5" thickBot="1">
      <c r="B1167" s="125"/>
      <c r="G1167" s="126"/>
    </row>
    <row r="1168" spans="2:7">
      <c r="B1168" s="125"/>
      <c r="C1168" s="127" t="s">
        <v>4</v>
      </c>
      <c r="D1168" s="128"/>
      <c r="E1168" s="128" t="s">
        <v>41</v>
      </c>
      <c r="F1168" s="133"/>
      <c r="G1168" s="126"/>
    </row>
    <row r="1169" spans="2:7">
      <c r="B1169" s="125"/>
      <c r="C1169" s="59" t="s">
        <v>2</v>
      </c>
      <c r="E1169" s="45" t="s">
        <v>326</v>
      </c>
      <c r="F1169" s="126"/>
      <c r="G1169" s="126"/>
    </row>
    <row r="1170" spans="2:7" ht="13.5" thickBot="1">
      <c r="B1170" s="125"/>
      <c r="C1170" s="130" t="s">
        <v>3</v>
      </c>
      <c r="D1170" s="131"/>
      <c r="E1170" s="134" t="s">
        <v>344</v>
      </c>
      <c r="F1170" s="135"/>
      <c r="G1170" s="126"/>
    </row>
    <row r="1171" spans="2:7">
      <c r="B1171" s="125"/>
      <c r="G1171" s="126"/>
    </row>
    <row r="1172" spans="2:7" ht="13.5" thickBot="1">
      <c r="B1172" s="125"/>
      <c r="G1172" s="126"/>
    </row>
    <row r="1173" spans="2:7" ht="13.5" thickBot="1">
      <c r="B1173" s="125"/>
      <c r="C1173" s="136" t="s">
        <v>29</v>
      </c>
      <c r="D1173" s="137"/>
      <c r="E1173" s="138" t="s">
        <v>273</v>
      </c>
      <c r="F1173" s="139"/>
      <c r="G1173" s="126"/>
    </row>
    <row r="1174" spans="2:7">
      <c r="B1174" s="125"/>
      <c r="G1174" s="126"/>
    </row>
    <row r="1175" spans="2:7">
      <c r="B1175" s="125"/>
      <c r="C1175" s="45" t="s">
        <v>5</v>
      </c>
      <c r="G1175" s="126"/>
    </row>
    <row r="1176" spans="2:7">
      <c r="B1176" s="125"/>
      <c r="G1176" s="126"/>
    </row>
    <row r="1177" spans="2:7">
      <c r="B1177" s="59">
        <v>1</v>
      </c>
      <c r="C1177" s="45" t="s">
        <v>6</v>
      </c>
      <c r="G1177" s="126"/>
    </row>
    <row r="1178" spans="2:7">
      <c r="B1178" s="59">
        <v>2</v>
      </c>
      <c r="C1178" s="45" t="s">
        <v>7</v>
      </c>
      <c r="G1178" s="126"/>
    </row>
    <row r="1179" spans="2:7">
      <c r="B1179" s="59">
        <v>3</v>
      </c>
      <c r="C1179" s="45" t="s">
        <v>35</v>
      </c>
      <c r="G1179" s="126"/>
    </row>
    <row r="1180" spans="2:7">
      <c r="B1180" s="59">
        <v>4</v>
      </c>
      <c r="C1180" s="45" t="s">
        <v>146</v>
      </c>
      <c r="G1180" s="126"/>
    </row>
    <row r="1181" spans="2:7">
      <c r="B1181" s="59">
        <v>5</v>
      </c>
      <c r="C1181" s="45" t="s">
        <v>12</v>
      </c>
      <c r="G1181" s="126"/>
    </row>
    <row r="1182" spans="2:7">
      <c r="B1182" s="59">
        <v>6</v>
      </c>
      <c r="C1182" s="45" t="s">
        <v>155</v>
      </c>
      <c r="G1182" s="126"/>
    </row>
    <row r="1183" spans="2:7">
      <c r="B1183" s="59">
        <v>7</v>
      </c>
      <c r="C1183" s="45" t="s">
        <v>143</v>
      </c>
      <c r="G1183" s="126"/>
    </row>
    <row r="1184" spans="2:7">
      <c r="B1184" s="59">
        <v>8</v>
      </c>
      <c r="C1184" s="45" t="s">
        <v>33</v>
      </c>
      <c r="G1184" s="126"/>
    </row>
    <row r="1185" spans="2:7">
      <c r="B1185" s="59">
        <v>9</v>
      </c>
      <c r="C1185" s="45" t="s">
        <v>139</v>
      </c>
      <c r="G1185" s="126"/>
    </row>
    <row r="1186" spans="2:7">
      <c r="B1186" s="59">
        <v>10</v>
      </c>
      <c r="C1186" s="45" t="s">
        <v>149</v>
      </c>
      <c r="G1186" s="126"/>
    </row>
    <row r="1187" spans="2:7">
      <c r="B1187" s="59">
        <v>11</v>
      </c>
      <c r="C1187" s="45" t="s">
        <v>42</v>
      </c>
      <c r="G1187" s="126"/>
    </row>
    <row r="1188" spans="2:7">
      <c r="B1188" s="59">
        <v>12</v>
      </c>
      <c r="C1188" s="45" t="s">
        <v>19</v>
      </c>
      <c r="G1188" s="126"/>
    </row>
    <row r="1189" spans="2:7">
      <c r="B1189" s="59">
        <v>13</v>
      </c>
      <c r="C1189" s="45" t="s">
        <v>145</v>
      </c>
      <c r="G1189" s="126"/>
    </row>
    <row r="1190" spans="2:7">
      <c r="B1190" s="59">
        <v>14</v>
      </c>
      <c r="C1190" s="45" t="s">
        <v>34</v>
      </c>
      <c r="G1190" s="126"/>
    </row>
    <row r="1191" spans="2:7">
      <c r="B1191" s="59">
        <v>15</v>
      </c>
      <c r="C1191" s="45" t="s">
        <v>144</v>
      </c>
      <c r="G1191" s="126"/>
    </row>
    <row r="1192" spans="2:7">
      <c r="B1192" s="125"/>
      <c r="G1192" s="126"/>
    </row>
    <row r="1193" spans="2:7">
      <c r="B1193" s="125"/>
      <c r="C1193" s="45" t="s">
        <v>594</v>
      </c>
      <c r="G1193" s="126"/>
    </row>
    <row r="1194" spans="2:7">
      <c r="B1194" s="125"/>
      <c r="C1194" s="45" t="s">
        <v>595</v>
      </c>
      <c r="G1194" s="126"/>
    </row>
    <row r="1195" spans="2:7">
      <c r="B1195" s="125"/>
      <c r="C1195" s="45" t="s">
        <v>596</v>
      </c>
      <c r="G1195" s="126"/>
    </row>
    <row r="1196" spans="2:7">
      <c r="B1196" s="125"/>
      <c r="C1196" s="45" t="s">
        <v>597</v>
      </c>
      <c r="G1196" s="126"/>
    </row>
    <row r="1197" spans="2:7">
      <c r="B1197" s="125"/>
      <c r="C1197" s="45" t="s">
        <v>588</v>
      </c>
      <c r="G1197" s="126"/>
    </row>
    <row r="1198" spans="2:7">
      <c r="B1198" s="125"/>
      <c r="C1198" s="45" t="s">
        <v>598</v>
      </c>
      <c r="G1198" s="126"/>
    </row>
    <row r="1199" spans="2:7">
      <c r="B1199" s="125"/>
      <c r="C1199" s="45" t="s">
        <v>599</v>
      </c>
      <c r="G1199" s="126"/>
    </row>
    <row r="1200" spans="2:7">
      <c r="B1200" s="125"/>
      <c r="G1200" s="126"/>
    </row>
    <row r="1201" spans="2:7">
      <c r="B1201" s="125"/>
      <c r="C1201" s="124" t="s">
        <v>21</v>
      </c>
      <c r="G1201" s="126"/>
    </row>
    <row r="1202" spans="2:7">
      <c r="B1202" s="142">
        <v>1</v>
      </c>
      <c r="C1202" s="45" t="s">
        <v>56</v>
      </c>
      <c r="G1202" s="126"/>
    </row>
    <row r="1203" spans="2:7">
      <c r="B1203" s="142">
        <v>1</v>
      </c>
      <c r="C1203" s="45" t="s">
        <v>144</v>
      </c>
      <c r="G1203" s="126"/>
    </row>
    <row r="1204" spans="2:7">
      <c r="B1204" s="142">
        <v>1</v>
      </c>
      <c r="C1204" s="45" t="s">
        <v>19</v>
      </c>
      <c r="G1204" s="126"/>
    </row>
    <row r="1205" spans="2:7">
      <c r="B1205" s="142">
        <v>1</v>
      </c>
      <c r="C1205" s="45" t="s">
        <v>35</v>
      </c>
      <c r="G1205" s="126"/>
    </row>
    <row r="1206" spans="2:7">
      <c r="B1206" s="142">
        <v>1</v>
      </c>
      <c r="C1206" s="45" t="s">
        <v>6</v>
      </c>
      <c r="G1206" s="126"/>
    </row>
    <row r="1207" spans="2:7">
      <c r="B1207" s="142"/>
      <c r="G1207" s="126"/>
    </row>
    <row r="1208" spans="2:7">
      <c r="B1208" s="142"/>
      <c r="C1208" s="44" t="s">
        <v>22</v>
      </c>
      <c r="G1208" s="126"/>
    </row>
    <row r="1209" spans="2:7">
      <c r="B1209" s="142">
        <v>2</v>
      </c>
      <c r="C1209" s="45" t="s">
        <v>139</v>
      </c>
      <c r="G1209" s="126"/>
    </row>
    <row r="1210" spans="2:7">
      <c r="B1210" s="142"/>
      <c r="G1210" s="126"/>
    </row>
    <row r="1211" spans="2:7">
      <c r="B1211" s="142"/>
      <c r="C1211" s="44" t="s">
        <v>337</v>
      </c>
      <c r="G1211" s="126"/>
    </row>
    <row r="1212" spans="2:7">
      <c r="B1212" s="142">
        <v>2</v>
      </c>
      <c r="C1212" s="45" t="s">
        <v>139</v>
      </c>
      <c r="G1212" s="126"/>
    </row>
    <row r="1213" spans="2:7">
      <c r="B1213" s="142"/>
      <c r="G1213" s="126"/>
    </row>
    <row r="1214" spans="2:7">
      <c r="B1214" s="125"/>
      <c r="C1214" s="44" t="s">
        <v>401</v>
      </c>
      <c r="G1214" s="126"/>
    </row>
    <row r="1215" spans="2:7">
      <c r="B1215" s="125" t="s">
        <v>336</v>
      </c>
      <c r="C1215" s="45" t="s">
        <v>6</v>
      </c>
      <c r="G1215" s="126"/>
    </row>
    <row r="1216" spans="2:7" ht="13.5" thickBot="1">
      <c r="B1216" s="140"/>
      <c r="C1216" s="131"/>
      <c r="D1216" s="131"/>
      <c r="E1216" s="141"/>
      <c r="F1216" s="131"/>
      <c r="G1216" s="135"/>
    </row>
    <row r="1218" spans="2:7" ht="13.5" thickBot="1"/>
    <row r="1219" spans="2:7" ht="13.5" thickBot="1">
      <c r="B1219" s="239" t="s">
        <v>601</v>
      </c>
      <c r="C1219" s="240"/>
      <c r="D1219" s="240"/>
      <c r="E1219" s="240"/>
      <c r="F1219" s="240"/>
      <c r="G1219" s="241"/>
    </row>
    <row r="1220" spans="2:7" ht="13.5" thickBot="1">
      <c r="B1220" s="145"/>
      <c r="C1220" s="128"/>
      <c r="D1220" s="128"/>
      <c r="E1220" s="146"/>
      <c r="F1220" s="128"/>
      <c r="G1220" s="133"/>
    </row>
    <row r="1221" spans="2:7">
      <c r="B1221" s="125"/>
      <c r="C1221" s="127" t="s">
        <v>27</v>
      </c>
      <c r="D1221" s="128"/>
      <c r="E1221" s="128" t="s">
        <v>1</v>
      </c>
      <c r="F1221" s="129">
        <v>52</v>
      </c>
      <c r="G1221" s="126"/>
    </row>
    <row r="1222" spans="2:7" ht="13.5" thickBot="1">
      <c r="B1222" s="125"/>
      <c r="C1222" s="130"/>
      <c r="D1222" s="131"/>
      <c r="E1222" s="131" t="s">
        <v>602</v>
      </c>
      <c r="F1222" s="132">
        <v>19</v>
      </c>
      <c r="G1222" s="126"/>
    </row>
    <row r="1223" spans="2:7" ht="13.5" thickBot="1">
      <c r="B1223" s="125"/>
      <c r="G1223" s="126"/>
    </row>
    <row r="1224" spans="2:7">
      <c r="B1224" s="125"/>
      <c r="C1224" s="127" t="s">
        <v>4</v>
      </c>
      <c r="D1224" s="128"/>
      <c r="E1224" s="128" t="s">
        <v>1</v>
      </c>
      <c r="F1224" s="133" t="s">
        <v>205</v>
      </c>
      <c r="G1224" s="126"/>
    </row>
    <row r="1225" spans="2:7">
      <c r="B1225" s="125"/>
      <c r="C1225" s="59" t="s">
        <v>2</v>
      </c>
      <c r="E1225" s="45" t="s">
        <v>404</v>
      </c>
      <c r="F1225" s="126"/>
      <c r="G1225" s="126"/>
    </row>
    <row r="1226" spans="2:7" ht="13.5" thickBot="1">
      <c r="B1226" s="125"/>
      <c r="C1226" s="130" t="s">
        <v>3</v>
      </c>
      <c r="D1226" s="131"/>
      <c r="E1226" s="134" t="s">
        <v>326</v>
      </c>
      <c r="F1226" s="135"/>
      <c r="G1226" s="126"/>
    </row>
    <row r="1227" spans="2:7">
      <c r="B1227" s="125"/>
      <c r="G1227" s="126"/>
    </row>
    <row r="1228" spans="2:7" ht="13.5" thickBot="1">
      <c r="B1228" s="125"/>
      <c r="G1228" s="126"/>
    </row>
    <row r="1229" spans="2:7" ht="13.5" thickBot="1">
      <c r="B1229" s="125"/>
      <c r="C1229" s="136" t="s">
        <v>29</v>
      </c>
      <c r="D1229" s="137"/>
      <c r="E1229" s="138" t="s">
        <v>300</v>
      </c>
      <c r="F1229" s="139"/>
      <c r="G1229" s="126"/>
    </row>
    <row r="1230" spans="2:7">
      <c r="B1230" s="125"/>
      <c r="G1230" s="126"/>
    </row>
    <row r="1231" spans="2:7">
      <c r="B1231" s="125"/>
      <c r="C1231" s="45" t="s">
        <v>5</v>
      </c>
      <c r="G1231" s="126"/>
    </row>
    <row r="1232" spans="2:7">
      <c r="B1232" s="125"/>
      <c r="G1232" s="126"/>
    </row>
    <row r="1233" spans="2:7">
      <c r="B1233" s="59">
        <v>1</v>
      </c>
      <c r="C1233" s="45" t="s">
        <v>7</v>
      </c>
      <c r="G1233" s="126"/>
    </row>
    <row r="1234" spans="2:7">
      <c r="B1234" s="59">
        <v>2</v>
      </c>
      <c r="C1234" s="45" t="s">
        <v>160</v>
      </c>
      <c r="G1234" s="126"/>
    </row>
    <row r="1235" spans="2:7">
      <c r="B1235" s="59">
        <v>3</v>
      </c>
      <c r="C1235" s="45" t="s">
        <v>35</v>
      </c>
      <c r="G1235" s="126"/>
    </row>
    <row r="1236" spans="2:7">
      <c r="B1236" s="59">
        <v>4</v>
      </c>
      <c r="C1236" s="45" t="s">
        <v>146</v>
      </c>
      <c r="G1236" s="126"/>
    </row>
    <row r="1237" spans="2:7">
      <c r="B1237" s="59">
        <v>5</v>
      </c>
      <c r="C1237" s="45" t="s">
        <v>12</v>
      </c>
      <c r="G1237" s="126"/>
    </row>
    <row r="1238" spans="2:7">
      <c r="B1238" s="59">
        <v>6</v>
      </c>
      <c r="C1238" s="45" t="s">
        <v>155</v>
      </c>
      <c r="G1238" s="126"/>
    </row>
    <row r="1239" spans="2:7">
      <c r="B1239" s="59">
        <v>7</v>
      </c>
      <c r="C1239" s="45" t="s">
        <v>13</v>
      </c>
      <c r="G1239" s="126"/>
    </row>
    <row r="1240" spans="2:7">
      <c r="B1240" s="59">
        <v>8</v>
      </c>
      <c r="C1240" s="45" t="s">
        <v>33</v>
      </c>
      <c r="G1240" s="126"/>
    </row>
    <row r="1241" spans="2:7">
      <c r="B1241" s="59">
        <v>9</v>
      </c>
      <c r="C1241" s="45" t="s">
        <v>139</v>
      </c>
      <c r="G1241" s="126"/>
    </row>
    <row r="1242" spans="2:7">
      <c r="B1242" s="59">
        <v>10</v>
      </c>
      <c r="C1242" s="45" t="s">
        <v>149</v>
      </c>
      <c r="G1242" s="126"/>
    </row>
    <row r="1243" spans="2:7">
      <c r="B1243" s="59">
        <v>11</v>
      </c>
      <c r="C1243" s="45" t="s">
        <v>16</v>
      </c>
      <c r="G1243" s="126"/>
    </row>
    <row r="1244" spans="2:7">
      <c r="B1244" s="59">
        <v>12</v>
      </c>
      <c r="C1244" s="45" t="s">
        <v>19</v>
      </c>
      <c r="G1244" s="126"/>
    </row>
    <row r="1245" spans="2:7">
      <c r="B1245" s="59">
        <v>13</v>
      </c>
      <c r="C1245" s="45" t="s">
        <v>145</v>
      </c>
      <c r="G1245" s="126"/>
    </row>
    <row r="1246" spans="2:7">
      <c r="B1246" s="59">
        <v>14</v>
      </c>
      <c r="C1246" s="45" t="s">
        <v>34</v>
      </c>
      <c r="G1246" s="126"/>
    </row>
    <row r="1247" spans="2:7">
      <c r="B1247" s="59">
        <v>15</v>
      </c>
      <c r="C1247" s="45" t="s">
        <v>144</v>
      </c>
      <c r="G1247" s="126"/>
    </row>
    <row r="1248" spans="2:7">
      <c r="B1248" s="125"/>
      <c r="G1248" s="126"/>
    </row>
    <row r="1249" spans="2:7">
      <c r="B1249" s="125"/>
      <c r="C1249" s="45" t="s">
        <v>594</v>
      </c>
      <c r="G1249" s="126"/>
    </row>
    <row r="1250" spans="2:7">
      <c r="B1250" s="125"/>
      <c r="C1250" s="45" t="s">
        <v>595</v>
      </c>
      <c r="G1250" s="126"/>
    </row>
    <row r="1251" spans="2:7">
      <c r="B1251" s="125"/>
      <c r="C1251" s="45" t="s">
        <v>596</v>
      </c>
      <c r="G1251" s="126"/>
    </row>
    <row r="1252" spans="2:7">
      <c r="B1252" s="125"/>
      <c r="C1252" s="45" t="s">
        <v>597</v>
      </c>
      <c r="G1252" s="126"/>
    </row>
    <row r="1253" spans="2:7">
      <c r="B1253" s="125"/>
      <c r="C1253" s="45" t="s">
        <v>588</v>
      </c>
      <c r="G1253" s="126"/>
    </row>
    <row r="1254" spans="2:7">
      <c r="B1254" s="125"/>
      <c r="C1254" s="45" t="s">
        <v>598</v>
      </c>
      <c r="G1254" s="126"/>
    </row>
    <row r="1255" spans="2:7">
      <c r="B1255" s="125"/>
      <c r="C1255" s="45" t="s">
        <v>599</v>
      </c>
      <c r="G1255" s="126"/>
    </row>
    <row r="1256" spans="2:7">
      <c r="B1256" s="125"/>
      <c r="G1256" s="126"/>
    </row>
    <row r="1257" spans="2:7">
      <c r="B1257" s="125"/>
      <c r="C1257" s="124" t="s">
        <v>21</v>
      </c>
      <c r="G1257" s="126"/>
    </row>
    <row r="1258" spans="2:7">
      <c r="B1258" s="142">
        <v>2</v>
      </c>
      <c r="C1258" s="45" t="s">
        <v>139</v>
      </c>
      <c r="G1258" s="126"/>
    </row>
    <row r="1259" spans="2:7">
      <c r="B1259" s="142">
        <v>2</v>
      </c>
      <c r="C1259" s="45" t="s">
        <v>16</v>
      </c>
      <c r="G1259" s="126"/>
    </row>
    <row r="1260" spans="2:7">
      <c r="B1260" s="142">
        <v>2</v>
      </c>
      <c r="C1260" s="45" t="s">
        <v>33</v>
      </c>
      <c r="G1260" s="126"/>
    </row>
    <row r="1261" spans="2:7">
      <c r="B1261" s="142">
        <v>1</v>
      </c>
      <c r="C1261" s="45" t="s">
        <v>155</v>
      </c>
      <c r="G1261" s="126"/>
    </row>
    <row r="1262" spans="2:7">
      <c r="B1262" s="142">
        <v>1</v>
      </c>
      <c r="C1262" s="45" t="s">
        <v>11</v>
      </c>
      <c r="G1262" s="126"/>
    </row>
    <row r="1263" spans="2:7">
      <c r="B1263" s="142"/>
      <c r="G1263" s="126"/>
    </row>
    <row r="1264" spans="2:7">
      <c r="B1264" s="142"/>
      <c r="C1264" s="44" t="s">
        <v>337</v>
      </c>
      <c r="G1264" s="126"/>
    </row>
    <row r="1265" spans="2:7">
      <c r="B1265" s="142">
        <v>6</v>
      </c>
      <c r="C1265" s="45" t="s">
        <v>139</v>
      </c>
      <c r="G1265" s="126"/>
    </row>
    <row r="1266" spans="2:7">
      <c r="B1266" s="142"/>
      <c r="G1266" s="126"/>
    </row>
    <row r="1267" spans="2:7">
      <c r="B1267" s="125"/>
      <c r="C1267" s="44" t="s">
        <v>401</v>
      </c>
      <c r="G1267" s="126"/>
    </row>
    <row r="1268" spans="2:7">
      <c r="B1268" s="125" t="s">
        <v>336</v>
      </c>
      <c r="C1268" s="45" t="s">
        <v>143</v>
      </c>
      <c r="G1268" s="126"/>
    </row>
    <row r="1269" spans="2:7" ht="13.5" thickBot="1">
      <c r="B1269" s="140"/>
      <c r="C1269" s="131"/>
      <c r="D1269" s="131"/>
      <c r="E1269" s="141"/>
      <c r="F1269" s="131"/>
      <c r="G1269" s="135"/>
    </row>
    <row r="1271" spans="2:7" ht="13.5" thickBot="1"/>
    <row r="1272" spans="2:7" ht="13.5" thickBot="1">
      <c r="B1272" s="239" t="s">
        <v>603</v>
      </c>
      <c r="C1272" s="240"/>
      <c r="D1272" s="240"/>
      <c r="E1272" s="240"/>
      <c r="F1272" s="240"/>
      <c r="G1272" s="241"/>
    </row>
    <row r="1273" spans="2:7" ht="13.5" thickBot="1">
      <c r="B1273" s="145"/>
      <c r="C1273" s="128"/>
      <c r="D1273" s="128"/>
      <c r="E1273" s="146"/>
      <c r="F1273" s="128"/>
      <c r="G1273" s="133"/>
    </row>
    <row r="1274" spans="2:7">
      <c r="B1274" s="125"/>
      <c r="C1274" s="127" t="s">
        <v>27</v>
      </c>
      <c r="D1274" s="128"/>
      <c r="E1274" s="128" t="s">
        <v>67</v>
      </c>
      <c r="F1274" s="129">
        <v>8</v>
      </c>
      <c r="G1274" s="126"/>
    </row>
    <row r="1275" spans="2:7" ht="13.5" thickBot="1">
      <c r="B1275" s="125"/>
      <c r="C1275" s="130"/>
      <c r="D1275" s="131"/>
      <c r="E1275" s="131" t="s">
        <v>1</v>
      </c>
      <c r="F1275" s="132">
        <v>16</v>
      </c>
      <c r="G1275" s="126"/>
    </row>
    <row r="1276" spans="2:7" ht="13.5" thickBot="1">
      <c r="B1276" s="125"/>
      <c r="G1276" s="126"/>
    </row>
    <row r="1277" spans="2:7">
      <c r="B1277" s="125"/>
      <c r="C1277" s="127" t="s">
        <v>4</v>
      </c>
      <c r="D1277" s="128"/>
      <c r="E1277" s="128" t="s">
        <v>67</v>
      </c>
      <c r="F1277" s="133"/>
      <c r="G1277" s="126"/>
    </row>
    <row r="1278" spans="2:7">
      <c r="B1278" s="125"/>
      <c r="C1278" s="59" t="s">
        <v>2</v>
      </c>
      <c r="E1278" s="45" t="s">
        <v>326</v>
      </c>
      <c r="F1278" s="126"/>
      <c r="G1278" s="126"/>
    </row>
    <row r="1279" spans="2:7" ht="13.5" thickBot="1">
      <c r="B1279" s="125"/>
      <c r="C1279" s="130" t="s">
        <v>3</v>
      </c>
      <c r="D1279" s="131"/>
      <c r="E1279" s="134" t="s">
        <v>326</v>
      </c>
      <c r="F1279" s="135"/>
      <c r="G1279" s="126"/>
    </row>
    <row r="1280" spans="2:7">
      <c r="B1280" s="125"/>
      <c r="G1280" s="126"/>
    </row>
    <row r="1281" spans="2:7" ht="13.5" thickBot="1">
      <c r="B1281" s="125"/>
      <c r="G1281" s="126"/>
    </row>
    <row r="1282" spans="2:7" ht="13.5" thickBot="1">
      <c r="B1282" s="125"/>
      <c r="C1282" s="136" t="s">
        <v>29</v>
      </c>
      <c r="D1282" s="137"/>
      <c r="E1282" s="138" t="s">
        <v>301</v>
      </c>
      <c r="F1282" s="139"/>
      <c r="G1282" s="126"/>
    </row>
    <row r="1283" spans="2:7">
      <c r="B1283" s="125"/>
      <c r="G1283" s="126"/>
    </row>
    <row r="1284" spans="2:7">
      <c r="B1284" s="125"/>
      <c r="C1284" s="45" t="s">
        <v>5</v>
      </c>
      <c r="G1284" s="126"/>
    </row>
    <row r="1285" spans="2:7">
      <c r="B1285" s="125"/>
      <c r="G1285" s="126"/>
    </row>
    <row r="1286" spans="2:7">
      <c r="B1286" s="59">
        <v>1</v>
      </c>
      <c r="C1286" s="45" t="s">
        <v>6</v>
      </c>
      <c r="G1286" s="126"/>
    </row>
    <row r="1287" spans="2:7">
      <c r="B1287" s="59">
        <v>2</v>
      </c>
      <c r="C1287" s="45" t="s">
        <v>7</v>
      </c>
      <c r="G1287" s="126"/>
    </row>
    <row r="1288" spans="2:7">
      <c r="B1288" s="59">
        <v>3</v>
      </c>
      <c r="C1288" s="45" t="s">
        <v>35</v>
      </c>
      <c r="G1288" s="126"/>
    </row>
    <row r="1289" spans="2:7">
      <c r="B1289" s="59">
        <v>4</v>
      </c>
      <c r="C1289" s="45" t="s">
        <v>146</v>
      </c>
      <c r="G1289" s="126"/>
    </row>
    <row r="1290" spans="2:7">
      <c r="B1290" s="59">
        <v>5</v>
      </c>
      <c r="C1290" s="45" t="s">
        <v>11</v>
      </c>
      <c r="G1290" s="126"/>
    </row>
    <row r="1291" spans="2:7">
      <c r="B1291" s="59">
        <v>6</v>
      </c>
      <c r="C1291" s="45" t="s">
        <v>155</v>
      </c>
      <c r="G1291" s="126"/>
    </row>
    <row r="1292" spans="2:7">
      <c r="B1292" s="59">
        <v>7</v>
      </c>
      <c r="C1292" s="45" t="s">
        <v>13</v>
      </c>
      <c r="G1292" s="126"/>
    </row>
    <row r="1293" spans="2:7">
      <c r="B1293" s="59">
        <v>8</v>
      </c>
      <c r="C1293" s="45" t="s">
        <v>33</v>
      </c>
      <c r="G1293" s="126"/>
    </row>
    <row r="1294" spans="2:7">
      <c r="B1294" s="59">
        <v>9</v>
      </c>
      <c r="C1294" s="45" t="s">
        <v>139</v>
      </c>
      <c r="G1294" s="126"/>
    </row>
    <row r="1295" spans="2:7">
      <c r="B1295" s="59">
        <v>10</v>
      </c>
      <c r="C1295" s="45" t="s">
        <v>149</v>
      </c>
      <c r="G1295" s="126"/>
    </row>
    <row r="1296" spans="2:7">
      <c r="B1296" s="59">
        <v>11</v>
      </c>
      <c r="C1296" s="45" t="s">
        <v>16</v>
      </c>
      <c r="G1296" s="126"/>
    </row>
    <row r="1297" spans="2:7">
      <c r="B1297" s="59">
        <v>12</v>
      </c>
      <c r="C1297" s="45" t="s">
        <v>19</v>
      </c>
      <c r="G1297" s="126"/>
    </row>
    <row r="1298" spans="2:7">
      <c r="B1298" s="59">
        <v>13</v>
      </c>
      <c r="C1298" s="45" t="s">
        <v>145</v>
      </c>
      <c r="G1298" s="126"/>
    </row>
    <row r="1299" spans="2:7">
      <c r="B1299" s="59">
        <v>14</v>
      </c>
      <c r="C1299" s="45" t="s">
        <v>34</v>
      </c>
      <c r="G1299" s="126"/>
    </row>
    <row r="1300" spans="2:7">
      <c r="B1300" s="59">
        <v>15</v>
      </c>
      <c r="C1300" s="45" t="s">
        <v>144</v>
      </c>
      <c r="G1300" s="126"/>
    </row>
    <row r="1301" spans="2:7">
      <c r="B1301" s="125"/>
      <c r="G1301" s="126"/>
    </row>
    <row r="1302" spans="2:7">
      <c r="B1302" s="125"/>
      <c r="C1302" s="45" t="s">
        <v>604</v>
      </c>
      <c r="G1302" s="126"/>
    </row>
    <row r="1303" spans="2:7">
      <c r="B1303" s="125"/>
      <c r="C1303" s="45" t="s">
        <v>605</v>
      </c>
      <c r="G1303" s="126"/>
    </row>
    <row r="1304" spans="2:7">
      <c r="B1304" s="125"/>
      <c r="C1304" s="45" t="s">
        <v>589</v>
      </c>
      <c r="G1304" s="126"/>
    </row>
    <row r="1305" spans="2:7">
      <c r="B1305" s="125"/>
      <c r="G1305" s="126"/>
    </row>
    <row r="1306" spans="2:7">
      <c r="B1306" s="125"/>
      <c r="C1306" s="124" t="s">
        <v>21</v>
      </c>
      <c r="G1306" s="126"/>
    </row>
    <row r="1307" spans="2:7">
      <c r="B1307" s="142">
        <v>1</v>
      </c>
      <c r="C1307" s="45" t="s">
        <v>16</v>
      </c>
      <c r="G1307" s="126"/>
    </row>
    <row r="1308" spans="2:7">
      <c r="B1308" s="142"/>
      <c r="G1308" s="126"/>
    </row>
    <row r="1309" spans="2:7">
      <c r="B1309" s="142"/>
      <c r="C1309" s="44" t="s">
        <v>337</v>
      </c>
      <c r="G1309" s="126"/>
    </row>
    <row r="1310" spans="2:7">
      <c r="B1310" s="142">
        <v>1</v>
      </c>
      <c r="C1310" s="45" t="s">
        <v>139</v>
      </c>
      <c r="G1310" s="126"/>
    </row>
    <row r="1311" spans="2:7">
      <c r="B1311" s="142"/>
      <c r="G1311" s="126"/>
    </row>
    <row r="1312" spans="2:7">
      <c r="B1312" s="142"/>
      <c r="C1312" s="44" t="s">
        <v>22</v>
      </c>
      <c r="G1312" s="126"/>
    </row>
    <row r="1313" spans="2:7">
      <c r="B1313" s="142">
        <v>3</v>
      </c>
      <c r="C1313" s="45" t="s">
        <v>139</v>
      </c>
      <c r="G1313" s="126"/>
    </row>
    <row r="1314" spans="2:7">
      <c r="B1314" s="142"/>
      <c r="G1314" s="126"/>
    </row>
    <row r="1315" spans="2:7">
      <c r="B1315" s="125"/>
      <c r="C1315" s="44" t="s">
        <v>401</v>
      </c>
      <c r="G1315" s="126"/>
    </row>
    <row r="1316" spans="2:7">
      <c r="B1316" s="125" t="s">
        <v>336</v>
      </c>
      <c r="C1316" s="112" t="s">
        <v>155</v>
      </c>
      <c r="G1316" s="126"/>
    </row>
    <row r="1317" spans="2:7">
      <c r="B1317" s="125" t="s">
        <v>336</v>
      </c>
      <c r="C1317" s="45" t="s">
        <v>149</v>
      </c>
      <c r="G1317" s="126"/>
    </row>
    <row r="1318" spans="2:7" ht="13.5" thickBot="1">
      <c r="B1318" s="140"/>
      <c r="C1318" s="131"/>
      <c r="D1318" s="131"/>
      <c r="E1318" s="141"/>
      <c r="F1318" s="131"/>
      <c r="G1318" s="135"/>
    </row>
  </sheetData>
  <mergeCells count="25">
    <mergeCell ref="B261:G261"/>
    <mergeCell ref="B2:G2"/>
    <mergeCell ref="B59:G59"/>
    <mergeCell ref="B103:G103"/>
    <mergeCell ref="B159:G159"/>
    <mergeCell ref="B209:G209"/>
    <mergeCell ref="B893:G893"/>
    <mergeCell ref="B316:G316"/>
    <mergeCell ref="B375:G375"/>
    <mergeCell ref="B435:G435"/>
    <mergeCell ref="B491:G491"/>
    <mergeCell ref="B538:G538"/>
    <mergeCell ref="B591:G591"/>
    <mergeCell ref="B638:G638"/>
    <mergeCell ref="B686:G686"/>
    <mergeCell ref="B738:G738"/>
    <mergeCell ref="B788:G788"/>
    <mergeCell ref="B844:G844"/>
    <mergeCell ref="B1272:G1272"/>
    <mergeCell ref="B948:G948"/>
    <mergeCell ref="B1000:G1000"/>
    <mergeCell ref="B1050:G1050"/>
    <mergeCell ref="B1109:G1109"/>
    <mergeCell ref="B1163:G1163"/>
    <mergeCell ref="B1219:G1219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1155"/>
  <sheetViews>
    <sheetView topLeftCell="A1134" workbookViewId="0">
      <selection activeCell="B1008" sqref="B1008:G1052"/>
    </sheetView>
  </sheetViews>
  <sheetFormatPr baseColWidth="10" defaultColWidth="11.42578125" defaultRowHeight="12.75"/>
  <cols>
    <col min="1" max="2" width="5.5703125" style="124" customWidth="1"/>
    <col min="3" max="3" width="24.28515625" style="45" customWidth="1"/>
    <col min="4" max="4" width="10.28515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9" t="s">
        <v>606</v>
      </c>
      <c r="C2" s="240"/>
      <c r="D2" s="240"/>
      <c r="E2" s="240"/>
      <c r="F2" s="240"/>
      <c r="G2" s="241"/>
    </row>
    <row r="3" spans="2:7" ht="13.5" thickBot="1">
      <c r="B3" s="125"/>
      <c r="G3" s="126"/>
    </row>
    <row r="4" spans="2:7">
      <c r="B4" s="125"/>
      <c r="C4" s="127" t="s">
        <v>27</v>
      </c>
      <c r="D4" s="128"/>
      <c r="E4" s="128" t="s">
        <v>1</v>
      </c>
      <c r="F4" s="129">
        <v>37</v>
      </c>
      <c r="G4" s="126"/>
    </row>
    <row r="5" spans="2:7" ht="13.5" thickBot="1">
      <c r="B5" s="125"/>
      <c r="C5" s="130"/>
      <c r="D5" s="131"/>
      <c r="E5" s="131" t="s">
        <v>67</v>
      </c>
      <c r="F5" s="132">
        <v>22</v>
      </c>
      <c r="G5" s="126"/>
    </row>
    <row r="6" spans="2:7" ht="13.5" thickBot="1">
      <c r="B6" s="125"/>
      <c r="G6" s="126"/>
    </row>
    <row r="7" spans="2:7">
      <c r="B7" s="125"/>
      <c r="C7" s="127" t="s">
        <v>4</v>
      </c>
      <c r="D7" s="128"/>
      <c r="E7" s="128" t="s">
        <v>1</v>
      </c>
      <c r="F7" s="133" t="s">
        <v>549</v>
      </c>
      <c r="G7" s="126"/>
    </row>
    <row r="8" spans="2:7">
      <c r="B8" s="125"/>
      <c r="C8" s="59" t="s">
        <v>2</v>
      </c>
      <c r="E8" s="45" t="s">
        <v>326</v>
      </c>
      <c r="F8" s="126"/>
      <c r="G8" s="126"/>
    </row>
    <row r="9" spans="2:7" ht="13.5" thickBot="1">
      <c r="B9" s="125"/>
      <c r="C9" s="130" t="s">
        <v>3</v>
      </c>
      <c r="D9" s="131"/>
      <c r="E9" s="134" t="s">
        <v>354</v>
      </c>
      <c r="F9" s="135"/>
      <c r="G9" s="126"/>
    </row>
    <row r="10" spans="2:7" ht="13.5" thickBot="1">
      <c r="B10" s="125"/>
      <c r="G10" s="126"/>
    </row>
    <row r="11" spans="2:7" ht="13.5" thickBot="1">
      <c r="B11" s="125"/>
      <c r="C11" s="136" t="s">
        <v>29</v>
      </c>
      <c r="D11" s="137"/>
      <c r="E11" s="138" t="s">
        <v>298</v>
      </c>
      <c r="F11" s="139"/>
      <c r="G11" s="126"/>
    </row>
    <row r="12" spans="2:7">
      <c r="B12" s="125"/>
      <c r="G12" s="126"/>
    </row>
    <row r="13" spans="2:7">
      <c r="B13" s="125"/>
      <c r="C13" s="45" t="s">
        <v>5</v>
      </c>
      <c r="G13" s="126"/>
    </row>
    <row r="14" spans="2:7">
      <c r="B14" s="125"/>
      <c r="G14" s="126"/>
    </row>
    <row r="15" spans="2:7">
      <c r="B15" s="59">
        <v>1</v>
      </c>
      <c r="C15" s="45" t="s">
        <v>6</v>
      </c>
      <c r="G15" s="126"/>
    </row>
    <row r="16" spans="2:7">
      <c r="B16" s="59">
        <v>2</v>
      </c>
      <c r="C16" s="45" t="s">
        <v>7</v>
      </c>
      <c r="G16" s="126"/>
    </row>
    <row r="17" spans="2:7">
      <c r="B17" s="59">
        <v>3</v>
      </c>
      <c r="C17" s="45" t="s">
        <v>35</v>
      </c>
      <c r="G17" s="126"/>
    </row>
    <row r="18" spans="2:7">
      <c r="B18" s="59">
        <v>4</v>
      </c>
      <c r="C18" s="45" t="s">
        <v>9</v>
      </c>
      <c r="G18" s="126"/>
    </row>
    <row r="19" spans="2:7">
      <c r="B19" s="59">
        <v>5</v>
      </c>
      <c r="C19" s="45" t="s">
        <v>32</v>
      </c>
      <c r="G19" s="126"/>
    </row>
    <row r="20" spans="2:7">
      <c r="B20" s="59">
        <v>6</v>
      </c>
      <c r="C20" s="45" t="s">
        <v>13</v>
      </c>
      <c r="G20" s="126"/>
    </row>
    <row r="21" spans="2:7">
      <c r="B21" s="59">
        <v>7</v>
      </c>
      <c r="C21" s="45" t="s">
        <v>155</v>
      </c>
      <c r="G21" s="126"/>
    </row>
    <row r="22" spans="2:7">
      <c r="B22" s="59">
        <v>8</v>
      </c>
      <c r="C22" s="45" t="s">
        <v>33</v>
      </c>
      <c r="G22" s="126"/>
    </row>
    <row r="23" spans="2:7">
      <c r="B23" s="59">
        <v>9</v>
      </c>
      <c r="C23" s="45" t="s">
        <v>14</v>
      </c>
      <c r="G23" s="126"/>
    </row>
    <row r="24" spans="2:7">
      <c r="B24" s="59">
        <v>10</v>
      </c>
      <c r="C24" s="45" t="s">
        <v>607</v>
      </c>
      <c r="G24" s="126"/>
    </row>
    <row r="25" spans="2:7">
      <c r="B25" s="59">
        <v>11</v>
      </c>
      <c r="C25" s="45" t="s">
        <v>19</v>
      </c>
      <c r="G25" s="126"/>
    </row>
    <row r="26" spans="2:7">
      <c r="B26" s="59">
        <v>12</v>
      </c>
      <c r="C26" s="45" t="s">
        <v>608</v>
      </c>
      <c r="G26" s="126"/>
    </row>
    <row r="27" spans="2:7">
      <c r="B27" s="59">
        <v>13</v>
      </c>
      <c r="C27" s="45" t="s">
        <v>142</v>
      </c>
      <c r="G27" s="126"/>
    </row>
    <row r="28" spans="2:7">
      <c r="B28" s="59">
        <v>14</v>
      </c>
      <c r="C28" s="45" t="s">
        <v>139</v>
      </c>
      <c r="G28" s="126"/>
    </row>
    <row r="29" spans="2:7">
      <c r="B29" s="59">
        <v>15</v>
      </c>
      <c r="C29" s="45" t="s">
        <v>144</v>
      </c>
      <c r="G29" s="126"/>
    </row>
    <row r="30" spans="2:7">
      <c r="B30" s="125"/>
      <c r="G30" s="126"/>
    </row>
    <row r="31" spans="2:7">
      <c r="B31" s="125"/>
      <c r="C31" s="45" t="s">
        <v>562</v>
      </c>
      <c r="G31" s="126"/>
    </row>
    <row r="32" spans="2:7">
      <c r="B32" s="125"/>
      <c r="C32" s="45" t="s">
        <v>609</v>
      </c>
      <c r="G32" s="126"/>
    </row>
    <row r="33" spans="2:7">
      <c r="B33" s="125"/>
      <c r="C33" s="45" t="s">
        <v>605</v>
      </c>
      <c r="G33" s="126"/>
    </row>
    <row r="34" spans="2:7">
      <c r="B34" s="125"/>
      <c r="C34" s="45" t="s">
        <v>610</v>
      </c>
      <c r="G34" s="126"/>
    </row>
    <row r="35" spans="2:7">
      <c r="B35" s="125"/>
      <c r="C35" s="45" t="s">
        <v>611</v>
      </c>
      <c r="G35" s="126"/>
    </row>
    <row r="36" spans="2:7">
      <c r="B36" s="125"/>
      <c r="C36" s="45" t="s">
        <v>479</v>
      </c>
      <c r="G36" s="126"/>
    </row>
    <row r="37" spans="2:7">
      <c r="B37" s="125"/>
      <c r="C37" s="45" t="s">
        <v>491</v>
      </c>
      <c r="G37" s="126"/>
    </row>
    <row r="38" spans="2:7">
      <c r="B38" s="125"/>
      <c r="C38" s="45" t="s">
        <v>492</v>
      </c>
      <c r="G38" s="126"/>
    </row>
    <row r="39" spans="2:7">
      <c r="B39" s="125"/>
      <c r="G39" s="126"/>
    </row>
    <row r="40" spans="2:7">
      <c r="B40" s="125"/>
      <c r="C40" s="124" t="s">
        <v>21</v>
      </c>
      <c r="G40" s="126"/>
    </row>
    <row r="41" spans="2:7">
      <c r="B41" s="125" t="s">
        <v>336</v>
      </c>
      <c r="C41" s="45" t="s">
        <v>139</v>
      </c>
      <c r="G41" s="126"/>
    </row>
    <row r="42" spans="2:7">
      <c r="B42" s="125" t="s">
        <v>336</v>
      </c>
      <c r="C42" s="45" t="s">
        <v>19</v>
      </c>
      <c r="G42" s="126"/>
    </row>
    <row r="43" spans="2:7">
      <c r="B43" s="125" t="s">
        <v>336</v>
      </c>
      <c r="C43" s="45" t="s">
        <v>12</v>
      </c>
      <c r="G43" s="126"/>
    </row>
    <row r="44" spans="2:7">
      <c r="B44" s="125" t="s">
        <v>336</v>
      </c>
      <c r="C44" s="45" t="s">
        <v>15</v>
      </c>
      <c r="G44" s="126"/>
    </row>
    <row r="45" spans="2:7">
      <c r="B45" s="125" t="s">
        <v>336</v>
      </c>
      <c r="C45" s="45" t="s">
        <v>35</v>
      </c>
      <c r="G45" s="126"/>
    </row>
    <row r="46" spans="2:7">
      <c r="B46" s="125"/>
      <c r="G46" s="126"/>
    </row>
    <row r="47" spans="2:7">
      <c r="B47" s="125"/>
      <c r="C47" s="44" t="s">
        <v>337</v>
      </c>
      <c r="G47" s="126"/>
    </row>
    <row r="48" spans="2:7">
      <c r="B48" s="125" t="s">
        <v>335</v>
      </c>
      <c r="C48" s="45" t="s">
        <v>607</v>
      </c>
      <c r="G48" s="126"/>
    </row>
    <row r="49" spans="2:7">
      <c r="B49" s="125"/>
      <c r="G49" s="126"/>
    </row>
    <row r="50" spans="2:7">
      <c r="B50" s="125"/>
      <c r="G50" s="126"/>
    </row>
    <row r="51" spans="2:7">
      <c r="B51" s="125"/>
      <c r="C51" s="44" t="s">
        <v>23</v>
      </c>
      <c r="G51" s="126"/>
    </row>
    <row r="52" spans="2:7" ht="13.5" thickBot="1">
      <c r="B52" s="140" t="s">
        <v>336</v>
      </c>
      <c r="C52" s="131" t="s">
        <v>6</v>
      </c>
      <c r="D52" s="131"/>
      <c r="E52" s="141"/>
      <c r="F52" s="131"/>
      <c r="G52" s="135"/>
    </row>
    <row r="54" spans="2:7" ht="13.5" thickBot="1"/>
    <row r="55" spans="2:7" ht="13.5" thickBot="1">
      <c r="B55" s="239" t="s">
        <v>612</v>
      </c>
      <c r="C55" s="240"/>
      <c r="D55" s="240"/>
      <c r="E55" s="240"/>
      <c r="F55" s="240"/>
      <c r="G55" s="241"/>
    </row>
    <row r="56" spans="2:7" ht="13.5" thickBot="1">
      <c r="B56" s="125"/>
      <c r="G56" s="126"/>
    </row>
    <row r="57" spans="2:7">
      <c r="B57" s="125"/>
      <c r="C57" s="127" t="s">
        <v>27</v>
      </c>
      <c r="D57" s="128"/>
      <c r="E57" s="128" t="s">
        <v>37</v>
      </c>
      <c r="F57" s="129">
        <v>31</v>
      </c>
      <c r="G57" s="126"/>
    </row>
    <row r="58" spans="2:7" ht="13.5" thickBot="1">
      <c r="B58" s="125"/>
      <c r="C58" s="130"/>
      <c r="D58" s="131"/>
      <c r="E58" s="131" t="s">
        <v>1</v>
      </c>
      <c r="F58" s="132">
        <v>28</v>
      </c>
      <c r="G58" s="126"/>
    </row>
    <row r="59" spans="2:7" ht="13.5" thickBot="1">
      <c r="B59" s="125"/>
      <c r="G59" s="126"/>
    </row>
    <row r="60" spans="2:7">
      <c r="B60" s="125"/>
      <c r="C60" s="127" t="s">
        <v>4</v>
      </c>
      <c r="D60" s="128"/>
      <c r="E60" s="128" t="s">
        <v>37</v>
      </c>
      <c r="F60" s="129"/>
      <c r="G60" s="126"/>
    </row>
    <row r="61" spans="2:7">
      <c r="B61" s="125"/>
      <c r="C61" s="59" t="s">
        <v>2</v>
      </c>
      <c r="E61" s="45" t="s">
        <v>326</v>
      </c>
      <c r="F61" s="126"/>
      <c r="G61" s="126"/>
    </row>
    <row r="62" spans="2:7" ht="13.5" thickBot="1">
      <c r="B62" s="125"/>
      <c r="C62" s="130" t="s">
        <v>3</v>
      </c>
      <c r="D62" s="131"/>
      <c r="E62" s="134" t="s">
        <v>326</v>
      </c>
      <c r="F62" s="135"/>
      <c r="G62" s="126"/>
    </row>
    <row r="63" spans="2:7">
      <c r="B63" s="125"/>
      <c r="G63" s="126"/>
    </row>
    <row r="64" spans="2:7" ht="13.5" thickBot="1">
      <c r="B64" s="125"/>
      <c r="G64" s="126"/>
    </row>
    <row r="65" spans="2:7" ht="13.5" thickBot="1">
      <c r="B65" s="125"/>
      <c r="C65" s="136" t="s">
        <v>29</v>
      </c>
      <c r="D65" s="137"/>
      <c r="E65" s="138" t="s">
        <v>297</v>
      </c>
      <c r="F65" s="139"/>
      <c r="G65" s="126"/>
    </row>
    <row r="66" spans="2:7">
      <c r="B66" s="125"/>
      <c r="G66" s="126"/>
    </row>
    <row r="67" spans="2:7">
      <c r="B67" s="125"/>
      <c r="C67" s="45" t="s">
        <v>5</v>
      </c>
      <c r="G67" s="126"/>
    </row>
    <row r="68" spans="2:7">
      <c r="B68" s="125"/>
      <c r="G68" s="126"/>
    </row>
    <row r="69" spans="2:7">
      <c r="B69" s="59">
        <v>1</v>
      </c>
      <c r="C69" s="45" t="s">
        <v>6</v>
      </c>
      <c r="G69" s="126"/>
    </row>
    <row r="70" spans="2:7">
      <c r="B70" s="59">
        <v>2</v>
      </c>
      <c r="C70" s="45" t="s">
        <v>11</v>
      </c>
      <c r="G70" s="126"/>
    </row>
    <row r="71" spans="2:7">
      <c r="B71" s="59">
        <v>3</v>
      </c>
      <c r="C71" s="45" t="s">
        <v>35</v>
      </c>
      <c r="G71" s="126"/>
    </row>
    <row r="72" spans="2:7">
      <c r="B72" s="59">
        <v>4</v>
      </c>
      <c r="C72" s="45" t="s">
        <v>9</v>
      </c>
      <c r="G72" s="126"/>
    </row>
    <row r="73" spans="2:7">
      <c r="B73" s="59">
        <v>5</v>
      </c>
      <c r="C73" s="45" t="s">
        <v>32</v>
      </c>
      <c r="G73" s="126"/>
    </row>
    <row r="74" spans="2:7">
      <c r="B74" s="59">
        <v>6</v>
      </c>
      <c r="C74" s="45" t="s">
        <v>13</v>
      </c>
      <c r="G74" s="126"/>
    </row>
    <row r="75" spans="2:7">
      <c r="B75" s="59">
        <v>7</v>
      </c>
      <c r="C75" s="45" t="s">
        <v>155</v>
      </c>
      <c r="G75" s="126"/>
    </row>
    <row r="76" spans="2:7">
      <c r="B76" s="59">
        <v>8</v>
      </c>
      <c r="C76" s="45" t="s">
        <v>33</v>
      </c>
      <c r="G76" s="126"/>
    </row>
    <row r="77" spans="2:7">
      <c r="B77" s="59">
        <v>9</v>
      </c>
      <c r="C77" s="45" t="s">
        <v>14</v>
      </c>
      <c r="G77" s="126"/>
    </row>
    <row r="78" spans="2:7">
      <c r="B78" s="59">
        <v>10</v>
      </c>
      <c r="C78" s="45" t="s">
        <v>607</v>
      </c>
      <c r="G78" s="126"/>
    </row>
    <row r="79" spans="2:7">
      <c r="B79" s="59">
        <v>11</v>
      </c>
      <c r="C79" s="45" t="s">
        <v>19</v>
      </c>
      <c r="G79" s="126"/>
    </row>
    <row r="80" spans="2:7">
      <c r="B80" s="59">
        <v>12</v>
      </c>
      <c r="C80" s="45" t="s">
        <v>608</v>
      </c>
      <c r="G80" s="126"/>
    </row>
    <row r="81" spans="2:7">
      <c r="B81" s="59">
        <v>13</v>
      </c>
      <c r="C81" s="45" t="s">
        <v>142</v>
      </c>
      <c r="G81" s="126"/>
    </row>
    <row r="82" spans="2:7">
      <c r="B82" s="59">
        <v>14</v>
      </c>
      <c r="C82" s="45" t="s">
        <v>139</v>
      </c>
      <c r="G82" s="126"/>
    </row>
    <row r="83" spans="2:7">
      <c r="B83" s="59">
        <v>15</v>
      </c>
      <c r="C83" s="45" t="s">
        <v>144</v>
      </c>
      <c r="G83" s="126"/>
    </row>
    <row r="84" spans="2:7">
      <c r="B84" s="125"/>
      <c r="G84" s="126"/>
    </row>
    <row r="85" spans="2:7">
      <c r="B85" s="125"/>
      <c r="C85" s="45" t="s">
        <v>613</v>
      </c>
      <c r="G85" s="126"/>
    </row>
    <row r="86" spans="2:7">
      <c r="B86" s="125"/>
      <c r="C86" s="45" t="s">
        <v>614</v>
      </c>
      <c r="G86" s="126"/>
    </row>
    <row r="87" spans="2:7">
      <c r="B87" s="125"/>
      <c r="C87" s="45" t="s">
        <v>615</v>
      </c>
      <c r="G87" s="126"/>
    </row>
    <row r="88" spans="2:7">
      <c r="B88" s="125"/>
      <c r="C88" s="45" t="s">
        <v>616</v>
      </c>
      <c r="G88" s="126"/>
    </row>
    <row r="89" spans="2:7">
      <c r="B89" s="125"/>
      <c r="G89" s="126"/>
    </row>
    <row r="90" spans="2:7">
      <c r="B90" s="125"/>
      <c r="C90" s="124" t="s">
        <v>21</v>
      </c>
      <c r="G90" s="126"/>
    </row>
    <row r="91" spans="2:7">
      <c r="B91" s="125" t="s">
        <v>336</v>
      </c>
      <c r="C91" s="45" t="s">
        <v>35</v>
      </c>
      <c r="G91" s="126"/>
    </row>
    <row r="92" spans="2:7">
      <c r="B92" s="125" t="s">
        <v>336</v>
      </c>
      <c r="C92" s="45" t="s">
        <v>15</v>
      </c>
      <c r="G92" s="126"/>
    </row>
    <row r="93" spans="2:7">
      <c r="B93" s="125" t="s">
        <v>336</v>
      </c>
      <c r="C93" s="45" t="s">
        <v>144</v>
      </c>
      <c r="G93" s="126"/>
    </row>
    <row r="94" spans="2:7">
      <c r="B94" s="125" t="s">
        <v>336</v>
      </c>
      <c r="C94" s="45" t="s">
        <v>59</v>
      </c>
      <c r="G94" s="126"/>
    </row>
    <row r="95" spans="2:7">
      <c r="B95" s="125"/>
      <c r="G95" s="126"/>
    </row>
    <row r="96" spans="2:7">
      <c r="B96" s="125"/>
      <c r="C96" s="45" t="s">
        <v>337</v>
      </c>
      <c r="G96" s="126"/>
    </row>
    <row r="97" spans="2:7">
      <c r="B97" s="125" t="s">
        <v>338</v>
      </c>
      <c r="C97" s="112" t="s">
        <v>607</v>
      </c>
      <c r="G97" s="126"/>
    </row>
    <row r="98" spans="2:7">
      <c r="B98" s="125"/>
      <c r="G98" s="126"/>
    </row>
    <row r="99" spans="2:7">
      <c r="B99" s="125"/>
      <c r="C99" s="44" t="s">
        <v>23</v>
      </c>
      <c r="G99" s="126"/>
    </row>
    <row r="100" spans="2:7" ht="13.5" thickBot="1">
      <c r="B100" s="140"/>
      <c r="C100" s="131" t="s">
        <v>35</v>
      </c>
      <c r="D100" s="131"/>
      <c r="E100" s="141"/>
      <c r="F100" s="131"/>
      <c r="G100" s="135"/>
    </row>
    <row r="102" spans="2:7" ht="13.5" thickBot="1"/>
    <row r="103" spans="2:7" ht="13.5" thickBot="1">
      <c r="B103" s="239" t="s">
        <v>617</v>
      </c>
      <c r="C103" s="240"/>
      <c r="D103" s="240"/>
      <c r="E103" s="240"/>
      <c r="F103" s="240"/>
      <c r="G103" s="241"/>
    </row>
    <row r="104" spans="2:7" ht="13.5" thickBot="1">
      <c r="B104" s="125"/>
      <c r="G104" s="126"/>
    </row>
    <row r="105" spans="2:7">
      <c r="B105" s="125"/>
      <c r="C105" s="127" t="s">
        <v>27</v>
      </c>
      <c r="D105" s="128"/>
      <c r="E105" s="128" t="s">
        <v>1</v>
      </c>
      <c r="F105" s="129">
        <v>47</v>
      </c>
      <c r="G105" s="126"/>
    </row>
    <row r="106" spans="2:7" ht="13.5" thickBot="1">
      <c r="B106" s="125"/>
      <c r="C106" s="130"/>
      <c r="D106" s="131"/>
      <c r="E106" s="131" t="s">
        <v>68</v>
      </c>
      <c r="F106" s="132">
        <v>10</v>
      </c>
      <c r="G106" s="126"/>
    </row>
    <row r="107" spans="2:7" ht="13.5" thickBot="1">
      <c r="B107" s="125"/>
      <c r="G107" s="126"/>
    </row>
    <row r="108" spans="2:7">
      <c r="B108" s="125"/>
      <c r="C108" s="127" t="s">
        <v>4</v>
      </c>
      <c r="D108" s="128"/>
      <c r="E108" s="128" t="s">
        <v>1</v>
      </c>
      <c r="F108" s="133" t="s">
        <v>549</v>
      </c>
      <c r="G108" s="126"/>
    </row>
    <row r="109" spans="2:7">
      <c r="B109" s="125"/>
      <c r="C109" s="59" t="s">
        <v>2</v>
      </c>
      <c r="E109" s="45" t="s">
        <v>618</v>
      </c>
      <c r="F109" s="126"/>
      <c r="G109" s="126"/>
    </row>
    <row r="110" spans="2:7" ht="13.5" thickBot="1">
      <c r="B110" s="125"/>
      <c r="C110" s="130" t="s">
        <v>3</v>
      </c>
      <c r="D110" s="131"/>
      <c r="E110" s="134" t="s">
        <v>619</v>
      </c>
      <c r="F110" s="135"/>
      <c r="G110" s="126"/>
    </row>
    <row r="111" spans="2:7">
      <c r="B111" s="125"/>
      <c r="G111" s="126"/>
    </row>
    <row r="112" spans="2:7" ht="13.5" thickBot="1">
      <c r="B112" s="125"/>
      <c r="G112" s="126"/>
    </row>
    <row r="113" spans="2:7" ht="13.5" thickBot="1">
      <c r="B113" s="125"/>
      <c r="C113" s="136" t="s">
        <v>29</v>
      </c>
      <c r="D113" s="137"/>
      <c r="E113" s="138" t="s">
        <v>300</v>
      </c>
      <c r="F113" s="139"/>
      <c r="G113" s="126"/>
    </row>
    <row r="114" spans="2:7">
      <c r="B114" s="125"/>
      <c r="G114" s="126"/>
    </row>
    <row r="115" spans="2:7">
      <c r="B115" s="125"/>
      <c r="C115" s="45" t="s">
        <v>5</v>
      </c>
      <c r="G115" s="126"/>
    </row>
    <row r="116" spans="2:7">
      <c r="B116" s="125"/>
      <c r="G116" s="126"/>
    </row>
    <row r="117" spans="2:7">
      <c r="B117" s="59">
        <v>1</v>
      </c>
      <c r="C117" s="45" t="s">
        <v>6</v>
      </c>
      <c r="G117" s="126"/>
    </row>
    <row r="118" spans="2:7">
      <c r="B118" s="59">
        <v>2</v>
      </c>
      <c r="C118" s="45" t="s">
        <v>11</v>
      </c>
      <c r="G118" s="126"/>
    </row>
    <row r="119" spans="2:7">
      <c r="B119" s="59">
        <v>3</v>
      </c>
      <c r="C119" s="45" t="s">
        <v>35</v>
      </c>
      <c r="G119" s="126"/>
    </row>
    <row r="120" spans="2:7">
      <c r="B120" s="59">
        <v>4</v>
      </c>
      <c r="C120" s="45" t="s">
        <v>9</v>
      </c>
      <c r="G120" s="126"/>
    </row>
    <row r="121" spans="2:7">
      <c r="B121" s="59">
        <v>5</v>
      </c>
      <c r="C121" s="45" t="s">
        <v>32</v>
      </c>
      <c r="G121" s="126"/>
    </row>
    <row r="122" spans="2:7">
      <c r="B122" s="59">
        <v>6</v>
      </c>
      <c r="C122" s="45" t="s">
        <v>13</v>
      </c>
      <c r="G122" s="126"/>
    </row>
    <row r="123" spans="2:7">
      <c r="B123" s="59">
        <v>7</v>
      </c>
      <c r="C123" s="45" t="s">
        <v>155</v>
      </c>
      <c r="G123" s="126"/>
    </row>
    <row r="124" spans="2:7">
      <c r="B124" s="59">
        <v>8</v>
      </c>
      <c r="C124" s="45" t="s">
        <v>33</v>
      </c>
      <c r="G124" s="126"/>
    </row>
    <row r="125" spans="2:7">
      <c r="B125" s="59">
        <v>9</v>
      </c>
      <c r="C125" s="45" t="s">
        <v>14</v>
      </c>
      <c r="G125" s="126"/>
    </row>
    <row r="126" spans="2:7">
      <c r="B126" s="59">
        <v>10</v>
      </c>
      <c r="C126" s="45" t="s">
        <v>607</v>
      </c>
      <c r="G126" s="126"/>
    </row>
    <row r="127" spans="2:7">
      <c r="B127" s="59">
        <v>11</v>
      </c>
      <c r="C127" s="45" t="s">
        <v>19</v>
      </c>
      <c r="G127" s="126"/>
    </row>
    <row r="128" spans="2:7">
      <c r="B128" s="59">
        <v>12</v>
      </c>
      <c r="C128" s="45" t="s">
        <v>608</v>
      </c>
      <c r="G128" s="126"/>
    </row>
    <row r="129" spans="2:7">
      <c r="B129" s="59">
        <v>13</v>
      </c>
      <c r="C129" s="45" t="s">
        <v>142</v>
      </c>
      <c r="G129" s="126"/>
    </row>
    <row r="130" spans="2:7">
      <c r="B130" s="59">
        <v>14</v>
      </c>
      <c r="C130" s="45" t="s">
        <v>139</v>
      </c>
      <c r="G130" s="126"/>
    </row>
    <row r="131" spans="2:7">
      <c r="B131" s="59">
        <v>15</v>
      </c>
      <c r="C131" s="45" t="s">
        <v>144</v>
      </c>
      <c r="G131" s="126"/>
    </row>
    <row r="132" spans="2:7">
      <c r="B132" s="125"/>
      <c r="G132" s="126"/>
    </row>
    <row r="133" spans="2:7">
      <c r="B133" s="125"/>
      <c r="C133" s="45" t="s">
        <v>408</v>
      </c>
      <c r="G133" s="126"/>
    </row>
    <row r="134" spans="2:7">
      <c r="B134" s="125"/>
      <c r="C134" s="45" t="s">
        <v>620</v>
      </c>
      <c r="G134" s="126"/>
    </row>
    <row r="135" spans="2:7">
      <c r="B135" s="125"/>
      <c r="C135" s="45" t="s">
        <v>621</v>
      </c>
      <c r="G135" s="126"/>
    </row>
    <row r="136" spans="2:7">
      <c r="B136" s="125"/>
      <c r="C136" s="45" t="s">
        <v>622</v>
      </c>
      <c r="G136" s="126"/>
    </row>
    <row r="137" spans="2:7">
      <c r="B137" s="125"/>
      <c r="C137" s="45" t="s">
        <v>623</v>
      </c>
      <c r="G137" s="126"/>
    </row>
    <row r="138" spans="2:7">
      <c r="B138" s="125"/>
      <c r="C138" s="45" t="s">
        <v>624</v>
      </c>
      <c r="G138" s="126"/>
    </row>
    <row r="139" spans="2:7">
      <c r="B139" s="125"/>
      <c r="C139" s="45" t="s">
        <v>625</v>
      </c>
      <c r="G139" s="126"/>
    </row>
    <row r="140" spans="2:7">
      <c r="B140" s="125"/>
      <c r="C140" s="45" t="s">
        <v>626</v>
      </c>
      <c r="G140" s="126"/>
    </row>
    <row r="141" spans="2:7">
      <c r="B141" s="125"/>
      <c r="G141" s="126"/>
    </row>
    <row r="142" spans="2:7">
      <c r="B142" s="125"/>
      <c r="C142" s="124" t="s">
        <v>21</v>
      </c>
      <c r="G142" s="126"/>
    </row>
    <row r="143" spans="2:7">
      <c r="B143" s="125" t="s">
        <v>352</v>
      </c>
      <c r="C143" s="45" t="s">
        <v>155</v>
      </c>
      <c r="G143" s="126"/>
    </row>
    <row r="144" spans="2:7">
      <c r="B144" s="125" t="s">
        <v>336</v>
      </c>
      <c r="C144" s="45" t="s">
        <v>457</v>
      </c>
      <c r="G144" s="126"/>
    </row>
    <row r="145" spans="2:7">
      <c r="B145" s="125" t="s">
        <v>336</v>
      </c>
      <c r="C145" s="45" t="s">
        <v>19</v>
      </c>
      <c r="G145" s="126"/>
    </row>
    <row r="146" spans="2:7">
      <c r="B146" s="125" t="s">
        <v>336</v>
      </c>
      <c r="C146" s="45" t="s">
        <v>142</v>
      </c>
      <c r="G146" s="126"/>
    </row>
    <row r="147" spans="2:7">
      <c r="B147" s="125" t="s">
        <v>336</v>
      </c>
      <c r="C147" s="45" t="s">
        <v>15</v>
      </c>
      <c r="G147" s="126"/>
    </row>
    <row r="148" spans="2:7">
      <c r="B148" s="125" t="s">
        <v>336</v>
      </c>
      <c r="C148" s="45" t="s">
        <v>13</v>
      </c>
      <c r="G148" s="126"/>
    </row>
    <row r="149" spans="2:7">
      <c r="B149" s="125"/>
      <c r="G149" s="126"/>
    </row>
    <row r="150" spans="2:7">
      <c r="B150" s="125"/>
      <c r="C150" s="44" t="s">
        <v>337</v>
      </c>
      <c r="G150" s="126"/>
    </row>
    <row r="151" spans="2:7">
      <c r="B151" s="125" t="s">
        <v>338</v>
      </c>
      <c r="C151" s="45" t="s">
        <v>607</v>
      </c>
      <c r="G151" s="126"/>
    </row>
    <row r="152" spans="2:7">
      <c r="B152" s="125" t="s">
        <v>352</v>
      </c>
      <c r="C152" s="45" t="s">
        <v>139</v>
      </c>
      <c r="G152" s="126"/>
    </row>
    <row r="153" spans="2:7">
      <c r="B153" s="125"/>
      <c r="G153" s="126"/>
    </row>
    <row r="154" spans="2:7">
      <c r="B154" s="125"/>
      <c r="C154" s="44" t="s">
        <v>401</v>
      </c>
      <c r="G154" s="126"/>
    </row>
    <row r="155" spans="2:7">
      <c r="B155" s="125" t="s">
        <v>336</v>
      </c>
      <c r="C155" s="112" t="s">
        <v>31</v>
      </c>
      <c r="G155" s="126"/>
    </row>
    <row r="156" spans="2:7" ht="13.5" thickBot="1">
      <c r="B156" s="140"/>
      <c r="C156" s="131"/>
      <c r="D156" s="131"/>
      <c r="E156" s="141"/>
      <c r="F156" s="131"/>
      <c r="G156" s="135"/>
    </row>
    <row r="158" spans="2:7" ht="13.5" thickBot="1"/>
    <row r="159" spans="2:7" ht="13.5" thickBot="1">
      <c r="B159" s="239" t="s">
        <v>627</v>
      </c>
      <c r="C159" s="240"/>
      <c r="D159" s="240"/>
      <c r="E159" s="240"/>
      <c r="F159" s="240"/>
      <c r="G159" s="241"/>
    </row>
    <row r="160" spans="2:7" ht="13.5" thickBot="1">
      <c r="B160" s="125"/>
      <c r="G160" s="126"/>
    </row>
    <row r="161" spans="2:7">
      <c r="B161" s="125"/>
      <c r="C161" s="127" t="s">
        <v>27</v>
      </c>
      <c r="D161" s="128"/>
      <c r="E161" s="128" t="s">
        <v>70</v>
      </c>
      <c r="F161" s="129">
        <v>0</v>
      </c>
      <c r="G161" s="126"/>
    </row>
    <row r="162" spans="2:7" ht="13.5" thickBot="1">
      <c r="B162" s="125"/>
      <c r="C162" s="130"/>
      <c r="D162" s="131"/>
      <c r="E162" s="131" t="s">
        <v>1</v>
      </c>
      <c r="F162" s="132">
        <v>20</v>
      </c>
      <c r="G162" s="126"/>
    </row>
    <row r="163" spans="2:7" ht="13.5" thickBot="1">
      <c r="B163" s="125"/>
      <c r="G163" s="126"/>
    </row>
    <row r="164" spans="2:7">
      <c r="B164" s="125"/>
      <c r="C164" s="127" t="s">
        <v>4</v>
      </c>
      <c r="D164" s="128"/>
      <c r="E164" s="128" t="s">
        <v>70</v>
      </c>
      <c r="F164" s="129"/>
      <c r="G164" s="126"/>
    </row>
    <row r="165" spans="2:7">
      <c r="B165" s="125"/>
      <c r="C165" s="59" t="s">
        <v>2</v>
      </c>
      <c r="E165" s="45" t="s">
        <v>326</v>
      </c>
      <c r="F165" s="126"/>
      <c r="G165" s="126"/>
    </row>
    <row r="166" spans="2:7" ht="13.5" thickBot="1">
      <c r="B166" s="125"/>
      <c r="C166" s="130" t="s">
        <v>3</v>
      </c>
      <c r="D166" s="131"/>
      <c r="E166" s="134" t="s">
        <v>628</v>
      </c>
      <c r="F166" s="135"/>
      <c r="G166" s="126"/>
    </row>
    <row r="167" spans="2:7">
      <c r="B167" s="125"/>
      <c r="G167" s="126"/>
    </row>
    <row r="168" spans="2:7" ht="13.5" thickBot="1">
      <c r="B168" s="125"/>
      <c r="G168" s="126"/>
    </row>
    <row r="169" spans="2:7" ht="13.5" thickBot="1">
      <c r="B169" s="125"/>
      <c r="C169" s="136" t="s">
        <v>29</v>
      </c>
      <c r="D169" s="137"/>
      <c r="E169" s="138" t="s">
        <v>302</v>
      </c>
      <c r="F169" s="139"/>
      <c r="G169" s="126"/>
    </row>
    <row r="170" spans="2:7">
      <c r="B170" s="125"/>
      <c r="G170" s="126"/>
    </row>
    <row r="171" spans="2:7">
      <c r="B171" s="125"/>
      <c r="C171" s="45" t="s">
        <v>5</v>
      </c>
      <c r="G171" s="126"/>
    </row>
    <row r="172" spans="2:7">
      <c r="B172" s="125"/>
      <c r="G172" s="126"/>
    </row>
    <row r="173" spans="2:7">
      <c r="B173" s="59">
        <v>1</v>
      </c>
      <c r="C173" s="45" t="s">
        <v>6</v>
      </c>
      <c r="G173" s="126"/>
    </row>
    <row r="174" spans="2:7">
      <c r="B174" s="59">
        <v>2</v>
      </c>
      <c r="C174" s="45" t="s">
        <v>11</v>
      </c>
      <c r="G174" s="126"/>
    </row>
    <row r="175" spans="2:7">
      <c r="B175" s="59">
        <v>3</v>
      </c>
      <c r="C175" s="45" t="s">
        <v>35</v>
      </c>
      <c r="G175" s="126"/>
    </row>
    <row r="176" spans="2:7">
      <c r="B176" s="59">
        <v>4</v>
      </c>
      <c r="C176" s="45" t="s">
        <v>9</v>
      </c>
      <c r="G176" s="126"/>
    </row>
    <row r="177" spans="2:7">
      <c r="B177" s="59">
        <v>5</v>
      </c>
      <c r="C177" s="45" t="s">
        <v>32</v>
      </c>
      <c r="G177" s="126"/>
    </row>
    <row r="178" spans="2:7">
      <c r="B178" s="59">
        <v>6</v>
      </c>
      <c r="C178" s="45" t="s">
        <v>12</v>
      </c>
      <c r="G178" s="126"/>
    </row>
    <row r="179" spans="2:7">
      <c r="B179" s="59">
        <v>7</v>
      </c>
      <c r="C179" s="45" t="s">
        <v>155</v>
      </c>
      <c r="G179" s="126"/>
    </row>
    <row r="180" spans="2:7">
      <c r="B180" s="59">
        <v>8</v>
      </c>
      <c r="C180" s="45" t="s">
        <v>13</v>
      </c>
      <c r="G180" s="126"/>
    </row>
    <row r="181" spans="2:7">
      <c r="B181" s="59">
        <v>9</v>
      </c>
      <c r="C181" s="45" t="s">
        <v>14</v>
      </c>
      <c r="G181" s="126"/>
    </row>
    <row r="182" spans="2:7">
      <c r="B182" s="59">
        <v>10</v>
      </c>
      <c r="C182" s="45" t="s">
        <v>607</v>
      </c>
      <c r="G182" s="126"/>
    </row>
    <row r="183" spans="2:7">
      <c r="B183" s="59">
        <v>11</v>
      </c>
      <c r="C183" s="45" t="s">
        <v>19</v>
      </c>
      <c r="G183" s="126"/>
    </row>
    <row r="184" spans="2:7">
      <c r="B184" s="59">
        <v>12</v>
      </c>
      <c r="C184" s="45" t="s">
        <v>608</v>
      </c>
      <c r="G184" s="126"/>
    </row>
    <row r="185" spans="2:7">
      <c r="B185" s="59">
        <v>13</v>
      </c>
      <c r="C185" s="45" t="s">
        <v>142</v>
      </c>
      <c r="G185" s="126"/>
    </row>
    <row r="186" spans="2:7">
      <c r="B186" s="59">
        <v>14</v>
      </c>
      <c r="C186" s="45" t="s">
        <v>139</v>
      </c>
      <c r="G186" s="126"/>
    </row>
    <row r="187" spans="2:7">
      <c r="B187" s="59">
        <v>15</v>
      </c>
      <c r="C187" s="45" t="s">
        <v>144</v>
      </c>
      <c r="G187" s="126"/>
    </row>
    <row r="188" spans="2:7">
      <c r="B188" s="125"/>
      <c r="G188" s="126"/>
    </row>
    <row r="189" spans="2:7">
      <c r="B189" s="125"/>
      <c r="C189" s="45" t="s">
        <v>562</v>
      </c>
      <c r="G189" s="126"/>
    </row>
    <row r="190" spans="2:7">
      <c r="B190" s="125"/>
      <c r="C190" s="45" t="s">
        <v>479</v>
      </c>
      <c r="G190" s="126"/>
    </row>
    <row r="191" spans="2:7">
      <c r="B191" s="125"/>
      <c r="C191" s="45" t="s">
        <v>629</v>
      </c>
      <c r="G191" s="126"/>
    </row>
    <row r="192" spans="2:7">
      <c r="B192" s="125"/>
      <c r="C192" s="45" t="s">
        <v>630</v>
      </c>
      <c r="G192" s="126"/>
    </row>
    <row r="193" spans="2:7">
      <c r="B193" s="125"/>
      <c r="C193" s="45" t="s">
        <v>605</v>
      </c>
      <c r="G193" s="126"/>
    </row>
    <row r="194" spans="2:7">
      <c r="B194" s="125"/>
      <c r="C194" s="45" t="s">
        <v>631</v>
      </c>
      <c r="G194" s="126"/>
    </row>
    <row r="195" spans="2:7">
      <c r="B195" s="125"/>
      <c r="G195" s="126"/>
    </row>
    <row r="196" spans="2:7">
      <c r="B196" s="125"/>
      <c r="C196" s="124" t="s">
        <v>21</v>
      </c>
      <c r="G196" s="126"/>
    </row>
    <row r="197" spans="2:7">
      <c r="B197" s="125" t="s">
        <v>336</v>
      </c>
      <c r="C197" s="45" t="s">
        <v>19</v>
      </c>
      <c r="G197" s="126"/>
    </row>
    <row r="198" spans="2:7">
      <c r="B198" s="125" t="s">
        <v>336</v>
      </c>
      <c r="C198" s="45" t="s">
        <v>15</v>
      </c>
      <c r="G198" s="126"/>
    </row>
    <row r="199" spans="2:7">
      <c r="B199" s="125" t="s">
        <v>336</v>
      </c>
      <c r="C199" s="45" t="s">
        <v>146</v>
      </c>
      <c r="G199" s="126"/>
    </row>
    <row r="200" spans="2:7">
      <c r="B200" s="125" t="s">
        <v>336</v>
      </c>
      <c r="C200" s="45" t="s">
        <v>139</v>
      </c>
      <c r="G200" s="126"/>
    </row>
    <row r="201" spans="2:7">
      <c r="B201" s="125"/>
      <c r="G201" s="126"/>
    </row>
    <row r="202" spans="2:7">
      <c r="B202" s="125"/>
      <c r="C202" s="44" t="s">
        <v>23</v>
      </c>
      <c r="G202" s="126"/>
    </row>
    <row r="203" spans="2:7">
      <c r="B203" s="125"/>
      <c r="C203" s="112" t="s">
        <v>144</v>
      </c>
      <c r="G203" s="126"/>
    </row>
    <row r="204" spans="2:7" ht="13.5" thickBot="1">
      <c r="B204" s="140"/>
      <c r="C204" s="131"/>
      <c r="D204" s="131"/>
      <c r="E204" s="141"/>
      <c r="F204" s="131"/>
      <c r="G204" s="135"/>
    </row>
    <row r="206" spans="2:7" ht="13.5" thickBot="1"/>
    <row r="207" spans="2:7" ht="13.5" thickBot="1">
      <c r="B207" s="239" t="s">
        <v>632</v>
      </c>
      <c r="C207" s="240"/>
      <c r="D207" s="240"/>
      <c r="E207" s="240"/>
      <c r="F207" s="240"/>
      <c r="G207" s="241"/>
    </row>
    <row r="208" spans="2:7" ht="13.5" thickBot="1">
      <c r="B208" s="125"/>
      <c r="G208" s="126"/>
    </row>
    <row r="209" spans="2:7">
      <c r="B209" s="125"/>
      <c r="C209" s="127" t="s">
        <v>27</v>
      </c>
      <c r="D209" s="128"/>
      <c r="E209" s="128" t="s">
        <v>1</v>
      </c>
      <c r="F209" s="129">
        <v>85</v>
      </c>
      <c r="G209" s="126"/>
    </row>
    <row r="210" spans="2:7" ht="13.5" thickBot="1">
      <c r="B210" s="125"/>
      <c r="C210" s="130"/>
      <c r="D210" s="131"/>
      <c r="E210" s="131" t="s">
        <v>200</v>
      </c>
      <c r="F210" s="132">
        <v>15</v>
      </c>
      <c r="G210" s="126"/>
    </row>
    <row r="211" spans="2:7" ht="13.5" thickBot="1">
      <c r="B211" s="125"/>
      <c r="G211" s="126"/>
    </row>
    <row r="212" spans="2:7">
      <c r="B212" s="125"/>
      <c r="C212" s="127" t="s">
        <v>4</v>
      </c>
      <c r="D212" s="128"/>
      <c r="E212" s="128" t="s">
        <v>1</v>
      </c>
      <c r="F212" s="129" t="s">
        <v>503</v>
      </c>
      <c r="G212" s="126"/>
    </row>
    <row r="213" spans="2:7">
      <c r="B213" s="125"/>
      <c r="C213" s="59" t="s">
        <v>2</v>
      </c>
      <c r="E213" s="45" t="s">
        <v>326</v>
      </c>
      <c r="F213" s="126"/>
      <c r="G213" s="126"/>
    </row>
    <row r="214" spans="2:7" ht="13.5" thickBot="1">
      <c r="B214" s="125"/>
      <c r="C214" s="130" t="s">
        <v>3</v>
      </c>
      <c r="D214" s="131"/>
      <c r="E214" s="134" t="s">
        <v>326</v>
      </c>
      <c r="F214" s="135"/>
      <c r="G214" s="126"/>
    </row>
    <row r="215" spans="2:7">
      <c r="B215" s="125"/>
      <c r="G215" s="126"/>
    </row>
    <row r="216" spans="2:7" ht="13.5" thickBot="1">
      <c r="B216" s="125"/>
      <c r="G216" s="126"/>
    </row>
    <row r="217" spans="2:7" ht="13.5" thickBot="1">
      <c r="B217" s="125"/>
      <c r="C217" s="136" t="s">
        <v>29</v>
      </c>
      <c r="D217" s="137"/>
      <c r="E217" s="138" t="s">
        <v>275</v>
      </c>
      <c r="F217" s="139"/>
      <c r="G217" s="126"/>
    </row>
    <row r="218" spans="2:7">
      <c r="B218" s="125"/>
      <c r="G218" s="126"/>
    </row>
    <row r="219" spans="2:7">
      <c r="B219" s="125"/>
      <c r="C219" s="45" t="s">
        <v>5</v>
      </c>
      <c r="G219" s="126"/>
    </row>
    <row r="220" spans="2:7">
      <c r="B220" s="125"/>
      <c r="G220" s="126"/>
    </row>
    <row r="221" spans="2:7">
      <c r="B221" s="59">
        <v>1</v>
      </c>
      <c r="C221" s="45" t="s">
        <v>6</v>
      </c>
      <c r="G221" s="126"/>
    </row>
    <row r="222" spans="2:7">
      <c r="B222" s="59">
        <v>2</v>
      </c>
      <c r="C222" s="45" t="s">
        <v>11</v>
      </c>
      <c r="G222" s="126"/>
    </row>
    <row r="223" spans="2:7">
      <c r="B223" s="59">
        <v>3</v>
      </c>
      <c r="C223" s="45" t="s">
        <v>35</v>
      </c>
      <c r="G223" s="126"/>
    </row>
    <row r="224" spans="2:7">
      <c r="B224" s="59">
        <v>4</v>
      </c>
      <c r="C224" s="45" t="s">
        <v>9</v>
      </c>
      <c r="G224" s="126"/>
    </row>
    <row r="225" spans="2:7">
      <c r="B225" s="59">
        <v>5</v>
      </c>
      <c r="C225" s="45" t="s">
        <v>32</v>
      </c>
      <c r="G225" s="126"/>
    </row>
    <row r="226" spans="2:7">
      <c r="B226" s="59">
        <v>6</v>
      </c>
      <c r="C226" s="45" t="s">
        <v>12</v>
      </c>
      <c r="G226" s="126"/>
    </row>
    <row r="227" spans="2:7">
      <c r="B227" s="59">
        <v>7</v>
      </c>
      <c r="C227" s="45" t="s">
        <v>143</v>
      </c>
      <c r="G227" s="126"/>
    </row>
    <row r="228" spans="2:7">
      <c r="B228" s="59">
        <v>8</v>
      </c>
      <c r="C228" s="45" t="s">
        <v>13</v>
      </c>
      <c r="G228" s="126"/>
    </row>
    <row r="229" spans="2:7">
      <c r="B229" s="59">
        <v>9</v>
      </c>
      <c r="C229" s="45" t="s">
        <v>14</v>
      </c>
      <c r="G229" s="126"/>
    </row>
    <row r="230" spans="2:7">
      <c r="B230" s="59">
        <v>10</v>
      </c>
      <c r="C230" s="45" t="s">
        <v>607</v>
      </c>
      <c r="G230" s="126"/>
    </row>
    <row r="231" spans="2:7">
      <c r="B231" s="59">
        <v>11</v>
      </c>
      <c r="C231" s="45" t="s">
        <v>19</v>
      </c>
      <c r="G231" s="126"/>
    </row>
    <row r="232" spans="2:7">
      <c r="B232" s="59">
        <v>12</v>
      </c>
      <c r="C232" s="45" t="s">
        <v>608</v>
      </c>
      <c r="G232" s="126"/>
    </row>
    <row r="233" spans="2:7">
      <c r="B233" s="59">
        <v>13</v>
      </c>
      <c r="C233" s="45" t="s">
        <v>142</v>
      </c>
      <c r="G233" s="126"/>
    </row>
    <row r="234" spans="2:7">
      <c r="B234" s="59">
        <v>14</v>
      </c>
      <c r="C234" s="45" t="s">
        <v>139</v>
      </c>
      <c r="G234" s="126"/>
    </row>
    <row r="235" spans="2:7">
      <c r="B235" s="59">
        <v>15</v>
      </c>
      <c r="C235" s="45" t="s">
        <v>144</v>
      </c>
      <c r="G235" s="126"/>
    </row>
    <row r="236" spans="2:7">
      <c r="B236" s="125"/>
      <c r="G236" s="126"/>
    </row>
    <row r="237" spans="2:7">
      <c r="B237" s="125"/>
      <c r="C237" s="45" t="s">
        <v>408</v>
      </c>
      <c r="G237" s="126"/>
    </row>
    <row r="238" spans="2:7">
      <c r="B238" s="125"/>
      <c r="C238" s="45" t="s">
        <v>488</v>
      </c>
      <c r="G238" s="126"/>
    </row>
    <row r="239" spans="2:7">
      <c r="B239" s="125"/>
      <c r="C239" s="45" t="s">
        <v>631</v>
      </c>
      <c r="G239" s="126"/>
    </row>
    <row r="240" spans="2:7">
      <c r="B240" s="125"/>
      <c r="C240" s="45" t="s">
        <v>633</v>
      </c>
      <c r="G240" s="126"/>
    </row>
    <row r="241" spans="2:7">
      <c r="B241" s="125"/>
      <c r="C241" s="45" t="s">
        <v>411</v>
      </c>
      <c r="G241" s="126"/>
    </row>
    <row r="242" spans="2:7">
      <c r="B242" s="125"/>
      <c r="C242" s="45" t="s">
        <v>629</v>
      </c>
      <c r="G242" s="126"/>
    </row>
    <row r="243" spans="2:7">
      <c r="B243" s="125"/>
      <c r="C243" s="45" t="s">
        <v>634</v>
      </c>
      <c r="G243" s="126"/>
    </row>
    <row r="244" spans="2:7">
      <c r="B244" s="125"/>
      <c r="C244" s="45" t="s">
        <v>635</v>
      </c>
      <c r="G244" s="126"/>
    </row>
    <row r="245" spans="2:7">
      <c r="B245" s="125"/>
      <c r="G245" s="126"/>
    </row>
    <row r="246" spans="2:7">
      <c r="B246" s="125"/>
      <c r="C246" s="124" t="s">
        <v>21</v>
      </c>
      <c r="G246" s="126"/>
    </row>
    <row r="247" spans="2:7">
      <c r="B247" s="125" t="s">
        <v>352</v>
      </c>
      <c r="C247" s="45" t="s">
        <v>14</v>
      </c>
      <c r="G247" s="126"/>
    </row>
    <row r="248" spans="2:7">
      <c r="B248" s="125" t="s">
        <v>336</v>
      </c>
      <c r="C248" s="45" t="s">
        <v>6</v>
      </c>
      <c r="G248" s="126"/>
    </row>
    <row r="249" spans="2:7">
      <c r="B249" s="125" t="s">
        <v>336</v>
      </c>
      <c r="C249" s="45" t="s">
        <v>35</v>
      </c>
      <c r="G249" s="126"/>
    </row>
    <row r="250" spans="2:7">
      <c r="B250" s="125" t="s">
        <v>336</v>
      </c>
      <c r="C250" s="45" t="s">
        <v>144</v>
      </c>
      <c r="G250" s="126"/>
    </row>
    <row r="251" spans="2:7">
      <c r="B251" s="125" t="s">
        <v>336</v>
      </c>
      <c r="C251" s="45" t="s">
        <v>169</v>
      </c>
      <c r="G251" s="126"/>
    </row>
    <row r="252" spans="2:7">
      <c r="B252" s="125" t="s">
        <v>336</v>
      </c>
      <c r="C252" s="45" t="s">
        <v>181</v>
      </c>
      <c r="G252" s="126"/>
    </row>
    <row r="253" spans="2:7">
      <c r="B253" s="125" t="s">
        <v>336</v>
      </c>
      <c r="C253" s="45" t="s">
        <v>458</v>
      </c>
      <c r="G253" s="126"/>
    </row>
    <row r="254" spans="2:7">
      <c r="B254" s="125" t="s">
        <v>336</v>
      </c>
      <c r="C254" s="45" t="s">
        <v>143</v>
      </c>
      <c r="G254" s="126"/>
    </row>
    <row r="255" spans="2:7">
      <c r="B255" s="125" t="s">
        <v>336</v>
      </c>
      <c r="C255" s="45" t="s">
        <v>11</v>
      </c>
      <c r="G255" s="126"/>
    </row>
    <row r="256" spans="2:7">
      <c r="B256" s="125" t="s">
        <v>352</v>
      </c>
      <c r="C256" s="45" t="s">
        <v>139</v>
      </c>
      <c r="G256" s="126"/>
    </row>
    <row r="257" spans="2:7">
      <c r="B257" s="125" t="s">
        <v>336</v>
      </c>
      <c r="C257" s="45" t="s">
        <v>607</v>
      </c>
      <c r="G257" s="126"/>
    </row>
    <row r="258" spans="2:7">
      <c r="B258" s="125"/>
      <c r="G258" s="126"/>
    </row>
    <row r="259" spans="2:7">
      <c r="B259" s="125"/>
      <c r="C259" s="44" t="s">
        <v>337</v>
      </c>
      <c r="G259" s="126"/>
    </row>
    <row r="260" spans="2:7">
      <c r="B260" s="125" t="s">
        <v>336</v>
      </c>
      <c r="C260" s="45" t="s">
        <v>139</v>
      </c>
      <c r="G260" s="126"/>
    </row>
    <row r="261" spans="2:7">
      <c r="B261" s="125" t="s">
        <v>381</v>
      </c>
      <c r="C261" s="45" t="s">
        <v>607</v>
      </c>
      <c r="G261" s="126"/>
    </row>
    <row r="262" spans="2:7">
      <c r="B262" s="125"/>
      <c r="G262" s="126"/>
    </row>
    <row r="263" spans="2:7">
      <c r="B263" s="125"/>
      <c r="C263" s="44" t="s">
        <v>401</v>
      </c>
      <c r="G263" s="126"/>
    </row>
    <row r="264" spans="2:7">
      <c r="B264" s="125"/>
      <c r="C264" s="45" t="s">
        <v>339</v>
      </c>
      <c r="G264" s="126"/>
    </row>
    <row r="265" spans="2:7" ht="13.5" thickBot="1">
      <c r="B265" s="140"/>
      <c r="C265" s="131"/>
      <c r="D265" s="131"/>
      <c r="E265" s="141"/>
      <c r="F265" s="131"/>
      <c r="G265" s="135"/>
    </row>
    <row r="267" spans="2:7" ht="13.5" thickBot="1"/>
    <row r="268" spans="2:7" ht="13.5" thickBot="1">
      <c r="B268" s="239" t="s">
        <v>636</v>
      </c>
      <c r="C268" s="240"/>
      <c r="D268" s="240"/>
      <c r="E268" s="240"/>
      <c r="F268" s="240"/>
      <c r="G268" s="241"/>
    </row>
    <row r="269" spans="2:7" ht="13.5" thickBot="1">
      <c r="B269" s="125"/>
      <c r="G269" s="126"/>
    </row>
    <row r="270" spans="2:7">
      <c r="B270" s="125"/>
      <c r="C270" s="127" t="s">
        <v>27</v>
      </c>
      <c r="D270" s="128"/>
      <c r="E270" s="128" t="s">
        <v>138</v>
      </c>
      <c r="F270" s="129">
        <v>15</v>
      </c>
      <c r="G270" s="126"/>
    </row>
    <row r="271" spans="2:7" ht="13.5" thickBot="1">
      <c r="B271" s="125"/>
      <c r="C271" s="130"/>
      <c r="D271" s="131"/>
      <c r="E271" s="131" t="s">
        <v>1</v>
      </c>
      <c r="F271" s="132">
        <v>54</v>
      </c>
      <c r="G271" s="126"/>
    </row>
    <row r="272" spans="2:7" ht="13.5" thickBot="1">
      <c r="B272" s="125"/>
      <c r="G272" s="126"/>
    </row>
    <row r="273" spans="2:7">
      <c r="B273" s="125"/>
      <c r="C273" s="127" t="s">
        <v>4</v>
      </c>
      <c r="D273" s="128"/>
      <c r="E273" s="128" t="s">
        <v>138</v>
      </c>
      <c r="F273" s="133"/>
      <c r="G273" s="126"/>
    </row>
    <row r="274" spans="2:7">
      <c r="B274" s="125"/>
      <c r="C274" s="59" t="s">
        <v>2</v>
      </c>
      <c r="E274" s="45" t="s">
        <v>404</v>
      </c>
      <c r="F274" s="126"/>
      <c r="G274" s="126"/>
    </row>
    <row r="275" spans="2:7" ht="13.5" thickBot="1">
      <c r="B275" s="125"/>
      <c r="C275" s="130" t="s">
        <v>3</v>
      </c>
      <c r="D275" s="131"/>
      <c r="E275" s="134" t="s">
        <v>326</v>
      </c>
      <c r="F275" s="135"/>
      <c r="G275" s="126"/>
    </row>
    <row r="276" spans="2:7">
      <c r="B276" s="125"/>
      <c r="G276" s="126"/>
    </row>
    <row r="277" spans="2:7" ht="13.5" thickBot="1">
      <c r="B277" s="125"/>
      <c r="G277" s="126"/>
    </row>
    <row r="278" spans="2:7" ht="13.5" thickBot="1">
      <c r="B278" s="125"/>
      <c r="C278" s="136" t="s">
        <v>29</v>
      </c>
      <c r="D278" s="137"/>
      <c r="E278" s="138" t="s">
        <v>303</v>
      </c>
      <c r="F278" s="139"/>
      <c r="G278" s="126"/>
    </row>
    <row r="279" spans="2:7">
      <c r="B279" s="125"/>
      <c r="G279" s="126"/>
    </row>
    <row r="280" spans="2:7">
      <c r="B280" s="125"/>
      <c r="C280" s="45" t="s">
        <v>5</v>
      </c>
      <c r="G280" s="126"/>
    </row>
    <row r="281" spans="2:7">
      <c r="B281" s="125"/>
      <c r="G281" s="126"/>
    </row>
    <row r="282" spans="2:7">
      <c r="B282" s="59">
        <v>1</v>
      </c>
      <c r="C282" s="45" t="s">
        <v>6</v>
      </c>
      <c r="G282" s="126"/>
    </row>
    <row r="283" spans="2:7">
      <c r="B283" s="59">
        <v>2</v>
      </c>
      <c r="C283" s="45" t="s">
        <v>11</v>
      </c>
      <c r="G283" s="126"/>
    </row>
    <row r="284" spans="2:7">
      <c r="B284" s="59">
        <v>3</v>
      </c>
      <c r="C284" s="45" t="s">
        <v>35</v>
      </c>
      <c r="G284" s="126"/>
    </row>
    <row r="285" spans="2:7">
      <c r="B285" s="59">
        <v>4</v>
      </c>
      <c r="C285" s="45" t="s">
        <v>9</v>
      </c>
      <c r="G285" s="126"/>
    </row>
    <row r="286" spans="2:7">
      <c r="B286" s="59">
        <v>5</v>
      </c>
      <c r="C286" s="45" t="s">
        <v>32</v>
      </c>
      <c r="G286" s="126"/>
    </row>
    <row r="287" spans="2:7">
      <c r="B287" s="59">
        <v>6</v>
      </c>
      <c r="C287" s="45" t="s">
        <v>12</v>
      </c>
      <c r="G287" s="126"/>
    </row>
    <row r="288" spans="2:7">
      <c r="B288" s="59">
        <v>7</v>
      </c>
      <c r="C288" s="45" t="s">
        <v>143</v>
      </c>
      <c r="G288" s="126"/>
    </row>
    <row r="289" spans="2:7">
      <c r="B289" s="59">
        <v>8</v>
      </c>
      <c r="C289" s="45" t="s">
        <v>13</v>
      </c>
      <c r="G289" s="126"/>
    </row>
    <row r="290" spans="2:7">
      <c r="B290" s="59">
        <v>9</v>
      </c>
      <c r="C290" s="45" t="s">
        <v>14</v>
      </c>
      <c r="G290" s="126"/>
    </row>
    <row r="291" spans="2:7">
      <c r="B291" s="59">
        <v>10</v>
      </c>
      <c r="C291" s="45" t="s">
        <v>607</v>
      </c>
      <c r="G291" s="126"/>
    </row>
    <row r="292" spans="2:7">
      <c r="B292" s="59">
        <v>11</v>
      </c>
      <c r="C292" s="45" t="s">
        <v>19</v>
      </c>
      <c r="G292" s="126"/>
    </row>
    <row r="293" spans="2:7">
      <c r="B293" s="59">
        <v>12</v>
      </c>
      <c r="C293" s="45" t="s">
        <v>608</v>
      </c>
      <c r="G293" s="126"/>
    </row>
    <row r="294" spans="2:7">
      <c r="B294" s="59">
        <v>13</v>
      </c>
      <c r="C294" s="45" t="s">
        <v>142</v>
      </c>
      <c r="G294" s="126"/>
    </row>
    <row r="295" spans="2:7">
      <c r="B295" s="59">
        <v>14</v>
      </c>
      <c r="C295" s="45" t="s">
        <v>139</v>
      </c>
      <c r="G295" s="126"/>
    </row>
    <row r="296" spans="2:7">
      <c r="B296" s="59">
        <v>15</v>
      </c>
      <c r="C296" s="45" t="s">
        <v>144</v>
      </c>
      <c r="G296" s="126"/>
    </row>
    <row r="297" spans="2:7">
      <c r="B297" s="125"/>
      <c r="G297" s="126"/>
    </row>
    <row r="298" spans="2:7">
      <c r="B298" s="125"/>
      <c r="C298" s="45" t="s">
        <v>408</v>
      </c>
      <c r="G298" s="126"/>
    </row>
    <row r="299" spans="2:7">
      <c r="B299" s="125"/>
      <c r="C299" s="45" t="s">
        <v>633</v>
      </c>
      <c r="G299" s="126"/>
    </row>
    <row r="300" spans="2:7">
      <c r="B300" s="125"/>
      <c r="C300" s="45" t="s">
        <v>411</v>
      </c>
      <c r="G300" s="126"/>
    </row>
    <row r="301" spans="2:7">
      <c r="B301" s="125"/>
      <c r="C301" s="45" t="s">
        <v>461</v>
      </c>
      <c r="G301" s="126"/>
    </row>
    <row r="302" spans="2:7">
      <c r="B302" s="125"/>
      <c r="C302" s="45" t="s">
        <v>524</v>
      </c>
      <c r="G302" s="126"/>
    </row>
    <row r="303" spans="2:7">
      <c r="B303" s="125"/>
      <c r="C303" s="45" t="s">
        <v>629</v>
      </c>
      <c r="G303" s="126"/>
    </row>
    <row r="304" spans="2:7">
      <c r="B304" s="125"/>
      <c r="C304" s="45" t="s">
        <v>630</v>
      </c>
      <c r="G304" s="126"/>
    </row>
    <row r="305" spans="2:8">
      <c r="B305" s="125"/>
      <c r="C305" s="45" t="s">
        <v>637</v>
      </c>
      <c r="G305" s="126"/>
    </row>
    <row r="306" spans="2:8">
      <c r="B306" s="125"/>
      <c r="G306" s="126"/>
    </row>
    <row r="307" spans="2:8">
      <c r="B307" s="125"/>
      <c r="C307" s="124" t="s">
        <v>21</v>
      </c>
      <c r="G307" s="126"/>
    </row>
    <row r="308" spans="2:8">
      <c r="B308" s="125" t="s">
        <v>336</v>
      </c>
      <c r="C308" s="45" t="s">
        <v>139</v>
      </c>
      <c r="G308" s="126"/>
      <c r="H308" s="45">
        <f>16*5</f>
        <v>80</v>
      </c>
    </row>
    <row r="309" spans="2:8">
      <c r="B309" s="125" t="s">
        <v>336</v>
      </c>
      <c r="C309" s="45" t="s">
        <v>32</v>
      </c>
      <c r="G309" s="126"/>
    </row>
    <row r="310" spans="2:8">
      <c r="B310" s="125" t="s">
        <v>352</v>
      </c>
      <c r="C310" s="45" t="s">
        <v>144</v>
      </c>
      <c r="G310" s="126"/>
      <c r="H310" s="45">
        <v>84</v>
      </c>
    </row>
    <row r="311" spans="2:8">
      <c r="B311" s="125" t="s">
        <v>336</v>
      </c>
      <c r="C311" s="45" t="s">
        <v>142</v>
      </c>
      <c r="G311" s="126"/>
      <c r="H311" s="45">
        <v>25</v>
      </c>
    </row>
    <row r="312" spans="2:8">
      <c r="B312" s="125" t="s">
        <v>336</v>
      </c>
      <c r="C312" s="45" t="s">
        <v>9</v>
      </c>
      <c r="G312" s="126"/>
      <c r="H312" s="45">
        <f>+H311+H310</f>
        <v>109</v>
      </c>
    </row>
    <row r="313" spans="2:8">
      <c r="B313" s="125" t="s">
        <v>352</v>
      </c>
      <c r="C313" s="45" t="s">
        <v>13</v>
      </c>
      <c r="G313" s="126"/>
    </row>
    <row r="314" spans="2:8">
      <c r="B314" s="125"/>
      <c r="G314" s="126"/>
    </row>
    <row r="315" spans="2:8">
      <c r="B315" s="125"/>
      <c r="C315" s="44" t="s">
        <v>337</v>
      </c>
      <c r="G315" s="126"/>
    </row>
    <row r="316" spans="2:8">
      <c r="B316" s="125" t="s">
        <v>338</v>
      </c>
      <c r="C316" s="45" t="s">
        <v>607</v>
      </c>
      <c r="G316" s="126"/>
    </row>
    <row r="317" spans="2:8">
      <c r="B317" s="125"/>
      <c r="G317" s="126"/>
    </row>
    <row r="318" spans="2:8">
      <c r="B318" s="125"/>
      <c r="C318" s="44" t="s">
        <v>22</v>
      </c>
      <c r="G318" s="126"/>
    </row>
    <row r="319" spans="2:8">
      <c r="B319" s="125" t="s">
        <v>352</v>
      </c>
      <c r="C319" s="45" t="s">
        <v>607</v>
      </c>
      <c r="G319" s="126"/>
    </row>
    <row r="320" spans="2:8">
      <c r="B320" s="125"/>
      <c r="G320" s="126"/>
    </row>
    <row r="321" spans="2:7">
      <c r="B321" s="125"/>
      <c r="C321" s="44" t="s">
        <v>401</v>
      </c>
      <c r="G321" s="126"/>
    </row>
    <row r="322" spans="2:7">
      <c r="B322" s="125" t="s">
        <v>336</v>
      </c>
      <c r="C322" s="112" t="s">
        <v>32</v>
      </c>
      <c r="G322" s="126"/>
    </row>
    <row r="323" spans="2:7">
      <c r="B323" s="125" t="s">
        <v>336</v>
      </c>
      <c r="C323" s="45" t="s">
        <v>142</v>
      </c>
      <c r="G323" s="126"/>
    </row>
    <row r="324" spans="2:7" ht="13.5" thickBot="1">
      <c r="B324" s="140"/>
      <c r="C324" s="131"/>
      <c r="D324" s="131"/>
      <c r="E324" s="141"/>
      <c r="F324" s="131"/>
      <c r="G324" s="135"/>
    </row>
    <row r="326" spans="2:7" ht="13.5" thickBot="1"/>
    <row r="327" spans="2:7" ht="13.5" thickBot="1">
      <c r="B327" s="239" t="s">
        <v>638</v>
      </c>
      <c r="C327" s="240"/>
      <c r="D327" s="240"/>
      <c r="E327" s="240"/>
      <c r="F327" s="240"/>
      <c r="G327" s="241"/>
    </row>
    <row r="328" spans="2:7" ht="13.5" thickBot="1">
      <c r="B328" s="125"/>
      <c r="G328" s="126"/>
    </row>
    <row r="329" spans="2:7">
      <c r="B329" s="125"/>
      <c r="C329" s="127" t="s">
        <v>27</v>
      </c>
      <c r="D329" s="128"/>
      <c r="E329" s="128" t="s">
        <v>1</v>
      </c>
      <c r="F329" s="129">
        <v>22</v>
      </c>
      <c r="G329" s="126"/>
    </row>
    <row r="330" spans="2:7" ht="13.5" thickBot="1">
      <c r="B330" s="125"/>
      <c r="C330" s="130"/>
      <c r="D330" s="131"/>
      <c r="E330" s="131" t="s">
        <v>66</v>
      </c>
      <c r="F330" s="132">
        <v>22</v>
      </c>
      <c r="G330" s="126"/>
    </row>
    <row r="331" spans="2:7" ht="13.5" thickBot="1">
      <c r="B331" s="125"/>
      <c r="G331" s="126"/>
    </row>
    <row r="332" spans="2:7">
      <c r="B332" s="125"/>
      <c r="C332" s="127" t="s">
        <v>4</v>
      </c>
      <c r="D332" s="128"/>
      <c r="E332" s="128" t="s">
        <v>1</v>
      </c>
      <c r="F332" s="133" t="s">
        <v>205</v>
      </c>
      <c r="G332" s="126"/>
    </row>
    <row r="333" spans="2:7">
      <c r="B333" s="125"/>
      <c r="C333" s="59" t="s">
        <v>2</v>
      </c>
      <c r="E333" s="45" t="s">
        <v>404</v>
      </c>
      <c r="F333" s="126"/>
      <c r="G333" s="126"/>
    </row>
    <row r="334" spans="2:7" ht="13.5" thickBot="1">
      <c r="B334" s="125"/>
      <c r="C334" s="130" t="s">
        <v>3</v>
      </c>
      <c r="D334" s="131"/>
      <c r="E334" s="134" t="s">
        <v>326</v>
      </c>
      <c r="F334" s="135"/>
      <c r="G334" s="126"/>
    </row>
    <row r="335" spans="2:7">
      <c r="B335" s="125"/>
      <c r="G335" s="126"/>
    </row>
    <row r="336" spans="2:7" ht="13.5" thickBot="1">
      <c r="B336" s="125"/>
      <c r="G336" s="126"/>
    </row>
    <row r="337" spans="2:10" ht="13.5" thickBot="1">
      <c r="B337" s="125"/>
      <c r="C337" s="136" t="s">
        <v>29</v>
      </c>
      <c r="D337" s="137"/>
      <c r="E337" s="138" t="s">
        <v>471</v>
      </c>
      <c r="F337" s="139"/>
      <c r="G337" s="126"/>
    </row>
    <row r="338" spans="2:10">
      <c r="B338" s="125"/>
      <c r="G338" s="126"/>
    </row>
    <row r="339" spans="2:10">
      <c r="B339" s="125"/>
      <c r="C339" s="45" t="s">
        <v>5</v>
      </c>
      <c r="G339" s="126"/>
    </row>
    <row r="340" spans="2:10">
      <c r="B340" s="125"/>
      <c r="G340" s="126"/>
    </row>
    <row r="341" spans="2:10">
      <c r="B341" s="59">
        <v>1</v>
      </c>
      <c r="C341" s="45" t="s">
        <v>6</v>
      </c>
      <c r="G341" s="126"/>
      <c r="J341" s="45">
        <v>24</v>
      </c>
    </row>
    <row r="342" spans="2:10">
      <c r="B342" s="59">
        <v>2</v>
      </c>
      <c r="C342" s="45" t="s">
        <v>11</v>
      </c>
      <c r="G342" s="126"/>
      <c r="J342" s="45">
        <v>26</v>
      </c>
    </row>
    <row r="343" spans="2:10">
      <c r="B343" s="59">
        <v>3</v>
      </c>
      <c r="C343" s="45" t="s">
        <v>35</v>
      </c>
      <c r="G343" s="126"/>
      <c r="J343" s="45">
        <v>26</v>
      </c>
    </row>
    <row r="344" spans="2:10">
      <c r="B344" s="59">
        <v>4</v>
      </c>
      <c r="C344" s="45" t="s">
        <v>9</v>
      </c>
      <c r="G344" s="126"/>
      <c r="J344" s="45">
        <v>26</v>
      </c>
    </row>
    <row r="345" spans="2:10">
      <c r="B345" s="59">
        <v>5</v>
      </c>
      <c r="C345" s="45" t="s">
        <v>32</v>
      </c>
      <c r="G345" s="126"/>
      <c r="J345" s="45">
        <v>21</v>
      </c>
    </row>
    <row r="346" spans="2:10">
      <c r="B346" s="59">
        <v>6</v>
      </c>
      <c r="C346" s="45" t="s">
        <v>12</v>
      </c>
      <c r="G346" s="126"/>
      <c r="J346" s="45">
        <v>21</v>
      </c>
    </row>
    <row r="347" spans="2:10">
      <c r="B347" s="59">
        <v>7</v>
      </c>
      <c r="C347" s="45" t="s">
        <v>143</v>
      </c>
      <c r="G347" s="126"/>
      <c r="J347" s="45">
        <v>25</v>
      </c>
    </row>
    <row r="348" spans="2:10">
      <c r="B348" s="59">
        <v>8</v>
      </c>
      <c r="C348" s="45" t="s">
        <v>13</v>
      </c>
      <c r="G348" s="126"/>
      <c r="J348" s="45">
        <v>22</v>
      </c>
    </row>
    <row r="349" spans="2:10">
      <c r="B349" s="59">
        <v>9</v>
      </c>
      <c r="C349" s="45" t="s">
        <v>14</v>
      </c>
      <c r="G349" s="126"/>
      <c r="J349" s="45">
        <v>21</v>
      </c>
    </row>
    <row r="350" spans="2:10">
      <c r="B350" s="59">
        <v>10</v>
      </c>
      <c r="C350" s="45" t="s">
        <v>607</v>
      </c>
      <c r="G350" s="126"/>
      <c r="J350" s="45">
        <v>22</v>
      </c>
    </row>
    <row r="351" spans="2:10">
      <c r="B351" s="59">
        <v>11</v>
      </c>
      <c r="C351" s="45" t="s">
        <v>19</v>
      </c>
      <c r="G351" s="126"/>
      <c r="J351" s="45">
        <v>22</v>
      </c>
    </row>
    <row r="352" spans="2:10">
      <c r="B352" s="59">
        <v>12</v>
      </c>
      <c r="C352" s="45" t="s">
        <v>608</v>
      </c>
      <c r="G352" s="126"/>
      <c r="J352" s="45">
        <v>25</v>
      </c>
    </row>
    <row r="353" spans="2:12">
      <c r="B353" s="59">
        <v>13</v>
      </c>
      <c r="C353" s="45" t="s">
        <v>142</v>
      </c>
      <c r="G353" s="126"/>
      <c r="J353" s="45">
        <v>21</v>
      </c>
    </row>
    <row r="354" spans="2:12">
      <c r="B354" s="59">
        <v>14</v>
      </c>
      <c r="C354" s="45" t="s">
        <v>20</v>
      </c>
      <c r="G354" s="126"/>
      <c r="J354" s="45">
        <v>22</v>
      </c>
    </row>
    <row r="355" spans="2:12">
      <c r="B355" s="59">
        <v>15</v>
      </c>
      <c r="C355" s="45" t="s">
        <v>144</v>
      </c>
      <c r="G355" s="126"/>
      <c r="J355" s="45">
        <v>27</v>
      </c>
    </row>
    <row r="356" spans="2:12">
      <c r="B356" s="125"/>
      <c r="G356" s="126"/>
      <c r="J356" s="45">
        <f>SUM(J341:J355)</f>
        <v>351</v>
      </c>
      <c r="K356" s="45">
        <v>15</v>
      </c>
      <c r="L356" s="45">
        <f>+J356/K356</f>
        <v>23.4</v>
      </c>
    </row>
    <row r="357" spans="2:12">
      <c r="B357" s="125"/>
      <c r="C357" s="45" t="s">
        <v>639</v>
      </c>
      <c r="G357" s="126"/>
    </row>
    <row r="358" spans="2:12">
      <c r="B358" s="125"/>
      <c r="C358" s="45" t="s">
        <v>640</v>
      </c>
      <c r="G358" s="126"/>
    </row>
    <row r="359" spans="2:12">
      <c r="B359" s="125"/>
      <c r="C359" s="45" t="s">
        <v>641</v>
      </c>
      <c r="G359" s="126"/>
    </row>
    <row r="360" spans="2:12">
      <c r="B360" s="125"/>
      <c r="C360" s="45" t="s">
        <v>511</v>
      </c>
      <c r="G360" s="126"/>
    </row>
    <row r="361" spans="2:12">
      <c r="B361" s="125"/>
      <c r="G361" s="126"/>
    </row>
    <row r="362" spans="2:12">
      <c r="B362" s="125"/>
      <c r="C362" s="124" t="s">
        <v>21</v>
      </c>
      <c r="G362" s="126"/>
    </row>
    <row r="363" spans="2:12">
      <c r="B363" s="125" t="s">
        <v>352</v>
      </c>
      <c r="C363" s="45" t="s">
        <v>13</v>
      </c>
      <c r="G363" s="126"/>
    </row>
    <row r="364" spans="2:12">
      <c r="B364" s="125" t="s">
        <v>336</v>
      </c>
      <c r="C364" s="45" t="s">
        <v>144</v>
      </c>
      <c r="G364" s="126"/>
    </row>
    <row r="365" spans="2:12">
      <c r="B365" s="125"/>
      <c r="G365" s="126"/>
    </row>
    <row r="366" spans="2:12">
      <c r="B366" s="125"/>
      <c r="C366" s="44" t="s">
        <v>337</v>
      </c>
      <c r="G366" s="126"/>
    </row>
    <row r="367" spans="2:12">
      <c r="B367" s="125" t="s">
        <v>352</v>
      </c>
      <c r="C367" s="45" t="s">
        <v>149</v>
      </c>
      <c r="G367" s="126"/>
    </row>
    <row r="368" spans="2:12">
      <c r="B368" s="125"/>
      <c r="G368" s="126"/>
    </row>
    <row r="369" spans="2:7">
      <c r="B369" s="125"/>
      <c r="C369" s="44" t="s">
        <v>22</v>
      </c>
      <c r="G369" s="126"/>
    </row>
    <row r="370" spans="2:7">
      <c r="B370" s="125" t="s">
        <v>336</v>
      </c>
      <c r="C370" s="45" t="s">
        <v>149</v>
      </c>
      <c r="G370" s="126"/>
    </row>
    <row r="371" spans="2:7">
      <c r="B371" s="125"/>
      <c r="G371" s="126"/>
    </row>
    <row r="372" spans="2:7">
      <c r="B372" s="125"/>
      <c r="C372" s="44" t="s">
        <v>401</v>
      </c>
      <c r="G372" s="126"/>
    </row>
    <row r="373" spans="2:7">
      <c r="B373" s="125" t="s">
        <v>336</v>
      </c>
      <c r="C373" s="45" t="s">
        <v>155</v>
      </c>
      <c r="D373" s="45" t="s">
        <v>642</v>
      </c>
      <c r="G373" s="126"/>
    </row>
    <row r="374" spans="2:7">
      <c r="B374" s="125" t="s">
        <v>336</v>
      </c>
      <c r="C374" s="45" t="s">
        <v>6</v>
      </c>
      <c r="D374" s="45" t="s">
        <v>642</v>
      </c>
      <c r="G374" s="126"/>
    </row>
    <row r="375" spans="2:7" ht="13.5" thickBot="1">
      <c r="B375" s="140"/>
      <c r="C375" s="131"/>
      <c r="D375" s="131"/>
      <c r="E375" s="141"/>
      <c r="F375" s="131"/>
      <c r="G375" s="135"/>
    </row>
    <row r="377" spans="2:7" ht="13.5" thickBot="1"/>
    <row r="378" spans="2:7" ht="13.5" thickBot="1">
      <c r="B378" s="239" t="s">
        <v>643</v>
      </c>
      <c r="C378" s="240"/>
      <c r="D378" s="240"/>
      <c r="E378" s="240"/>
      <c r="F378" s="240"/>
      <c r="G378" s="241"/>
    </row>
    <row r="379" spans="2:7" ht="13.5" thickBot="1">
      <c r="B379" s="125"/>
      <c r="G379" s="126"/>
    </row>
    <row r="380" spans="2:7">
      <c r="B380" s="125"/>
      <c r="C380" s="127" t="s">
        <v>27</v>
      </c>
      <c r="D380" s="128"/>
      <c r="E380" s="128" t="s">
        <v>49</v>
      </c>
      <c r="F380" s="129">
        <v>28</v>
      </c>
      <c r="G380" s="126"/>
    </row>
    <row r="381" spans="2:7" ht="13.5" thickBot="1">
      <c r="B381" s="125"/>
      <c r="C381" s="130"/>
      <c r="D381" s="131"/>
      <c r="E381" s="131" t="s">
        <v>1</v>
      </c>
      <c r="F381" s="132">
        <v>9</v>
      </c>
      <c r="G381" s="126"/>
    </row>
    <row r="382" spans="2:7" ht="13.5" thickBot="1">
      <c r="B382" s="125"/>
      <c r="G382" s="126"/>
    </row>
    <row r="383" spans="2:7">
      <c r="B383" s="125"/>
      <c r="C383" s="127" t="s">
        <v>4</v>
      </c>
      <c r="D383" s="128"/>
      <c r="E383" s="128" t="s">
        <v>49</v>
      </c>
      <c r="F383" s="133"/>
      <c r="G383" s="126"/>
    </row>
    <row r="384" spans="2:7">
      <c r="B384" s="125"/>
      <c r="C384" s="59" t="s">
        <v>2</v>
      </c>
      <c r="E384" s="45" t="s">
        <v>644</v>
      </c>
      <c r="F384" s="126"/>
      <c r="G384" s="126"/>
    </row>
    <row r="385" spans="2:7" ht="13.5" thickBot="1">
      <c r="B385" s="125"/>
      <c r="C385" s="130" t="s">
        <v>3</v>
      </c>
      <c r="D385" s="131"/>
      <c r="E385" s="134" t="s">
        <v>326</v>
      </c>
      <c r="F385" s="135"/>
      <c r="G385" s="126"/>
    </row>
    <row r="386" spans="2:7">
      <c r="B386" s="125"/>
      <c r="G386" s="126"/>
    </row>
    <row r="387" spans="2:7" ht="13.5" thickBot="1">
      <c r="B387" s="125"/>
      <c r="G387" s="126"/>
    </row>
    <row r="388" spans="2:7" ht="13.5" thickBot="1">
      <c r="B388" s="125"/>
      <c r="C388" s="136" t="s">
        <v>29</v>
      </c>
      <c r="D388" s="137"/>
      <c r="E388" s="138" t="s">
        <v>278</v>
      </c>
      <c r="F388" s="139"/>
      <c r="G388" s="126"/>
    </row>
    <row r="389" spans="2:7">
      <c r="B389" s="125"/>
      <c r="G389" s="126"/>
    </row>
    <row r="390" spans="2:7">
      <c r="B390" s="125"/>
      <c r="C390" s="45" t="s">
        <v>5</v>
      </c>
      <c r="G390" s="126"/>
    </row>
    <row r="391" spans="2:7">
      <c r="B391" s="125"/>
      <c r="G391" s="126"/>
    </row>
    <row r="392" spans="2:7">
      <c r="B392" s="59">
        <v>1</v>
      </c>
      <c r="C392" s="45" t="s">
        <v>181</v>
      </c>
      <c r="G392" s="126"/>
    </row>
    <row r="393" spans="2:7">
      <c r="B393" s="59">
        <v>2</v>
      </c>
      <c r="C393" s="45" t="s">
        <v>11</v>
      </c>
      <c r="G393" s="126"/>
    </row>
    <row r="394" spans="2:7">
      <c r="B394" s="59">
        <v>3</v>
      </c>
      <c r="C394" s="45" t="s">
        <v>35</v>
      </c>
      <c r="G394" s="126"/>
    </row>
    <row r="395" spans="2:7">
      <c r="B395" s="59">
        <v>4</v>
      </c>
      <c r="C395" s="45" t="s">
        <v>9</v>
      </c>
      <c r="G395" s="126"/>
    </row>
    <row r="396" spans="2:7">
      <c r="B396" s="59">
        <v>5</v>
      </c>
      <c r="C396" s="45" t="s">
        <v>32</v>
      </c>
      <c r="G396" s="126"/>
    </row>
    <row r="397" spans="2:7">
      <c r="B397" s="59">
        <v>6</v>
      </c>
      <c r="C397" s="45" t="s">
        <v>34</v>
      </c>
      <c r="G397" s="126"/>
    </row>
    <row r="398" spans="2:7">
      <c r="B398" s="59">
        <v>7</v>
      </c>
      <c r="C398" s="45" t="s">
        <v>143</v>
      </c>
      <c r="G398" s="126"/>
    </row>
    <row r="399" spans="2:7">
      <c r="B399" s="59">
        <v>8</v>
      </c>
      <c r="C399" s="45" t="s">
        <v>13</v>
      </c>
      <c r="G399" s="126"/>
    </row>
    <row r="400" spans="2:7">
      <c r="B400" s="59">
        <v>9</v>
      </c>
      <c r="C400" s="45" t="s">
        <v>139</v>
      </c>
      <c r="G400" s="126"/>
    </row>
    <row r="401" spans="2:7">
      <c r="B401" s="59">
        <v>10</v>
      </c>
      <c r="C401" s="45" t="s">
        <v>607</v>
      </c>
      <c r="G401" s="126"/>
    </row>
    <row r="402" spans="2:7">
      <c r="B402" s="59">
        <v>11</v>
      </c>
      <c r="C402" s="45" t="s">
        <v>19</v>
      </c>
      <c r="G402" s="126"/>
    </row>
    <row r="403" spans="2:7">
      <c r="B403" s="59">
        <v>12</v>
      </c>
      <c r="C403" s="45" t="s">
        <v>608</v>
      </c>
      <c r="G403" s="126"/>
    </row>
    <row r="404" spans="2:7">
      <c r="B404" s="59">
        <v>13</v>
      </c>
      <c r="C404" s="45" t="s">
        <v>142</v>
      </c>
      <c r="G404" s="126"/>
    </row>
    <row r="405" spans="2:7">
      <c r="B405" s="59">
        <v>14</v>
      </c>
      <c r="C405" s="45" t="s">
        <v>20</v>
      </c>
      <c r="G405" s="126"/>
    </row>
    <row r="406" spans="2:7">
      <c r="B406" s="59">
        <v>15</v>
      </c>
      <c r="C406" s="45" t="s">
        <v>169</v>
      </c>
      <c r="G406" s="126"/>
    </row>
    <row r="407" spans="2:7">
      <c r="B407" s="125"/>
      <c r="G407" s="126"/>
    </row>
    <row r="408" spans="2:7">
      <c r="B408" s="125"/>
      <c r="C408" s="45" t="s">
        <v>645</v>
      </c>
      <c r="G408" s="126"/>
    </row>
    <row r="409" spans="2:7">
      <c r="B409" s="125"/>
      <c r="C409" s="45" t="s">
        <v>646</v>
      </c>
      <c r="G409" s="126"/>
    </row>
    <row r="410" spans="2:7">
      <c r="B410" s="125"/>
      <c r="C410" s="45" t="s">
        <v>621</v>
      </c>
      <c r="G410" s="126"/>
    </row>
    <row r="411" spans="2:7">
      <c r="B411" s="125"/>
      <c r="C411" s="45" t="s">
        <v>647</v>
      </c>
      <c r="G411" s="126"/>
    </row>
    <row r="412" spans="2:7">
      <c r="B412" s="125"/>
      <c r="C412" s="45" t="s">
        <v>648</v>
      </c>
      <c r="G412" s="126"/>
    </row>
    <row r="413" spans="2:7">
      <c r="B413" s="125"/>
      <c r="C413" s="45" t="s">
        <v>649</v>
      </c>
      <c r="G413" s="126"/>
    </row>
    <row r="414" spans="2:7">
      <c r="B414" s="125"/>
      <c r="G414" s="126"/>
    </row>
    <row r="415" spans="2:7">
      <c r="B415" s="125"/>
      <c r="C415" s="124" t="s">
        <v>22</v>
      </c>
      <c r="G415" s="126"/>
    </row>
    <row r="416" spans="2:7">
      <c r="B416" s="142">
        <v>3</v>
      </c>
      <c r="C416" s="45" t="s">
        <v>149</v>
      </c>
      <c r="G416" s="126"/>
    </row>
    <row r="417" spans="2:7">
      <c r="B417" s="143"/>
      <c r="G417" s="126"/>
    </row>
    <row r="418" spans="2:7">
      <c r="B418" s="125"/>
      <c r="C418" s="44" t="s">
        <v>401</v>
      </c>
      <c r="G418" s="126"/>
    </row>
    <row r="419" spans="2:7">
      <c r="B419" s="125"/>
      <c r="C419" s="45" t="s">
        <v>35</v>
      </c>
      <c r="G419" s="126"/>
    </row>
    <row r="420" spans="2:7" ht="13.5" thickBot="1">
      <c r="B420" s="140"/>
      <c r="C420" s="131"/>
      <c r="D420" s="131"/>
      <c r="E420" s="141"/>
      <c r="F420" s="131"/>
      <c r="G420" s="135"/>
    </row>
    <row r="422" spans="2:7" ht="13.5" thickBot="1"/>
    <row r="423" spans="2:7" ht="13.5" thickBot="1">
      <c r="B423" s="239" t="s">
        <v>650</v>
      </c>
      <c r="C423" s="240"/>
      <c r="D423" s="240"/>
      <c r="E423" s="240"/>
      <c r="F423" s="240"/>
      <c r="G423" s="241"/>
    </row>
    <row r="424" spans="2:7" ht="13.5" thickBot="1">
      <c r="B424" s="125"/>
      <c r="G424" s="126"/>
    </row>
    <row r="425" spans="2:7">
      <c r="B425" s="125"/>
      <c r="C425" s="127" t="s">
        <v>27</v>
      </c>
      <c r="D425" s="128"/>
      <c r="E425" s="128" t="s">
        <v>1</v>
      </c>
      <c r="F425" s="129">
        <v>6</v>
      </c>
      <c r="G425" s="126"/>
    </row>
    <row r="426" spans="2:7" ht="13.5" thickBot="1">
      <c r="B426" s="125"/>
      <c r="C426" s="130"/>
      <c r="D426" s="131"/>
      <c r="E426" s="131" t="s">
        <v>92</v>
      </c>
      <c r="F426" s="132">
        <v>27</v>
      </c>
      <c r="G426" s="126"/>
    </row>
    <row r="427" spans="2:7" ht="13.5" thickBot="1">
      <c r="B427" s="125"/>
      <c r="G427" s="126"/>
    </row>
    <row r="428" spans="2:7">
      <c r="B428" s="125"/>
      <c r="C428" s="127" t="s">
        <v>4</v>
      </c>
      <c r="D428" s="128"/>
      <c r="E428" s="128" t="s">
        <v>1</v>
      </c>
      <c r="F428" s="133" t="s">
        <v>593</v>
      </c>
      <c r="G428" s="126"/>
    </row>
    <row r="429" spans="2:7">
      <c r="B429" s="125"/>
      <c r="C429" s="59" t="s">
        <v>2</v>
      </c>
      <c r="E429" s="45" t="s">
        <v>326</v>
      </c>
      <c r="F429" s="126"/>
      <c r="G429" s="126"/>
    </row>
    <row r="430" spans="2:7" ht="13.5" thickBot="1">
      <c r="B430" s="125"/>
      <c r="C430" s="130" t="s">
        <v>3</v>
      </c>
      <c r="D430" s="131"/>
      <c r="E430" s="134" t="s">
        <v>326</v>
      </c>
      <c r="F430" s="135"/>
      <c r="G430" s="126"/>
    </row>
    <row r="431" spans="2:7">
      <c r="B431" s="125"/>
      <c r="G431" s="126"/>
    </row>
    <row r="432" spans="2:7" ht="13.5" thickBot="1">
      <c r="B432" s="125"/>
      <c r="G432" s="126"/>
    </row>
    <row r="433" spans="2:7" ht="13.5" thickBot="1">
      <c r="B433" s="125"/>
      <c r="C433" s="136" t="s">
        <v>29</v>
      </c>
      <c r="D433" s="137"/>
      <c r="E433" s="138" t="s">
        <v>651</v>
      </c>
      <c r="F433" s="139"/>
      <c r="G433" s="126"/>
    </row>
    <row r="434" spans="2:7">
      <c r="B434" s="125"/>
      <c r="G434" s="126"/>
    </row>
    <row r="435" spans="2:7">
      <c r="B435" s="125"/>
      <c r="C435" s="45" t="s">
        <v>5</v>
      </c>
      <c r="G435" s="126"/>
    </row>
    <row r="436" spans="2:7">
      <c r="B436" s="125"/>
      <c r="G436" s="126"/>
    </row>
    <row r="437" spans="2:7">
      <c r="B437" s="59">
        <v>1</v>
      </c>
      <c r="C437" s="45" t="s">
        <v>6</v>
      </c>
      <c r="G437" s="126"/>
    </row>
    <row r="438" spans="2:7">
      <c r="B438" s="59">
        <v>2</v>
      </c>
      <c r="C438" s="45" t="s">
        <v>35</v>
      </c>
      <c r="G438" s="126"/>
    </row>
    <row r="439" spans="2:7">
      <c r="B439" s="59">
        <v>3</v>
      </c>
      <c r="C439" s="45" t="s">
        <v>31</v>
      </c>
      <c r="G439" s="126"/>
    </row>
    <row r="440" spans="2:7">
      <c r="B440" s="59">
        <v>4</v>
      </c>
      <c r="C440" s="45" t="s">
        <v>9</v>
      </c>
      <c r="G440" s="126"/>
    </row>
    <row r="441" spans="2:7">
      <c r="B441" s="59">
        <v>5</v>
      </c>
      <c r="C441" s="45" t="s">
        <v>32</v>
      </c>
      <c r="G441" s="126"/>
    </row>
    <row r="442" spans="2:7">
      <c r="B442" s="59">
        <v>6</v>
      </c>
      <c r="C442" s="45" t="s">
        <v>13</v>
      </c>
      <c r="G442" s="126"/>
    </row>
    <row r="443" spans="2:7">
      <c r="B443" s="59">
        <v>7</v>
      </c>
      <c r="C443" s="45" t="s">
        <v>143</v>
      </c>
      <c r="G443" s="126"/>
    </row>
    <row r="444" spans="2:7">
      <c r="B444" s="59">
        <v>8</v>
      </c>
      <c r="C444" s="45" t="s">
        <v>33</v>
      </c>
      <c r="G444" s="126"/>
    </row>
    <row r="445" spans="2:7">
      <c r="B445" s="59">
        <v>9</v>
      </c>
      <c r="C445" s="45" t="s">
        <v>14</v>
      </c>
      <c r="G445" s="126"/>
    </row>
    <row r="446" spans="2:7">
      <c r="B446" s="59">
        <v>10</v>
      </c>
      <c r="C446" s="45" t="s">
        <v>607</v>
      </c>
      <c r="G446" s="126"/>
    </row>
    <row r="447" spans="2:7">
      <c r="B447" s="59">
        <v>11</v>
      </c>
      <c r="C447" s="45" t="s">
        <v>19</v>
      </c>
      <c r="G447" s="126"/>
    </row>
    <row r="448" spans="2:7">
      <c r="B448" s="59">
        <v>12</v>
      </c>
      <c r="C448" s="45" t="s">
        <v>608</v>
      </c>
      <c r="G448" s="126"/>
    </row>
    <row r="449" spans="2:11">
      <c r="B449" s="59">
        <v>13</v>
      </c>
      <c r="C449" s="45" t="s">
        <v>142</v>
      </c>
      <c r="G449" s="126"/>
    </row>
    <row r="450" spans="2:11">
      <c r="B450" s="59">
        <v>14</v>
      </c>
      <c r="C450" s="45" t="s">
        <v>139</v>
      </c>
      <c r="G450" s="126"/>
    </row>
    <row r="451" spans="2:11">
      <c r="B451" s="59">
        <v>15</v>
      </c>
      <c r="C451" s="45" t="s">
        <v>144</v>
      </c>
      <c r="G451" s="126"/>
    </row>
    <row r="452" spans="2:11">
      <c r="B452" s="125"/>
      <c r="G452" s="126"/>
    </row>
    <row r="453" spans="2:11">
      <c r="B453" s="125"/>
      <c r="C453" s="45" t="s">
        <v>652</v>
      </c>
      <c r="G453" s="126"/>
    </row>
    <row r="454" spans="2:11">
      <c r="B454" s="125"/>
      <c r="C454" s="45" t="s">
        <v>524</v>
      </c>
      <c r="G454" s="126"/>
    </row>
    <row r="455" spans="2:11">
      <c r="B455" s="125"/>
      <c r="C455" s="45" t="s">
        <v>653</v>
      </c>
      <c r="G455" s="126"/>
    </row>
    <row r="456" spans="2:11">
      <c r="B456" s="125"/>
      <c r="G456" s="126"/>
    </row>
    <row r="457" spans="2:11">
      <c r="B457" s="125"/>
      <c r="C457" s="44" t="s">
        <v>22</v>
      </c>
      <c r="G457" s="126"/>
      <c r="K457" s="45">
        <v>5</v>
      </c>
    </row>
    <row r="458" spans="2:11">
      <c r="B458" s="125" t="s">
        <v>352</v>
      </c>
      <c r="C458" s="45" t="s">
        <v>607</v>
      </c>
      <c r="G458" s="126"/>
      <c r="K458" s="45">
        <v>7</v>
      </c>
    </row>
    <row r="459" spans="2:11">
      <c r="B459" s="125"/>
      <c r="G459" s="126"/>
      <c r="K459" s="45">
        <v>5</v>
      </c>
    </row>
    <row r="460" spans="2:11">
      <c r="B460" s="125"/>
      <c r="C460" s="44" t="s">
        <v>401</v>
      </c>
      <c r="G460" s="126"/>
      <c r="K460" s="45">
        <v>5</v>
      </c>
    </row>
    <row r="461" spans="2:11">
      <c r="B461" s="125" t="s">
        <v>336</v>
      </c>
      <c r="C461" s="112" t="s">
        <v>6</v>
      </c>
      <c r="G461" s="126"/>
    </row>
    <row r="462" spans="2:11">
      <c r="B462" s="125" t="s">
        <v>336</v>
      </c>
      <c r="C462" s="45" t="s">
        <v>607</v>
      </c>
      <c r="G462" s="126"/>
      <c r="K462" s="45">
        <v>7</v>
      </c>
    </row>
    <row r="463" spans="2:11" ht="13.5" thickBot="1">
      <c r="B463" s="140"/>
      <c r="C463" s="131"/>
      <c r="D463" s="131"/>
      <c r="E463" s="141"/>
      <c r="F463" s="131"/>
      <c r="G463" s="135"/>
      <c r="K463" s="45">
        <f>SUM(K457:K462)</f>
        <v>29</v>
      </c>
    </row>
    <row r="465" spans="2:7" ht="13.5" thickBot="1"/>
    <row r="466" spans="2:7" ht="13.5" thickBot="1">
      <c r="B466" s="239" t="s">
        <v>654</v>
      </c>
      <c r="C466" s="240"/>
      <c r="D466" s="240"/>
      <c r="E466" s="240"/>
      <c r="F466" s="240"/>
      <c r="G466" s="241"/>
    </row>
    <row r="467" spans="2:7" ht="13.5" thickBot="1">
      <c r="B467" s="125"/>
      <c r="G467" s="126"/>
    </row>
    <row r="468" spans="2:7">
      <c r="B468" s="125"/>
      <c r="C468" s="127" t="s">
        <v>27</v>
      </c>
      <c r="D468" s="128"/>
      <c r="E468" s="128" t="s">
        <v>37</v>
      </c>
      <c r="F468" s="129">
        <v>30</v>
      </c>
      <c r="G468" s="126"/>
    </row>
    <row r="469" spans="2:7" ht="13.5" thickBot="1">
      <c r="B469" s="125"/>
      <c r="C469" s="130"/>
      <c r="D469" s="131"/>
      <c r="E469" s="131" t="s">
        <v>1</v>
      </c>
      <c r="F469" s="132">
        <v>34</v>
      </c>
      <c r="G469" s="126"/>
    </row>
    <row r="470" spans="2:7" ht="13.5" thickBot="1">
      <c r="B470" s="125"/>
      <c r="G470" s="126"/>
    </row>
    <row r="471" spans="2:7">
      <c r="B471" s="125"/>
      <c r="C471" s="127" t="s">
        <v>4</v>
      </c>
      <c r="D471" s="128"/>
      <c r="E471" s="128" t="s">
        <v>37</v>
      </c>
      <c r="F471" s="133"/>
      <c r="G471" s="126"/>
    </row>
    <row r="472" spans="2:7">
      <c r="B472" s="125"/>
      <c r="C472" s="59" t="s">
        <v>2</v>
      </c>
      <c r="E472" s="45" t="s">
        <v>326</v>
      </c>
      <c r="F472" s="126"/>
      <c r="G472" s="126"/>
    </row>
    <row r="473" spans="2:7" ht="13.5" thickBot="1">
      <c r="B473" s="125"/>
      <c r="C473" s="130" t="s">
        <v>3</v>
      </c>
      <c r="D473" s="131"/>
      <c r="E473" s="134" t="s">
        <v>326</v>
      </c>
      <c r="F473" s="135"/>
      <c r="G473" s="126"/>
    </row>
    <row r="474" spans="2:7">
      <c r="B474" s="125"/>
      <c r="G474" s="126"/>
    </row>
    <row r="475" spans="2:7" ht="13.5" thickBot="1">
      <c r="B475" s="125"/>
      <c r="G475" s="126"/>
    </row>
    <row r="476" spans="2:7" ht="13.5" thickBot="1">
      <c r="B476" s="125"/>
      <c r="C476" s="136" t="s">
        <v>29</v>
      </c>
      <c r="D476" s="137"/>
      <c r="E476" s="138" t="s">
        <v>305</v>
      </c>
      <c r="F476" s="139"/>
      <c r="G476" s="126"/>
    </row>
    <row r="477" spans="2:7">
      <c r="B477" s="125"/>
      <c r="G477" s="126"/>
    </row>
    <row r="478" spans="2:7">
      <c r="B478" s="125"/>
      <c r="C478" s="45" t="s">
        <v>5</v>
      </c>
      <c r="G478" s="126"/>
    </row>
    <row r="479" spans="2:7">
      <c r="B479" s="125"/>
      <c r="G479" s="126"/>
    </row>
    <row r="480" spans="2:7">
      <c r="B480" s="59">
        <v>1</v>
      </c>
      <c r="C480" s="45" t="s">
        <v>6</v>
      </c>
      <c r="G480" s="126"/>
    </row>
    <row r="481" spans="2:7">
      <c r="B481" s="59">
        <v>2</v>
      </c>
      <c r="C481" s="45" t="s">
        <v>11</v>
      </c>
      <c r="G481" s="126"/>
    </row>
    <row r="482" spans="2:7">
      <c r="B482" s="59">
        <v>3</v>
      </c>
      <c r="C482" s="45" t="s">
        <v>35</v>
      </c>
      <c r="G482" s="126"/>
    </row>
    <row r="483" spans="2:7">
      <c r="B483" s="59">
        <v>4</v>
      </c>
      <c r="C483" s="45" t="s">
        <v>9</v>
      </c>
      <c r="G483" s="126"/>
    </row>
    <row r="484" spans="2:7">
      <c r="B484" s="59">
        <v>5</v>
      </c>
      <c r="C484" s="45" t="s">
        <v>32</v>
      </c>
      <c r="G484" s="126"/>
    </row>
    <row r="485" spans="2:7">
      <c r="B485" s="59">
        <v>6</v>
      </c>
      <c r="C485" s="45" t="s">
        <v>13</v>
      </c>
      <c r="G485" s="126"/>
    </row>
    <row r="486" spans="2:7">
      <c r="B486" s="59">
        <v>7</v>
      </c>
      <c r="C486" s="45" t="s">
        <v>155</v>
      </c>
      <c r="G486" s="126"/>
    </row>
    <row r="487" spans="2:7">
      <c r="B487" s="59">
        <v>8</v>
      </c>
      <c r="C487" s="45" t="s">
        <v>33</v>
      </c>
      <c r="G487" s="126"/>
    </row>
    <row r="488" spans="2:7">
      <c r="B488" s="59">
        <v>9</v>
      </c>
      <c r="C488" s="45" t="s">
        <v>14</v>
      </c>
      <c r="G488" s="126"/>
    </row>
    <row r="489" spans="2:7">
      <c r="B489" s="59">
        <v>10</v>
      </c>
      <c r="C489" s="45" t="s">
        <v>607</v>
      </c>
      <c r="G489" s="126"/>
    </row>
    <row r="490" spans="2:7">
      <c r="B490" s="59">
        <v>11</v>
      </c>
      <c r="C490" s="45" t="s">
        <v>19</v>
      </c>
      <c r="G490" s="126"/>
    </row>
    <row r="491" spans="2:7">
      <c r="B491" s="59">
        <v>12</v>
      </c>
      <c r="C491" s="45" t="s">
        <v>608</v>
      </c>
      <c r="G491" s="126"/>
    </row>
    <row r="492" spans="2:7">
      <c r="B492" s="59">
        <v>13</v>
      </c>
      <c r="C492" s="45" t="s">
        <v>142</v>
      </c>
      <c r="G492" s="126"/>
    </row>
    <row r="493" spans="2:7">
      <c r="B493" s="59">
        <v>14</v>
      </c>
      <c r="C493" s="45" t="s">
        <v>139</v>
      </c>
      <c r="G493" s="126"/>
    </row>
    <row r="494" spans="2:7">
      <c r="B494" s="59">
        <v>15</v>
      </c>
      <c r="C494" s="45" t="s">
        <v>144</v>
      </c>
      <c r="G494" s="126"/>
    </row>
    <row r="495" spans="2:7">
      <c r="B495" s="125"/>
      <c r="G495" s="126"/>
    </row>
    <row r="496" spans="2:7">
      <c r="B496" s="125"/>
      <c r="C496" s="45" t="s">
        <v>655</v>
      </c>
      <c r="G496" s="126"/>
    </row>
    <row r="497" spans="2:7">
      <c r="B497" s="125"/>
      <c r="C497" s="45" t="s">
        <v>656</v>
      </c>
      <c r="G497" s="126"/>
    </row>
    <row r="498" spans="2:7">
      <c r="B498" s="125"/>
      <c r="C498" s="45" t="s">
        <v>657</v>
      </c>
      <c r="G498" s="126"/>
    </row>
    <row r="499" spans="2:7">
      <c r="B499" s="125"/>
      <c r="G499" s="126"/>
    </row>
    <row r="500" spans="2:7">
      <c r="B500" s="125"/>
      <c r="C500" s="124" t="s">
        <v>21</v>
      </c>
      <c r="G500" s="126"/>
    </row>
    <row r="501" spans="2:7">
      <c r="B501" s="142">
        <v>1</v>
      </c>
      <c r="C501" s="45" t="s">
        <v>607</v>
      </c>
      <c r="G501" s="126"/>
    </row>
    <row r="502" spans="2:7">
      <c r="B502" s="142">
        <v>1</v>
      </c>
      <c r="C502" s="45" t="s">
        <v>32</v>
      </c>
      <c r="G502" s="126"/>
    </row>
    <row r="503" spans="2:7">
      <c r="B503" s="142">
        <v>1</v>
      </c>
      <c r="C503" s="45" t="s">
        <v>13</v>
      </c>
      <c r="G503" s="126"/>
    </row>
    <row r="504" spans="2:7">
      <c r="B504" s="142">
        <v>1</v>
      </c>
      <c r="C504" s="45" t="s">
        <v>14</v>
      </c>
      <c r="G504" s="126"/>
    </row>
    <row r="505" spans="2:7">
      <c r="B505" s="143"/>
      <c r="G505" s="126"/>
    </row>
    <row r="506" spans="2:7">
      <c r="B506" s="125"/>
      <c r="C506" s="44" t="s">
        <v>337</v>
      </c>
      <c r="G506" s="126"/>
    </row>
    <row r="507" spans="2:7">
      <c r="B507" s="125" t="s">
        <v>338</v>
      </c>
      <c r="C507" s="45" t="s">
        <v>607</v>
      </c>
      <c r="G507" s="126"/>
    </row>
    <row r="508" spans="2:7">
      <c r="B508" s="125"/>
      <c r="G508" s="126"/>
    </row>
    <row r="509" spans="2:7">
      <c r="B509" s="125"/>
      <c r="C509" s="45" t="s">
        <v>658</v>
      </c>
      <c r="G509" s="126"/>
    </row>
    <row r="510" spans="2:7">
      <c r="B510" s="125" t="s">
        <v>352</v>
      </c>
      <c r="C510" s="45" t="s">
        <v>607</v>
      </c>
      <c r="G510" s="126"/>
    </row>
    <row r="511" spans="2:7">
      <c r="B511" s="125"/>
      <c r="G511" s="126"/>
    </row>
    <row r="512" spans="2:7">
      <c r="B512" s="125"/>
      <c r="C512" s="44" t="s">
        <v>401</v>
      </c>
      <c r="G512" s="126"/>
    </row>
    <row r="513" spans="2:9">
      <c r="B513" s="125" t="s">
        <v>352</v>
      </c>
      <c r="C513" s="45" t="s">
        <v>155</v>
      </c>
      <c r="G513" s="126"/>
    </row>
    <row r="514" spans="2:9">
      <c r="B514" s="125" t="s">
        <v>336</v>
      </c>
      <c r="C514" s="45" t="s">
        <v>13</v>
      </c>
      <c r="G514" s="126"/>
    </row>
    <row r="515" spans="2:9" ht="13.5" thickBot="1">
      <c r="B515" s="140"/>
      <c r="C515" s="131"/>
      <c r="D515" s="131"/>
      <c r="E515" s="141"/>
      <c r="F515" s="131"/>
      <c r="G515" s="135"/>
    </row>
    <row r="517" spans="2:9" ht="13.5" thickBot="1"/>
    <row r="518" spans="2:9" ht="13.5" thickBot="1">
      <c r="B518" s="239" t="s">
        <v>659</v>
      </c>
      <c r="C518" s="240"/>
      <c r="D518" s="240"/>
      <c r="E518" s="240"/>
      <c r="F518" s="240"/>
      <c r="G518" s="241"/>
    </row>
    <row r="519" spans="2:9" ht="13.5" thickBot="1">
      <c r="B519" s="125"/>
      <c r="G519" s="126"/>
    </row>
    <row r="520" spans="2:9">
      <c r="B520" s="125"/>
      <c r="C520" s="127" t="s">
        <v>27</v>
      </c>
      <c r="D520" s="128"/>
      <c r="E520" s="128" t="s">
        <v>1</v>
      </c>
      <c r="F520" s="129">
        <v>13</v>
      </c>
      <c r="G520" s="126"/>
      <c r="H520" s="45">
        <f>+F521+F572+F624+F671+F717+F759+F809+F857+F910+F963</f>
        <v>201</v>
      </c>
      <c r="I520" s="45">
        <v>33</v>
      </c>
    </row>
    <row r="521" spans="2:9" ht="13.5" thickBot="1">
      <c r="B521" s="125"/>
      <c r="C521" s="130"/>
      <c r="D521" s="131"/>
      <c r="E521" s="131" t="s">
        <v>94</v>
      </c>
      <c r="F521" s="132">
        <v>14</v>
      </c>
      <c r="G521" s="126"/>
      <c r="H521" s="45">
        <f>+F520+F573+F623+F672+F716+F760+F808+F858+F909+F964</f>
        <v>214</v>
      </c>
      <c r="I521" s="45">
        <v>16</v>
      </c>
    </row>
    <row r="522" spans="2:9" ht="13.5" thickBot="1">
      <c r="B522" s="125"/>
      <c r="G522" s="126"/>
    </row>
    <row r="523" spans="2:9">
      <c r="B523" s="125"/>
      <c r="C523" s="127" t="s">
        <v>4</v>
      </c>
      <c r="D523" s="128"/>
      <c r="E523" s="128" t="s">
        <v>1</v>
      </c>
      <c r="F523" s="133" t="s">
        <v>660</v>
      </c>
      <c r="G523" s="126"/>
    </row>
    <row r="524" spans="2:9">
      <c r="B524" s="125"/>
      <c r="C524" s="59" t="s">
        <v>2</v>
      </c>
      <c r="E524" s="45" t="s">
        <v>384</v>
      </c>
      <c r="F524" s="126"/>
      <c r="G524" s="126"/>
    </row>
    <row r="525" spans="2:9" ht="13.5" thickBot="1">
      <c r="B525" s="125"/>
      <c r="C525" s="130" t="s">
        <v>3</v>
      </c>
      <c r="D525" s="131"/>
      <c r="E525" s="134" t="s">
        <v>661</v>
      </c>
      <c r="F525" s="135"/>
      <c r="G525" s="126"/>
    </row>
    <row r="526" spans="2:9">
      <c r="B526" s="125"/>
      <c r="G526" s="126"/>
    </row>
    <row r="527" spans="2:9" ht="13.5" thickBot="1">
      <c r="B527" s="125"/>
      <c r="G527" s="126"/>
    </row>
    <row r="528" spans="2:9" ht="13.5" thickBot="1">
      <c r="B528" s="125"/>
      <c r="C528" s="136" t="s">
        <v>29</v>
      </c>
      <c r="D528" s="137"/>
      <c r="E528" s="138" t="s">
        <v>306</v>
      </c>
      <c r="F528" s="139"/>
      <c r="G528" s="126"/>
    </row>
    <row r="529" spans="2:7">
      <c r="B529" s="125"/>
      <c r="G529" s="126"/>
    </row>
    <row r="530" spans="2:7">
      <c r="B530" s="125"/>
      <c r="C530" s="45" t="s">
        <v>5</v>
      </c>
      <c r="G530" s="126"/>
    </row>
    <row r="531" spans="2:7">
      <c r="B531" s="125"/>
      <c r="G531" s="126"/>
    </row>
    <row r="532" spans="2:7">
      <c r="B532" s="59">
        <v>1</v>
      </c>
      <c r="C532" s="45" t="s">
        <v>6</v>
      </c>
      <c r="G532" s="126"/>
    </row>
    <row r="533" spans="2:7">
      <c r="B533" s="59">
        <v>2</v>
      </c>
      <c r="C533" s="45" t="s">
        <v>11</v>
      </c>
      <c r="G533" s="126"/>
    </row>
    <row r="534" spans="2:7">
      <c r="B534" s="59">
        <v>3</v>
      </c>
      <c r="C534" s="45" t="s">
        <v>35</v>
      </c>
      <c r="G534" s="126"/>
    </row>
    <row r="535" spans="2:7">
      <c r="B535" s="59">
        <v>4</v>
      </c>
      <c r="C535" s="45" t="s">
        <v>9</v>
      </c>
      <c r="G535" s="126"/>
    </row>
    <row r="536" spans="2:7">
      <c r="B536" s="59">
        <v>5</v>
      </c>
      <c r="C536" s="45" t="s">
        <v>32</v>
      </c>
      <c r="G536" s="126"/>
    </row>
    <row r="537" spans="2:7">
      <c r="B537" s="59">
        <v>6</v>
      </c>
      <c r="C537" s="45" t="s">
        <v>13</v>
      </c>
      <c r="G537" s="126"/>
    </row>
    <row r="538" spans="2:7">
      <c r="B538" s="59">
        <v>7</v>
      </c>
      <c r="C538" s="45" t="s">
        <v>155</v>
      </c>
      <c r="G538" s="126"/>
    </row>
    <row r="539" spans="2:7">
      <c r="B539" s="59">
        <v>8</v>
      </c>
      <c r="C539" s="45" t="s">
        <v>33</v>
      </c>
      <c r="G539" s="126"/>
    </row>
    <row r="540" spans="2:7">
      <c r="B540" s="59">
        <v>9</v>
      </c>
      <c r="C540" s="45" t="s">
        <v>14</v>
      </c>
      <c r="G540" s="126"/>
    </row>
    <row r="541" spans="2:7">
      <c r="B541" s="59">
        <v>10</v>
      </c>
      <c r="C541" s="45" t="s">
        <v>607</v>
      </c>
      <c r="G541" s="126"/>
    </row>
    <row r="542" spans="2:7">
      <c r="B542" s="59">
        <v>11</v>
      </c>
      <c r="C542" s="45" t="s">
        <v>182</v>
      </c>
      <c r="G542" s="126"/>
    </row>
    <row r="543" spans="2:7">
      <c r="B543" s="59">
        <v>12</v>
      </c>
      <c r="C543" s="45" t="s">
        <v>608</v>
      </c>
      <c r="G543" s="126"/>
    </row>
    <row r="544" spans="2:7">
      <c r="B544" s="59">
        <v>13</v>
      </c>
      <c r="C544" s="45" t="s">
        <v>142</v>
      </c>
      <c r="G544" s="126"/>
    </row>
    <row r="545" spans="2:7">
      <c r="B545" s="59">
        <v>14</v>
      </c>
      <c r="C545" s="45" t="s">
        <v>139</v>
      </c>
      <c r="G545" s="126"/>
    </row>
    <row r="546" spans="2:7">
      <c r="B546" s="59">
        <v>15</v>
      </c>
      <c r="C546" s="45" t="s">
        <v>144</v>
      </c>
      <c r="G546" s="126"/>
    </row>
    <row r="547" spans="2:7">
      <c r="B547" s="125"/>
      <c r="G547" s="126"/>
    </row>
    <row r="548" spans="2:7">
      <c r="B548" s="125"/>
      <c r="C548" s="45" t="s">
        <v>662</v>
      </c>
      <c r="G548" s="126"/>
    </row>
    <row r="549" spans="2:7">
      <c r="B549" s="125"/>
      <c r="C549" s="45" t="s">
        <v>566</v>
      </c>
      <c r="G549" s="126"/>
    </row>
    <row r="550" spans="2:7">
      <c r="B550" s="125"/>
      <c r="C550" s="45" t="s">
        <v>663</v>
      </c>
      <c r="G550" s="126"/>
    </row>
    <row r="551" spans="2:7">
      <c r="B551" s="125"/>
      <c r="C551" s="45" t="s">
        <v>664</v>
      </c>
      <c r="G551" s="126"/>
    </row>
    <row r="552" spans="2:7">
      <c r="B552" s="125"/>
      <c r="G552" s="126"/>
    </row>
    <row r="553" spans="2:7">
      <c r="B553" s="125"/>
      <c r="C553" s="124" t="s">
        <v>21</v>
      </c>
      <c r="G553" s="126"/>
    </row>
    <row r="554" spans="2:7">
      <c r="B554" s="142">
        <v>1</v>
      </c>
      <c r="C554" s="45" t="s">
        <v>142</v>
      </c>
      <c r="G554" s="126"/>
    </row>
    <row r="555" spans="2:7">
      <c r="B555" s="142"/>
      <c r="G555" s="126"/>
    </row>
    <row r="556" spans="2:7">
      <c r="B556" s="125"/>
      <c r="C556" s="44" t="s">
        <v>22</v>
      </c>
      <c r="G556" s="126"/>
    </row>
    <row r="557" spans="2:7">
      <c r="B557" s="125" t="s">
        <v>336</v>
      </c>
      <c r="C557" s="45" t="s">
        <v>607</v>
      </c>
      <c r="G557" s="126"/>
    </row>
    <row r="558" spans="2:7">
      <c r="B558" s="125"/>
      <c r="G558" s="126"/>
    </row>
    <row r="559" spans="2:7">
      <c r="B559" s="125"/>
      <c r="C559" s="44" t="s">
        <v>337</v>
      </c>
      <c r="G559" s="126"/>
    </row>
    <row r="560" spans="2:7">
      <c r="B560" s="125" t="s">
        <v>352</v>
      </c>
      <c r="C560" s="45" t="s">
        <v>139</v>
      </c>
      <c r="G560" s="126"/>
    </row>
    <row r="561" spans="2:7">
      <c r="B561" s="125"/>
      <c r="G561" s="126"/>
    </row>
    <row r="562" spans="2:7">
      <c r="B562" s="125"/>
      <c r="C562" s="45" t="s">
        <v>665</v>
      </c>
      <c r="G562" s="126"/>
    </row>
    <row r="563" spans="2:7">
      <c r="B563" s="125" t="s">
        <v>336</v>
      </c>
      <c r="C563" s="45" t="s">
        <v>607</v>
      </c>
      <c r="G563" s="126"/>
    </row>
    <row r="564" spans="2:7">
      <c r="B564" s="125"/>
      <c r="G564" s="126"/>
    </row>
    <row r="565" spans="2:7">
      <c r="B565" s="125"/>
      <c r="C565" s="44" t="s">
        <v>401</v>
      </c>
      <c r="G565" s="126"/>
    </row>
    <row r="566" spans="2:7">
      <c r="B566" s="125"/>
      <c r="C566" s="45" t="s">
        <v>339</v>
      </c>
      <c r="G566" s="126"/>
    </row>
    <row r="567" spans="2:7" ht="13.5" thickBot="1">
      <c r="B567" s="140"/>
      <c r="C567" s="131"/>
      <c r="D567" s="131"/>
      <c r="E567" s="141"/>
      <c r="F567" s="131"/>
      <c r="G567" s="135"/>
    </row>
    <row r="569" spans="2:7" ht="13.5" thickBot="1"/>
    <row r="570" spans="2:7" ht="13.5" thickBot="1">
      <c r="B570" s="239" t="s">
        <v>666</v>
      </c>
      <c r="C570" s="240"/>
      <c r="D570" s="240"/>
      <c r="E570" s="240"/>
      <c r="F570" s="240"/>
      <c r="G570" s="241"/>
    </row>
    <row r="571" spans="2:7" ht="13.5" thickBot="1">
      <c r="B571" s="125"/>
      <c r="G571" s="126"/>
    </row>
    <row r="572" spans="2:7">
      <c r="B572" s="125"/>
      <c r="C572" s="127" t="s">
        <v>27</v>
      </c>
      <c r="D572" s="128"/>
      <c r="E572" s="128" t="s">
        <v>104</v>
      </c>
      <c r="F572" s="129">
        <v>18</v>
      </c>
      <c r="G572" s="126"/>
    </row>
    <row r="573" spans="2:7" ht="13.5" thickBot="1">
      <c r="B573" s="125"/>
      <c r="C573" s="130"/>
      <c r="D573" s="131"/>
      <c r="E573" s="131" t="s">
        <v>1</v>
      </c>
      <c r="F573" s="132">
        <v>24</v>
      </c>
      <c r="G573" s="126"/>
    </row>
    <row r="574" spans="2:7" ht="13.5" thickBot="1">
      <c r="B574" s="125"/>
      <c r="G574" s="126"/>
    </row>
    <row r="575" spans="2:7">
      <c r="B575" s="125"/>
      <c r="C575" s="127" t="s">
        <v>4</v>
      </c>
      <c r="D575" s="128"/>
      <c r="E575" s="128" t="s">
        <v>104</v>
      </c>
      <c r="F575" s="133" t="s">
        <v>205</v>
      </c>
      <c r="G575" s="126"/>
    </row>
    <row r="576" spans="2:7">
      <c r="B576" s="125"/>
      <c r="C576" s="59" t="s">
        <v>2</v>
      </c>
      <c r="E576" s="45" t="s">
        <v>326</v>
      </c>
      <c r="F576" s="126"/>
      <c r="G576" s="126"/>
    </row>
    <row r="577" spans="2:7" ht="13.5" thickBot="1">
      <c r="B577" s="125"/>
      <c r="C577" s="130" t="s">
        <v>3</v>
      </c>
      <c r="D577" s="131"/>
      <c r="E577" s="134" t="s">
        <v>354</v>
      </c>
      <c r="F577" s="135"/>
      <c r="G577" s="126"/>
    </row>
    <row r="578" spans="2:7">
      <c r="B578" s="125"/>
      <c r="G578" s="126"/>
    </row>
    <row r="579" spans="2:7" ht="13.5" thickBot="1">
      <c r="B579" s="125"/>
      <c r="G579" s="126"/>
    </row>
    <row r="580" spans="2:7" ht="13.5" thickBot="1">
      <c r="B580" s="125"/>
      <c r="C580" s="136" t="s">
        <v>29</v>
      </c>
      <c r="D580" s="137"/>
      <c r="E580" s="138" t="s">
        <v>299</v>
      </c>
      <c r="F580" s="139"/>
      <c r="G580" s="126"/>
    </row>
    <row r="581" spans="2:7">
      <c r="B581" s="125"/>
      <c r="G581" s="126"/>
    </row>
    <row r="582" spans="2:7">
      <c r="B582" s="125"/>
      <c r="C582" s="45" t="s">
        <v>5</v>
      </c>
      <c r="G582" s="126"/>
    </row>
    <row r="583" spans="2:7">
      <c r="B583" s="125"/>
      <c r="G583" s="126"/>
    </row>
    <row r="584" spans="2:7">
      <c r="B584" s="59">
        <v>1</v>
      </c>
      <c r="C584" s="45" t="s">
        <v>6</v>
      </c>
      <c r="G584" s="126"/>
    </row>
    <row r="585" spans="2:7">
      <c r="B585" s="59">
        <v>2</v>
      </c>
      <c r="C585" s="45" t="s">
        <v>11</v>
      </c>
      <c r="G585" s="126"/>
    </row>
    <row r="586" spans="2:7">
      <c r="B586" s="59">
        <v>3</v>
      </c>
      <c r="C586" s="45" t="s">
        <v>35</v>
      </c>
      <c r="G586" s="126"/>
    </row>
    <row r="587" spans="2:7">
      <c r="B587" s="59">
        <v>4</v>
      </c>
      <c r="C587" s="45" t="s">
        <v>9</v>
      </c>
      <c r="G587" s="126"/>
    </row>
    <row r="588" spans="2:7">
      <c r="B588" s="59">
        <v>5</v>
      </c>
      <c r="C588" s="45" t="s">
        <v>32</v>
      </c>
      <c r="G588" s="126"/>
    </row>
    <row r="589" spans="2:7">
      <c r="B589" s="59">
        <v>6</v>
      </c>
      <c r="C589" s="45" t="s">
        <v>13</v>
      </c>
      <c r="G589" s="126"/>
    </row>
    <row r="590" spans="2:7">
      <c r="B590" s="59">
        <v>7</v>
      </c>
      <c r="C590" s="45" t="s">
        <v>143</v>
      </c>
      <c r="G590" s="126"/>
    </row>
    <row r="591" spans="2:7">
      <c r="B591" s="59">
        <v>8</v>
      </c>
      <c r="C591" s="45" t="s">
        <v>33</v>
      </c>
      <c r="G591" s="126"/>
    </row>
    <row r="592" spans="2:7">
      <c r="B592" s="59">
        <v>9</v>
      </c>
      <c r="C592" s="45" t="s">
        <v>14</v>
      </c>
      <c r="G592" s="126"/>
    </row>
    <row r="593" spans="2:7">
      <c r="B593" s="59">
        <v>10</v>
      </c>
      <c r="C593" s="45" t="s">
        <v>607</v>
      </c>
      <c r="G593" s="126"/>
    </row>
    <row r="594" spans="2:7">
      <c r="B594" s="59">
        <v>11</v>
      </c>
      <c r="C594" s="45" t="s">
        <v>182</v>
      </c>
      <c r="G594" s="126"/>
    </row>
    <row r="595" spans="2:7">
      <c r="B595" s="59">
        <v>12</v>
      </c>
      <c r="C595" s="45" t="s">
        <v>608</v>
      </c>
      <c r="G595" s="126"/>
    </row>
    <row r="596" spans="2:7">
      <c r="B596" s="59">
        <v>13</v>
      </c>
      <c r="C596" s="45" t="s">
        <v>142</v>
      </c>
      <c r="G596" s="126"/>
    </row>
    <row r="597" spans="2:7">
      <c r="B597" s="59">
        <v>14</v>
      </c>
      <c r="C597" s="45" t="s">
        <v>19</v>
      </c>
      <c r="G597" s="126"/>
    </row>
    <row r="598" spans="2:7">
      <c r="B598" s="59">
        <v>15</v>
      </c>
      <c r="C598" s="45" t="s">
        <v>144</v>
      </c>
      <c r="G598" s="126"/>
    </row>
    <row r="599" spans="2:7">
      <c r="B599" s="125"/>
      <c r="G599" s="126"/>
    </row>
    <row r="600" spans="2:7">
      <c r="B600" s="125"/>
      <c r="C600" s="45" t="s">
        <v>667</v>
      </c>
      <c r="G600" s="126"/>
    </row>
    <row r="601" spans="2:7">
      <c r="B601" s="125"/>
      <c r="C601" s="45" t="s">
        <v>611</v>
      </c>
      <c r="G601" s="126"/>
    </row>
    <row r="602" spans="2:7">
      <c r="B602" s="125"/>
      <c r="C602" s="45" t="s">
        <v>668</v>
      </c>
      <c r="G602" s="126"/>
    </row>
    <row r="603" spans="2:7">
      <c r="B603" s="125"/>
      <c r="C603" s="45" t="s">
        <v>664</v>
      </c>
      <c r="G603" s="126"/>
    </row>
    <row r="604" spans="2:7">
      <c r="B604" s="125"/>
      <c r="G604" s="126"/>
    </row>
    <row r="605" spans="2:7">
      <c r="B605" s="125"/>
      <c r="C605" s="124" t="s">
        <v>21</v>
      </c>
      <c r="G605" s="126"/>
    </row>
    <row r="606" spans="2:7">
      <c r="B606" s="142">
        <v>1</v>
      </c>
      <c r="C606" s="45" t="s">
        <v>607</v>
      </c>
      <c r="G606" s="126"/>
    </row>
    <row r="607" spans="2:7">
      <c r="B607" s="142">
        <v>1</v>
      </c>
      <c r="C607" s="45" t="s">
        <v>182</v>
      </c>
      <c r="G607" s="126"/>
    </row>
    <row r="608" spans="2:7">
      <c r="B608" s="143"/>
      <c r="G608" s="126"/>
    </row>
    <row r="609" spans="2:7">
      <c r="B609" s="143"/>
      <c r="C609" s="45" t="s">
        <v>337</v>
      </c>
      <c r="G609" s="126"/>
    </row>
    <row r="610" spans="2:7">
      <c r="B610" s="142">
        <v>1</v>
      </c>
      <c r="C610" s="45" t="s">
        <v>607</v>
      </c>
      <c r="G610" s="126"/>
    </row>
    <row r="611" spans="2:7">
      <c r="B611" s="143"/>
      <c r="G611" s="126"/>
    </row>
    <row r="612" spans="2:7">
      <c r="B612" s="125"/>
      <c r="C612" s="44" t="s">
        <v>22</v>
      </c>
      <c r="G612" s="126"/>
    </row>
    <row r="613" spans="2:7">
      <c r="B613" s="125" t="s">
        <v>338</v>
      </c>
      <c r="C613" s="45" t="s">
        <v>607</v>
      </c>
      <c r="G613" s="126"/>
    </row>
    <row r="614" spans="2:7">
      <c r="B614" s="125"/>
      <c r="G614" s="126"/>
    </row>
    <row r="615" spans="2:7">
      <c r="B615" s="125"/>
      <c r="C615" s="44" t="s">
        <v>401</v>
      </c>
      <c r="G615" s="126"/>
    </row>
    <row r="616" spans="2:7">
      <c r="B616" s="125" t="s">
        <v>336</v>
      </c>
      <c r="C616" s="45" t="s">
        <v>155</v>
      </c>
      <c r="G616" s="126"/>
    </row>
    <row r="617" spans="2:7">
      <c r="B617" s="125" t="s">
        <v>336</v>
      </c>
      <c r="C617" s="45" t="s">
        <v>17</v>
      </c>
      <c r="G617" s="126"/>
    </row>
    <row r="618" spans="2:7" ht="13.5" thickBot="1">
      <c r="B618" s="140"/>
      <c r="C618" s="131"/>
      <c r="D618" s="131"/>
      <c r="E618" s="141"/>
      <c r="F618" s="131"/>
      <c r="G618" s="135"/>
    </row>
    <row r="620" spans="2:7" ht="13.5" thickBot="1"/>
    <row r="621" spans="2:7" ht="13.5" thickBot="1">
      <c r="B621" s="239" t="s">
        <v>669</v>
      </c>
      <c r="C621" s="240"/>
      <c r="D621" s="240"/>
      <c r="E621" s="240"/>
      <c r="F621" s="240"/>
      <c r="G621" s="241"/>
    </row>
    <row r="622" spans="2:7" ht="13.5" thickBot="1">
      <c r="B622" s="125"/>
      <c r="G622" s="126"/>
    </row>
    <row r="623" spans="2:7">
      <c r="B623" s="125"/>
      <c r="C623" s="127" t="s">
        <v>27</v>
      </c>
      <c r="D623" s="128"/>
      <c r="E623" s="128" t="s">
        <v>1</v>
      </c>
      <c r="F623" s="129">
        <v>27</v>
      </c>
      <c r="G623" s="126"/>
    </row>
    <row r="624" spans="2:7" ht="13.5" thickBot="1">
      <c r="B624" s="125"/>
      <c r="C624" s="130"/>
      <c r="D624" s="131"/>
      <c r="E624" s="131" t="s">
        <v>90</v>
      </c>
      <c r="F624" s="132">
        <v>26</v>
      </c>
      <c r="G624" s="126"/>
    </row>
    <row r="625" spans="2:7" ht="13.5" thickBot="1">
      <c r="B625" s="125"/>
      <c r="G625" s="126"/>
    </row>
    <row r="626" spans="2:7">
      <c r="B626" s="125"/>
      <c r="C626" s="127" t="s">
        <v>4</v>
      </c>
      <c r="D626" s="128"/>
      <c r="E626" s="128" t="s">
        <v>1</v>
      </c>
      <c r="F626" s="133" t="s">
        <v>205</v>
      </c>
      <c r="G626" s="126"/>
    </row>
    <row r="627" spans="2:7">
      <c r="B627" s="125"/>
      <c r="C627" s="59" t="s">
        <v>2</v>
      </c>
      <c r="E627" s="45" t="s">
        <v>326</v>
      </c>
      <c r="F627" s="126"/>
      <c r="G627" s="126"/>
    </row>
    <row r="628" spans="2:7" ht="13.5" thickBot="1">
      <c r="B628" s="125"/>
      <c r="C628" s="130" t="s">
        <v>3</v>
      </c>
      <c r="D628" s="131"/>
      <c r="E628" s="134" t="s">
        <v>326</v>
      </c>
      <c r="F628" s="135"/>
      <c r="G628" s="126"/>
    </row>
    <row r="629" spans="2:7">
      <c r="B629" s="125"/>
      <c r="G629" s="126"/>
    </row>
    <row r="630" spans="2:7" ht="13.5" thickBot="1">
      <c r="B630" s="125"/>
      <c r="G630" s="126"/>
    </row>
    <row r="631" spans="2:7" ht="13.5" thickBot="1">
      <c r="B631" s="125"/>
      <c r="C631" s="136" t="s">
        <v>29</v>
      </c>
      <c r="D631" s="137"/>
      <c r="E631" s="138" t="s">
        <v>307</v>
      </c>
      <c r="F631" s="139"/>
      <c r="G631" s="126"/>
    </row>
    <row r="632" spans="2:7">
      <c r="B632" s="125"/>
      <c r="G632" s="126"/>
    </row>
    <row r="633" spans="2:7">
      <c r="B633" s="125"/>
      <c r="C633" s="45" t="s">
        <v>5</v>
      </c>
      <c r="G633" s="126"/>
    </row>
    <row r="634" spans="2:7">
      <c r="B634" s="125"/>
      <c r="G634" s="126"/>
    </row>
    <row r="635" spans="2:7">
      <c r="B635" s="59">
        <v>1</v>
      </c>
      <c r="C635" s="45" t="s">
        <v>6</v>
      </c>
      <c r="G635" s="126"/>
    </row>
    <row r="636" spans="2:7">
      <c r="B636" s="59">
        <v>2</v>
      </c>
      <c r="C636" s="45" t="s">
        <v>11</v>
      </c>
      <c r="G636" s="126"/>
    </row>
    <row r="637" spans="2:7">
      <c r="B637" s="59">
        <v>3</v>
      </c>
      <c r="C637" s="45" t="s">
        <v>35</v>
      </c>
      <c r="G637" s="126"/>
    </row>
    <row r="638" spans="2:7">
      <c r="B638" s="59">
        <v>4</v>
      </c>
      <c r="C638" s="45" t="s">
        <v>9</v>
      </c>
      <c r="G638" s="126"/>
    </row>
    <row r="639" spans="2:7">
      <c r="B639" s="59">
        <v>5</v>
      </c>
      <c r="C639" s="45" t="s">
        <v>12</v>
      </c>
      <c r="G639" s="126"/>
    </row>
    <row r="640" spans="2:7">
      <c r="B640" s="59">
        <v>6</v>
      </c>
      <c r="C640" s="45" t="s">
        <v>13</v>
      </c>
      <c r="G640" s="126"/>
    </row>
    <row r="641" spans="2:7">
      <c r="B641" s="59">
        <v>7</v>
      </c>
      <c r="C641" s="45" t="s">
        <v>143</v>
      </c>
      <c r="G641" s="126"/>
    </row>
    <row r="642" spans="2:7">
      <c r="B642" s="59">
        <v>8</v>
      </c>
      <c r="C642" s="45" t="s">
        <v>33</v>
      </c>
      <c r="G642" s="126"/>
    </row>
    <row r="643" spans="2:7">
      <c r="B643" s="59">
        <v>9</v>
      </c>
      <c r="C643" s="45" t="s">
        <v>14</v>
      </c>
      <c r="G643" s="126"/>
    </row>
    <row r="644" spans="2:7">
      <c r="B644" s="59">
        <v>10</v>
      </c>
      <c r="C644" s="45" t="s">
        <v>607</v>
      </c>
      <c r="G644" s="126"/>
    </row>
    <row r="645" spans="2:7">
      <c r="B645" s="59">
        <v>11</v>
      </c>
      <c r="C645" s="45" t="s">
        <v>182</v>
      </c>
      <c r="G645" s="126"/>
    </row>
    <row r="646" spans="2:7">
      <c r="B646" s="59">
        <v>12</v>
      </c>
      <c r="C646" s="45" t="s">
        <v>608</v>
      </c>
      <c r="G646" s="126"/>
    </row>
    <row r="647" spans="2:7">
      <c r="B647" s="59">
        <v>13</v>
      </c>
      <c r="C647" s="45" t="s">
        <v>142</v>
      </c>
      <c r="G647" s="126"/>
    </row>
    <row r="648" spans="2:7">
      <c r="B648" s="59">
        <v>14</v>
      </c>
      <c r="C648" s="45" t="s">
        <v>19</v>
      </c>
      <c r="G648" s="126"/>
    </row>
    <row r="649" spans="2:7">
      <c r="B649" s="59">
        <v>15</v>
      </c>
      <c r="C649" s="45" t="s">
        <v>144</v>
      </c>
      <c r="G649" s="126"/>
    </row>
    <row r="650" spans="2:7">
      <c r="B650" s="125"/>
      <c r="G650" s="126"/>
    </row>
    <row r="651" spans="2:7">
      <c r="B651" s="125"/>
      <c r="C651" s="45" t="s">
        <v>463</v>
      </c>
      <c r="G651" s="126"/>
    </row>
    <row r="652" spans="2:7">
      <c r="B652" s="125"/>
      <c r="G652" s="126"/>
    </row>
    <row r="653" spans="2:7">
      <c r="B653" s="125"/>
      <c r="C653" s="124" t="s">
        <v>21</v>
      </c>
      <c r="G653" s="126"/>
    </row>
    <row r="654" spans="2:7">
      <c r="B654" s="142">
        <v>1</v>
      </c>
      <c r="C654" s="45" t="s">
        <v>56</v>
      </c>
      <c r="G654" s="126"/>
    </row>
    <row r="655" spans="2:7">
      <c r="B655" s="142">
        <v>1</v>
      </c>
      <c r="C655" s="45" t="s">
        <v>13</v>
      </c>
      <c r="G655" s="126"/>
    </row>
    <row r="656" spans="2:7">
      <c r="B656" s="142">
        <v>1</v>
      </c>
      <c r="C656" s="45" t="s">
        <v>19</v>
      </c>
      <c r="G656" s="126"/>
    </row>
    <row r="657" spans="2:7">
      <c r="B657" s="142"/>
      <c r="G657" s="126"/>
    </row>
    <row r="658" spans="2:7">
      <c r="B658" s="125"/>
      <c r="C658" s="44" t="s">
        <v>337</v>
      </c>
      <c r="G658" s="126"/>
    </row>
    <row r="659" spans="2:7">
      <c r="B659" s="125" t="s">
        <v>335</v>
      </c>
      <c r="C659" s="45" t="s">
        <v>607</v>
      </c>
      <c r="G659" s="126"/>
    </row>
    <row r="660" spans="2:7">
      <c r="B660" s="125"/>
      <c r="G660" s="126"/>
    </row>
    <row r="661" spans="2:7">
      <c r="B661" s="125"/>
      <c r="C661" s="44" t="s">
        <v>22</v>
      </c>
      <c r="G661" s="126"/>
    </row>
    <row r="662" spans="2:7">
      <c r="B662" s="125" t="s">
        <v>352</v>
      </c>
      <c r="C662" s="45" t="s">
        <v>607</v>
      </c>
      <c r="G662" s="126"/>
    </row>
    <row r="663" spans="2:7">
      <c r="B663" s="125"/>
      <c r="G663" s="126"/>
    </row>
    <row r="664" spans="2:7">
      <c r="B664" s="125"/>
      <c r="C664" s="44" t="s">
        <v>401</v>
      </c>
      <c r="G664" s="126"/>
    </row>
    <row r="665" spans="2:7">
      <c r="B665" s="125" t="s">
        <v>336</v>
      </c>
      <c r="C665" s="45" t="s">
        <v>33</v>
      </c>
      <c r="G665" s="126"/>
    </row>
    <row r="666" spans="2:7" ht="13.5" thickBot="1">
      <c r="B666" s="140"/>
      <c r="C666" s="131"/>
      <c r="D666" s="131"/>
      <c r="E666" s="141"/>
      <c r="F666" s="131"/>
      <c r="G666" s="135"/>
    </row>
    <row r="668" spans="2:7" ht="13.5" thickBot="1"/>
    <row r="669" spans="2:7" ht="13.5" thickBot="1">
      <c r="B669" s="239" t="s">
        <v>670</v>
      </c>
      <c r="C669" s="240"/>
      <c r="D669" s="240"/>
      <c r="E669" s="240"/>
      <c r="F669" s="240"/>
      <c r="G669" s="241"/>
    </row>
    <row r="670" spans="2:7" ht="13.5" thickBot="1">
      <c r="B670" s="125"/>
      <c r="G670" s="126"/>
    </row>
    <row r="671" spans="2:7">
      <c r="B671" s="125"/>
      <c r="C671" s="127" t="s">
        <v>27</v>
      </c>
      <c r="D671" s="128"/>
      <c r="E671" s="128" t="s">
        <v>1</v>
      </c>
      <c r="F671" s="129">
        <v>11</v>
      </c>
      <c r="G671" s="126"/>
    </row>
    <row r="672" spans="2:7" ht="13.5" thickBot="1">
      <c r="B672" s="125"/>
      <c r="C672" s="130"/>
      <c r="D672" s="131"/>
      <c r="E672" s="131" t="s">
        <v>51</v>
      </c>
      <c r="F672" s="132">
        <v>11</v>
      </c>
      <c r="G672" s="126"/>
    </row>
    <row r="673" spans="2:7" ht="13.5" thickBot="1">
      <c r="B673" s="125"/>
      <c r="G673" s="126"/>
    </row>
    <row r="674" spans="2:7">
      <c r="B674" s="125"/>
      <c r="C674" s="127" t="s">
        <v>4</v>
      </c>
      <c r="D674" s="128"/>
      <c r="E674" s="128" t="s">
        <v>1</v>
      </c>
      <c r="F674" s="133" t="s">
        <v>561</v>
      </c>
      <c r="G674" s="126"/>
    </row>
    <row r="675" spans="2:7">
      <c r="B675" s="125"/>
      <c r="C675" s="59" t="s">
        <v>2</v>
      </c>
      <c r="E675" s="45" t="s">
        <v>326</v>
      </c>
      <c r="F675" s="126"/>
      <c r="G675" s="126"/>
    </row>
    <row r="676" spans="2:7" ht="13.5" thickBot="1">
      <c r="B676" s="125"/>
      <c r="C676" s="130" t="s">
        <v>3</v>
      </c>
      <c r="D676" s="131"/>
      <c r="E676" s="134" t="s">
        <v>344</v>
      </c>
      <c r="F676" s="135"/>
      <c r="G676" s="126"/>
    </row>
    <row r="677" spans="2:7">
      <c r="B677" s="125"/>
      <c r="G677" s="126"/>
    </row>
    <row r="678" spans="2:7" ht="13.5" thickBot="1">
      <c r="B678" s="125"/>
      <c r="G678" s="126"/>
    </row>
    <row r="679" spans="2:7" ht="13.5" thickBot="1">
      <c r="B679" s="125"/>
      <c r="C679" s="136" t="s">
        <v>29</v>
      </c>
      <c r="D679" s="137"/>
      <c r="E679" s="138" t="s">
        <v>289</v>
      </c>
      <c r="F679" s="139"/>
      <c r="G679" s="126"/>
    </row>
    <row r="680" spans="2:7">
      <c r="B680" s="125"/>
      <c r="G680" s="126"/>
    </row>
    <row r="681" spans="2:7">
      <c r="B681" s="125"/>
      <c r="C681" s="45" t="s">
        <v>5</v>
      </c>
      <c r="G681" s="126"/>
    </row>
    <row r="682" spans="2:7">
      <c r="B682" s="125"/>
      <c r="G682" s="126"/>
    </row>
    <row r="683" spans="2:7">
      <c r="B683" s="59">
        <v>1</v>
      </c>
      <c r="C683" s="45" t="s">
        <v>6</v>
      </c>
      <c r="G683" s="126"/>
    </row>
    <row r="684" spans="2:7">
      <c r="B684" s="59">
        <v>2</v>
      </c>
      <c r="C684" s="45" t="s">
        <v>11</v>
      </c>
      <c r="G684" s="126"/>
    </row>
    <row r="685" spans="2:7">
      <c r="B685" s="59">
        <v>3</v>
      </c>
      <c r="C685" s="45" t="s">
        <v>35</v>
      </c>
      <c r="G685" s="126"/>
    </row>
    <row r="686" spans="2:7">
      <c r="B686" s="59">
        <v>4</v>
      </c>
      <c r="C686" s="45" t="s">
        <v>9</v>
      </c>
      <c r="G686" s="126"/>
    </row>
    <row r="687" spans="2:7">
      <c r="B687" s="59">
        <v>5</v>
      </c>
      <c r="C687" s="45" t="s">
        <v>12</v>
      </c>
      <c r="G687" s="126"/>
    </row>
    <row r="688" spans="2:7">
      <c r="B688" s="59">
        <v>6</v>
      </c>
      <c r="C688" s="45" t="s">
        <v>13</v>
      </c>
      <c r="G688" s="126"/>
    </row>
    <row r="689" spans="2:7">
      <c r="B689" s="59">
        <v>7</v>
      </c>
      <c r="C689" s="45" t="s">
        <v>143</v>
      </c>
      <c r="G689" s="126"/>
    </row>
    <row r="690" spans="2:7">
      <c r="B690" s="59">
        <v>8</v>
      </c>
      <c r="C690" s="45" t="s">
        <v>33</v>
      </c>
      <c r="G690" s="126"/>
    </row>
    <row r="691" spans="2:7">
      <c r="B691" s="59">
        <v>9</v>
      </c>
      <c r="C691" s="45" t="s">
        <v>14</v>
      </c>
      <c r="G691" s="126"/>
    </row>
    <row r="692" spans="2:7">
      <c r="B692" s="59">
        <v>10</v>
      </c>
      <c r="C692" s="45" t="s">
        <v>607</v>
      </c>
      <c r="G692" s="126"/>
    </row>
    <row r="693" spans="2:7">
      <c r="B693" s="59">
        <v>11</v>
      </c>
      <c r="C693" s="45" t="s">
        <v>182</v>
      </c>
      <c r="G693" s="126"/>
    </row>
    <row r="694" spans="2:7">
      <c r="B694" s="59">
        <v>12</v>
      </c>
      <c r="C694" s="45" t="s">
        <v>608</v>
      </c>
      <c r="G694" s="126"/>
    </row>
    <row r="695" spans="2:7">
      <c r="B695" s="59">
        <v>13</v>
      </c>
      <c r="C695" s="45" t="s">
        <v>142</v>
      </c>
      <c r="G695" s="126"/>
    </row>
    <row r="696" spans="2:7">
      <c r="B696" s="59">
        <v>14</v>
      </c>
      <c r="C696" s="45" t="s">
        <v>19</v>
      </c>
      <c r="G696" s="126"/>
    </row>
    <row r="697" spans="2:7">
      <c r="B697" s="59">
        <v>15</v>
      </c>
      <c r="C697" s="45" t="s">
        <v>144</v>
      </c>
      <c r="G697" s="126"/>
    </row>
    <row r="698" spans="2:7">
      <c r="B698" s="125"/>
      <c r="G698" s="126"/>
    </row>
    <row r="699" spans="2:7">
      <c r="B699" s="125"/>
      <c r="C699" s="45" t="s">
        <v>671</v>
      </c>
      <c r="G699" s="126"/>
    </row>
    <row r="700" spans="2:7">
      <c r="B700" s="125"/>
      <c r="C700" s="45" t="s">
        <v>672</v>
      </c>
      <c r="G700" s="126"/>
    </row>
    <row r="701" spans="2:7">
      <c r="B701" s="125"/>
      <c r="C701" s="45" t="s">
        <v>673</v>
      </c>
      <c r="G701" s="126"/>
    </row>
    <row r="702" spans="2:7">
      <c r="B702" s="125"/>
      <c r="G702" s="126"/>
    </row>
    <row r="703" spans="2:7">
      <c r="B703" s="125"/>
      <c r="C703" s="124" t="s">
        <v>21</v>
      </c>
      <c r="G703" s="126"/>
    </row>
    <row r="704" spans="2:7">
      <c r="B704" s="142">
        <v>1</v>
      </c>
      <c r="C704" s="45" t="s">
        <v>144</v>
      </c>
      <c r="G704" s="126"/>
    </row>
    <row r="705" spans="2:7">
      <c r="B705" s="125"/>
      <c r="G705" s="126"/>
    </row>
    <row r="706" spans="2:7">
      <c r="B706" s="125"/>
      <c r="C706" s="44" t="s">
        <v>22</v>
      </c>
      <c r="G706" s="126"/>
    </row>
    <row r="707" spans="2:7">
      <c r="B707" s="125" t="s">
        <v>352</v>
      </c>
      <c r="C707" s="45" t="s">
        <v>607</v>
      </c>
      <c r="G707" s="126"/>
    </row>
    <row r="708" spans="2:7">
      <c r="B708" s="125"/>
      <c r="G708" s="126"/>
    </row>
    <row r="709" spans="2:7">
      <c r="B709" s="125"/>
      <c r="C709" s="44" t="s">
        <v>401</v>
      </c>
      <c r="G709" s="126"/>
    </row>
    <row r="710" spans="2:7">
      <c r="B710" s="125"/>
      <c r="C710" s="112" t="s">
        <v>339</v>
      </c>
      <c r="G710" s="126"/>
    </row>
    <row r="711" spans="2:7" ht="13.5" thickBot="1">
      <c r="B711" s="140"/>
      <c r="C711" s="131"/>
      <c r="D711" s="131"/>
      <c r="E711" s="141"/>
      <c r="F711" s="131"/>
      <c r="G711" s="135"/>
    </row>
    <row r="713" spans="2:7" ht="13.5" thickBot="1"/>
    <row r="714" spans="2:7" ht="13.5" thickBot="1">
      <c r="B714" s="239" t="s">
        <v>674</v>
      </c>
      <c r="C714" s="240"/>
      <c r="D714" s="240"/>
      <c r="E714" s="240"/>
      <c r="F714" s="240"/>
      <c r="G714" s="241"/>
    </row>
    <row r="715" spans="2:7" ht="13.5" thickBot="1">
      <c r="B715" s="125"/>
      <c r="G715" s="126"/>
    </row>
    <row r="716" spans="2:7">
      <c r="B716" s="125"/>
      <c r="C716" s="127" t="s">
        <v>27</v>
      </c>
      <c r="D716" s="128"/>
      <c r="E716" s="128" t="s">
        <v>118</v>
      </c>
      <c r="F716" s="129">
        <v>10</v>
      </c>
      <c r="G716" s="126"/>
    </row>
    <row r="717" spans="2:7" ht="13.5" thickBot="1">
      <c r="B717" s="125"/>
      <c r="C717" s="130"/>
      <c r="D717" s="131"/>
      <c r="E717" s="131" t="s">
        <v>1</v>
      </c>
      <c r="F717" s="132">
        <v>7</v>
      </c>
      <c r="G717" s="126"/>
    </row>
    <row r="718" spans="2:7" ht="13.5" thickBot="1">
      <c r="B718" s="125"/>
      <c r="G718" s="126"/>
    </row>
    <row r="719" spans="2:7">
      <c r="B719" s="125"/>
      <c r="C719" s="127" t="s">
        <v>4</v>
      </c>
      <c r="D719" s="128"/>
      <c r="E719" s="128" t="s">
        <v>118</v>
      </c>
      <c r="F719" s="133"/>
      <c r="G719" s="126"/>
    </row>
    <row r="720" spans="2:7">
      <c r="B720" s="125"/>
      <c r="C720" s="59" t="s">
        <v>2</v>
      </c>
      <c r="E720" s="45" t="s">
        <v>326</v>
      </c>
      <c r="F720" s="126"/>
      <c r="G720" s="126"/>
    </row>
    <row r="721" spans="2:7" ht="13.5" thickBot="1">
      <c r="B721" s="125"/>
      <c r="C721" s="130" t="s">
        <v>3</v>
      </c>
      <c r="D721" s="131"/>
      <c r="E721" s="134" t="s">
        <v>326</v>
      </c>
      <c r="F721" s="135"/>
      <c r="G721" s="126"/>
    </row>
    <row r="722" spans="2:7">
      <c r="B722" s="125"/>
      <c r="G722" s="126"/>
    </row>
    <row r="723" spans="2:7" ht="13.5" thickBot="1">
      <c r="B723" s="125"/>
      <c r="G723" s="126"/>
    </row>
    <row r="724" spans="2:7" ht="13.5" thickBot="1">
      <c r="B724" s="125"/>
      <c r="C724" s="136" t="s">
        <v>29</v>
      </c>
      <c r="D724" s="137"/>
      <c r="E724" s="138" t="s">
        <v>308</v>
      </c>
      <c r="F724" s="139"/>
      <c r="G724" s="126"/>
    </row>
    <row r="725" spans="2:7">
      <c r="B725" s="125"/>
      <c r="G725" s="126"/>
    </row>
    <row r="726" spans="2:7">
      <c r="B726" s="125"/>
      <c r="C726" s="45" t="s">
        <v>5</v>
      </c>
      <c r="G726" s="126"/>
    </row>
    <row r="727" spans="2:7">
      <c r="B727" s="125"/>
      <c r="G727" s="126"/>
    </row>
    <row r="728" spans="2:7">
      <c r="B728" s="59">
        <v>1</v>
      </c>
      <c r="C728" s="45" t="s">
        <v>6</v>
      </c>
      <c r="G728" s="126"/>
    </row>
    <row r="729" spans="2:7">
      <c r="B729" s="59">
        <v>2</v>
      </c>
      <c r="C729" s="45" t="s">
        <v>11</v>
      </c>
      <c r="G729" s="126"/>
    </row>
    <row r="730" spans="2:7">
      <c r="B730" s="59">
        <v>3</v>
      </c>
      <c r="C730" s="45" t="s">
        <v>35</v>
      </c>
      <c r="G730" s="126"/>
    </row>
    <row r="731" spans="2:7">
      <c r="B731" s="59">
        <v>4</v>
      </c>
      <c r="C731" s="45" t="s">
        <v>9</v>
      </c>
      <c r="G731" s="126"/>
    </row>
    <row r="732" spans="2:7">
      <c r="B732" s="59">
        <v>5</v>
      </c>
      <c r="C732" s="45" t="s">
        <v>12</v>
      </c>
      <c r="G732" s="126"/>
    </row>
    <row r="733" spans="2:7">
      <c r="B733" s="59">
        <v>6</v>
      </c>
      <c r="C733" s="45" t="s">
        <v>13</v>
      </c>
      <c r="G733" s="126"/>
    </row>
    <row r="734" spans="2:7">
      <c r="B734" s="59">
        <v>7</v>
      </c>
      <c r="C734" s="45" t="s">
        <v>155</v>
      </c>
      <c r="G734" s="126"/>
    </row>
    <row r="735" spans="2:7">
      <c r="B735" s="59">
        <v>8</v>
      </c>
      <c r="C735" s="45" t="s">
        <v>33</v>
      </c>
      <c r="G735" s="126"/>
    </row>
    <row r="736" spans="2:7">
      <c r="B736" s="59">
        <v>9</v>
      </c>
      <c r="C736" s="45" t="s">
        <v>14</v>
      </c>
      <c r="G736" s="126"/>
    </row>
    <row r="737" spans="2:7">
      <c r="B737" s="59">
        <v>10</v>
      </c>
      <c r="C737" s="45" t="s">
        <v>607</v>
      </c>
      <c r="G737" s="126"/>
    </row>
    <row r="738" spans="2:7">
      <c r="B738" s="59">
        <v>11</v>
      </c>
      <c r="C738" s="45" t="s">
        <v>182</v>
      </c>
      <c r="G738" s="126"/>
    </row>
    <row r="739" spans="2:7">
      <c r="B739" s="59">
        <v>12</v>
      </c>
      <c r="C739" s="45" t="s">
        <v>608</v>
      </c>
      <c r="G739" s="126"/>
    </row>
    <row r="740" spans="2:7">
      <c r="B740" s="59">
        <v>13</v>
      </c>
      <c r="C740" s="45" t="s">
        <v>142</v>
      </c>
      <c r="G740" s="126"/>
    </row>
    <row r="741" spans="2:7">
      <c r="B741" s="59">
        <v>14</v>
      </c>
      <c r="C741" s="45" t="s">
        <v>19</v>
      </c>
      <c r="G741" s="126"/>
    </row>
    <row r="742" spans="2:7">
      <c r="B742" s="59">
        <v>15</v>
      </c>
      <c r="C742" s="45" t="s">
        <v>144</v>
      </c>
      <c r="G742" s="126"/>
    </row>
    <row r="743" spans="2:7">
      <c r="B743" s="125"/>
      <c r="G743" s="126"/>
    </row>
    <row r="744" spans="2:7">
      <c r="B744" s="125"/>
      <c r="C744" s="45" t="s">
        <v>675</v>
      </c>
      <c r="G744" s="126"/>
    </row>
    <row r="745" spans="2:7">
      <c r="B745" s="125"/>
      <c r="G745" s="126"/>
    </row>
    <row r="746" spans="2:7">
      <c r="B746" s="125"/>
      <c r="C746" s="124" t="s">
        <v>21</v>
      </c>
      <c r="G746" s="126"/>
    </row>
    <row r="747" spans="2:7">
      <c r="B747" s="142">
        <v>1</v>
      </c>
      <c r="C747" s="45" t="s">
        <v>6</v>
      </c>
      <c r="G747" s="126"/>
    </row>
    <row r="748" spans="2:7">
      <c r="B748" s="142"/>
      <c r="G748" s="126"/>
    </row>
    <row r="749" spans="2:7">
      <c r="B749" s="125"/>
      <c r="C749" s="44" t="s">
        <v>337</v>
      </c>
      <c r="G749" s="126"/>
    </row>
    <row r="750" spans="2:7">
      <c r="B750" s="125" t="s">
        <v>336</v>
      </c>
      <c r="C750" s="45" t="s">
        <v>149</v>
      </c>
      <c r="G750" s="126"/>
    </row>
    <row r="751" spans="2:7">
      <c r="B751" s="142"/>
      <c r="G751" s="126"/>
    </row>
    <row r="752" spans="2:7">
      <c r="B752" s="125"/>
      <c r="C752" s="44" t="s">
        <v>401</v>
      </c>
      <c r="G752" s="126"/>
    </row>
    <row r="753" spans="2:7">
      <c r="B753" s="125" t="s">
        <v>336</v>
      </c>
      <c r="C753" s="45" t="s">
        <v>9</v>
      </c>
      <c r="G753" s="126"/>
    </row>
    <row r="754" spans="2:7" ht="13.5" thickBot="1">
      <c r="B754" s="140"/>
      <c r="C754" s="131"/>
      <c r="D754" s="131"/>
      <c r="E754" s="141"/>
      <c r="F754" s="131"/>
      <c r="G754" s="135"/>
    </row>
    <row r="756" spans="2:7" ht="13.5" thickBot="1"/>
    <row r="757" spans="2:7" ht="13.5" thickBot="1">
      <c r="B757" s="239" t="s">
        <v>676</v>
      </c>
      <c r="C757" s="240"/>
      <c r="D757" s="240"/>
      <c r="E757" s="240"/>
      <c r="F757" s="240"/>
      <c r="G757" s="241"/>
    </row>
    <row r="758" spans="2:7" ht="13.5" thickBot="1">
      <c r="B758" s="125"/>
      <c r="G758" s="126"/>
    </row>
    <row r="759" spans="2:7">
      <c r="B759" s="125"/>
      <c r="C759" s="127" t="s">
        <v>27</v>
      </c>
      <c r="D759" s="128"/>
      <c r="E759" s="128" t="s">
        <v>1</v>
      </c>
      <c r="F759" s="129">
        <v>25</v>
      </c>
      <c r="G759" s="126"/>
    </row>
    <row r="760" spans="2:7" ht="13.5" thickBot="1">
      <c r="B760" s="125"/>
      <c r="C760" s="130"/>
      <c r="D760" s="131"/>
      <c r="E760" s="131" t="s">
        <v>58</v>
      </c>
      <c r="F760" s="132">
        <v>27</v>
      </c>
      <c r="G760" s="126"/>
    </row>
    <row r="761" spans="2:7" ht="13.5" thickBot="1">
      <c r="B761" s="125"/>
      <c r="G761" s="126"/>
    </row>
    <row r="762" spans="2:7">
      <c r="B762" s="125"/>
      <c r="C762" s="127" t="s">
        <v>4</v>
      </c>
      <c r="D762" s="128"/>
      <c r="E762" s="128" t="s">
        <v>1</v>
      </c>
      <c r="F762" s="133" t="s">
        <v>561</v>
      </c>
      <c r="G762" s="126"/>
    </row>
    <row r="763" spans="2:7">
      <c r="B763" s="125"/>
      <c r="C763" s="59" t="s">
        <v>2</v>
      </c>
      <c r="E763" s="45" t="s">
        <v>326</v>
      </c>
      <c r="F763" s="126"/>
      <c r="G763" s="126"/>
    </row>
    <row r="764" spans="2:7" ht="13.5" thickBot="1">
      <c r="B764" s="125"/>
      <c r="C764" s="130" t="s">
        <v>3</v>
      </c>
      <c r="D764" s="131"/>
      <c r="E764" s="134" t="s">
        <v>344</v>
      </c>
      <c r="F764" s="135"/>
      <c r="G764" s="126"/>
    </row>
    <row r="765" spans="2:7">
      <c r="B765" s="125"/>
      <c r="G765" s="126"/>
    </row>
    <row r="766" spans="2:7" ht="13.5" thickBot="1">
      <c r="B766" s="125"/>
      <c r="G766" s="126"/>
    </row>
    <row r="767" spans="2:7" ht="13.5" thickBot="1">
      <c r="B767" s="125"/>
      <c r="C767" s="136" t="s">
        <v>29</v>
      </c>
      <c r="D767" s="137"/>
      <c r="E767" s="138" t="s">
        <v>309</v>
      </c>
      <c r="F767" s="139"/>
      <c r="G767" s="126"/>
    </row>
    <row r="768" spans="2:7">
      <c r="B768" s="125"/>
      <c r="G768" s="126"/>
    </row>
    <row r="769" spans="2:7">
      <c r="B769" s="125"/>
      <c r="C769" s="45" t="s">
        <v>5</v>
      </c>
      <c r="G769" s="126"/>
    </row>
    <row r="770" spans="2:7">
      <c r="B770" s="125"/>
      <c r="G770" s="126"/>
    </row>
    <row r="771" spans="2:7">
      <c r="B771" s="59">
        <v>1</v>
      </c>
      <c r="C771" s="45" t="s">
        <v>6</v>
      </c>
      <c r="G771" s="126"/>
    </row>
    <row r="772" spans="2:7">
      <c r="B772" s="59">
        <v>2</v>
      </c>
      <c r="C772" s="45" t="s">
        <v>11</v>
      </c>
      <c r="G772" s="126"/>
    </row>
    <row r="773" spans="2:7">
      <c r="B773" s="59">
        <v>3</v>
      </c>
      <c r="C773" s="45" t="s">
        <v>35</v>
      </c>
      <c r="G773" s="126"/>
    </row>
    <row r="774" spans="2:7">
      <c r="B774" s="59">
        <v>4</v>
      </c>
      <c r="C774" s="45" t="s">
        <v>9</v>
      </c>
      <c r="G774" s="126"/>
    </row>
    <row r="775" spans="2:7">
      <c r="B775" s="59">
        <v>5</v>
      </c>
      <c r="C775" s="45" t="s">
        <v>12</v>
      </c>
      <c r="G775" s="126"/>
    </row>
    <row r="776" spans="2:7">
      <c r="B776" s="59">
        <v>6</v>
      </c>
      <c r="C776" s="45" t="s">
        <v>143</v>
      </c>
      <c r="G776" s="126"/>
    </row>
    <row r="777" spans="2:7">
      <c r="B777" s="59">
        <v>7</v>
      </c>
      <c r="C777" s="45" t="s">
        <v>155</v>
      </c>
      <c r="G777" s="126"/>
    </row>
    <row r="778" spans="2:7">
      <c r="B778" s="59">
        <v>8</v>
      </c>
      <c r="C778" s="45" t="s">
        <v>33</v>
      </c>
      <c r="G778" s="126"/>
    </row>
    <row r="779" spans="2:7">
      <c r="B779" s="59">
        <v>9</v>
      </c>
      <c r="C779" s="45" t="s">
        <v>14</v>
      </c>
      <c r="G779" s="126"/>
    </row>
    <row r="780" spans="2:7">
      <c r="B780" s="59">
        <v>10</v>
      </c>
      <c r="C780" s="45" t="s">
        <v>607</v>
      </c>
      <c r="G780" s="126"/>
    </row>
    <row r="781" spans="2:7">
      <c r="B781" s="59">
        <v>11</v>
      </c>
      <c r="C781" s="45" t="s">
        <v>182</v>
      </c>
      <c r="G781" s="126"/>
    </row>
    <row r="782" spans="2:7">
      <c r="B782" s="59">
        <v>12</v>
      </c>
      <c r="C782" s="45" t="s">
        <v>608</v>
      </c>
      <c r="G782" s="126"/>
    </row>
    <row r="783" spans="2:7">
      <c r="B783" s="59">
        <v>13</v>
      </c>
      <c r="C783" s="45" t="s">
        <v>142</v>
      </c>
      <c r="G783" s="126"/>
    </row>
    <row r="784" spans="2:7">
      <c r="B784" s="59">
        <v>14</v>
      </c>
      <c r="C784" s="45" t="s">
        <v>19</v>
      </c>
      <c r="G784" s="126"/>
    </row>
    <row r="785" spans="2:7">
      <c r="B785" s="59">
        <v>15</v>
      </c>
      <c r="C785" s="45" t="s">
        <v>144</v>
      </c>
      <c r="G785" s="126"/>
    </row>
    <row r="786" spans="2:7">
      <c r="B786" s="125"/>
      <c r="G786" s="126"/>
    </row>
    <row r="787" spans="2:7">
      <c r="B787" s="125"/>
      <c r="C787" s="45" t="s">
        <v>677</v>
      </c>
      <c r="G787" s="126"/>
    </row>
    <row r="788" spans="2:7">
      <c r="B788" s="125"/>
      <c r="C788" s="45" t="s">
        <v>678</v>
      </c>
      <c r="G788" s="126"/>
    </row>
    <row r="789" spans="2:7">
      <c r="B789" s="125"/>
      <c r="G789" s="126"/>
    </row>
    <row r="790" spans="2:7">
      <c r="B790" s="125"/>
      <c r="C790" s="124" t="s">
        <v>21</v>
      </c>
      <c r="G790" s="126"/>
    </row>
    <row r="791" spans="2:7">
      <c r="B791" s="142">
        <v>1</v>
      </c>
      <c r="C791" s="45" t="s">
        <v>14</v>
      </c>
      <c r="G791" s="126"/>
    </row>
    <row r="792" spans="2:7">
      <c r="B792" s="142">
        <v>1</v>
      </c>
      <c r="C792" s="45" t="s">
        <v>12</v>
      </c>
      <c r="G792" s="126"/>
    </row>
    <row r="793" spans="2:7">
      <c r="B793" s="142">
        <v>1</v>
      </c>
      <c r="C793" s="45" t="s">
        <v>33</v>
      </c>
      <c r="G793" s="126"/>
    </row>
    <row r="794" spans="2:7">
      <c r="B794" s="142"/>
      <c r="G794" s="126"/>
    </row>
    <row r="795" spans="2:7">
      <c r="B795" s="142"/>
      <c r="C795" s="44" t="s">
        <v>337</v>
      </c>
      <c r="G795" s="126"/>
    </row>
    <row r="796" spans="2:7">
      <c r="B796" s="142">
        <v>2</v>
      </c>
      <c r="C796" s="45" t="s">
        <v>149</v>
      </c>
      <c r="G796" s="126"/>
    </row>
    <row r="797" spans="2:7">
      <c r="B797" s="142"/>
      <c r="G797" s="126"/>
    </row>
    <row r="798" spans="2:7">
      <c r="B798" s="142"/>
      <c r="C798" s="44" t="s">
        <v>22</v>
      </c>
      <c r="G798" s="126"/>
    </row>
    <row r="799" spans="2:7">
      <c r="B799" s="142">
        <v>2</v>
      </c>
      <c r="C799" s="45" t="s">
        <v>149</v>
      </c>
      <c r="G799" s="126"/>
    </row>
    <row r="800" spans="2:7">
      <c r="B800" s="142"/>
      <c r="G800" s="126"/>
    </row>
    <row r="801" spans="2:7">
      <c r="B801" s="125"/>
      <c r="C801" s="44" t="s">
        <v>401</v>
      </c>
      <c r="G801" s="126"/>
    </row>
    <row r="802" spans="2:7">
      <c r="B802" s="125" t="s">
        <v>336</v>
      </c>
      <c r="C802" s="45" t="s">
        <v>143</v>
      </c>
      <c r="G802" s="126"/>
    </row>
    <row r="803" spans="2:7" ht="13.5" thickBot="1">
      <c r="B803" s="140"/>
      <c r="C803" s="131"/>
      <c r="D803" s="131"/>
      <c r="E803" s="141"/>
      <c r="F803" s="131"/>
      <c r="G803" s="135"/>
    </row>
    <row r="805" spans="2:7" ht="13.5" thickBot="1"/>
    <row r="806" spans="2:7" ht="13.5" thickBot="1">
      <c r="B806" s="239" t="s">
        <v>679</v>
      </c>
      <c r="C806" s="240"/>
      <c r="D806" s="240"/>
      <c r="E806" s="240"/>
      <c r="F806" s="240"/>
      <c r="G806" s="241"/>
    </row>
    <row r="807" spans="2:7" ht="13.5" thickBot="1">
      <c r="B807" s="125"/>
      <c r="G807" s="126"/>
    </row>
    <row r="808" spans="2:7">
      <c r="B808" s="125"/>
      <c r="C808" s="127" t="s">
        <v>27</v>
      </c>
      <c r="D808" s="128"/>
      <c r="E808" s="128" t="s">
        <v>76</v>
      </c>
      <c r="F808" s="129">
        <v>15</v>
      </c>
      <c r="G808" s="126"/>
    </row>
    <row r="809" spans="2:7" ht="13.5" thickBot="1">
      <c r="B809" s="125"/>
      <c r="C809" s="130"/>
      <c r="D809" s="131"/>
      <c r="E809" s="131" t="s">
        <v>1</v>
      </c>
      <c r="F809" s="132">
        <v>26</v>
      </c>
      <c r="G809" s="126"/>
    </row>
    <row r="810" spans="2:7" ht="13.5" thickBot="1">
      <c r="B810" s="125"/>
      <c r="G810" s="126"/>
    </row>
    <row r="811" spans="2:7">
      <c r="B811" s="125"/>
      <c r="C811" s="127" t="s">
        <v>4</v>
      </c>
      <c r="D811" s="128"/>
      <c r="E811" s="128" t="s">
        <v>76</v>
      </c>
      <c r="F811" s="133"/>
      <c r="G811" s="126"/>
    </row>
    <row r="812" spans="2:7">
      <c r="B812" s="125"/>
      <c r="C812" s="59" t="s">
        <v>2</v>
      </c>
      <c r="E812" s="45" t="s">
        <v>326</v>
      </c>
      <c r="F812" s="126"/>
      <c r="G812" s="126"/>
    </row>
    <row r="813" spans="2:7" ht="13.5" thickBot="1">
      <c r="B813" s="125"/>
      <c r="C813" s="130" t="s">
        <v>3</v>
      </c>
      <c r="D813" s="131"/>
      <c r="E813" s="134" t="s">
        <v>326</v>
      </c>
      <c r="F813" s="135"/>
      <c r="G813" s="126"/>
    </row>
    <row r="814" spans="2:7">
      <c r="B814" s="125"/>
      <c r="G814" s="126"/>
    </row>
    <row r="815" spans="2:7" ht="13.5" thickBot="1">
      <c r="B815" s="125"/>
      <c r="G815" s="126"/>
    </row>
    <row r="816" spans="2:7" ht="13.5" thickBot="1">
      <c r="B816" s="125"/>
      <c r="C816" s="136" t="s">
        <v>29</v>
      </c>
      <c r="D816" s="137"/>
      <c r="E816" s="138" t="s">
        <v>251</v>
      </c>
      <c r="F816" s="139"/>
      <c r="G816" s="126"/>
    </row>
    <row r="817" spans="2:7">
      <c r="B817" s="125"/>
      <c r="G817" s="126"/>
    </row>
    <row r="818" spans="2:7">
      <c r="B818" s="125"/>
      <c r="C818" s="45" t="s">
        <v>5</v>
      </c>
      <c r="G818" s="126"/>
    </row>
    <row r="819" spans="2:7">
      <c r="B819" s="125"/>
      <c r="G819" s="126"/>
    </row>
    <row r="820" spans="2:7">
      <c r="B820" s="59">
        <v>1</v>
      </c>
      <c r="C820" s="45" t="s">
        <v>6</v>
      </c>
      <c r="G820" s="126"/>
    </row>
    <row r="821" spans="2:7">
      <c r="B821" s="59">
        <v>2</v>
      </c>
      <c r="C821" s="45" t="s">
        <v>11</v>
      </c>
      <c r="G821" s="126"/>
    </row>
    <row r="822" spans="2:7">
      <c r="B822" s="59">
        <v>3</v>
      </c>
      <c r="C822" s="45" t="s">
        <v>35</v>
      </c>
      <c r="G822" s="126"/>
    </row>
    <row r="823" spans="2:7">
      <c r="B823" s="59">
        <v>4</v>
      </c>
      <c r="C823" s="45" t="s">
        <v>9</v>
      </c>
      <c r="G823" s="126"/>
    </row>
    <row r="824" spans="2:7">
      <c r="B824" s="59">
        <v>5</v>
      </c>
      <c r="C824" s="45" t="s">
        <v>12</v>
      </c>
      <c r="G824" s="126"/>
    </row>
    <row r="825" spans="2:7">
      <c r="B825" s="59">
        <v>6</v>
      </c>
      <c r="C825" s="45" t="s">
        <v>34</v>
      </c>
      <c r="G825" s="126"/>
    </row>
    <row r="826" spans="2:7">
      <c r="B826" s="59">
        <v>7</v>
      </c>
      <c r="C826" s="45" t="s">
        <v>155</v>
      </c>
      <c r="G826" s="126"/>
    </row>
    <row r="827" spans="2:7">
      <c r="B827" s="59">
        <v>8</v>
      </c>
      <c r="C827" s="45" t="s">
        <v>33</v>
      </c>
      <c r="G827" s="126"/>
    </row>
    <row r="828" spans="2:7">
      <c r="B828" s="59">
        <v>9</v>
      </c>
      <c r="C828" s="45" t="s">
        <v>14</v>
      </c>
      <c r="G828" s="126"/>
    </row>
    <row r="829" spans="2:7">
      <c r="B829" s="59">
        <v>10</v>
      </c>
      <c r="C829" s="45" t="s">
        <v>607</v>
      </c>
      <c r="G829" s="126"/>
    </row>
    <row r="830" spans="2:7">
      <c r="B830" s="59">
        <v>11</v>
      </c>
      <c r="C830" s="45" t="s">
        <v>182</v>
      </c>
      <c r="G830" s="126"/>
    </row>
    <row r="831" spans="2:7">
      <c r="B831" s="59">
        <v>12</v>
      </c>
      <c r="C831" s="45" t="s">
        <v>608</v>
      </c>
      <c r="G831" s="126"/>
    </row>
    <row r="832" spans="2:7">
      <c r="B832" s="59">
        <v>13</v>
      </c>
      <c r="C832" s="45" t="s">
        <v>142</v>
      </c>
      <c r="G832" s="126"/>
    </row>
    <row r="833" spans="2:7">
      <c r="B833" s="59">
        <v>14</v>
      </c>
      <c r="C833" s="45" t="s">
        <v>19</v>
      </c>
      <c r="G833" s="126"/>
    </row>
    <row r="834" spans="2:7">
      <c r="B834" s="59">
        <v>15</v>
      </c>
      <c r="C834" s="45" t="s">
        <v>144</v>
      </c>
      <c r="G834" s="126"/>
    </row>
    <row r="835" spans="2:7">
      <c r="B835" s="125"/>
      <c r="G835" s="126"/>
    </row>
    <row r="836" spans="2:7">
      <c r="B836" s="125"/>
      <c r="C836" s="45" t="s">
        <v>570</v>
      </c>
      <c r="G836" s="126"/>
    </row>
    <row r="837" spans="2:7">
      <c r="B837" s="125"/>
      <c r="C837" s="45" t="s">
        <v>571</v>
      </c>
      <c r="G837" s="126"/>
    </row>
    <row r="838" spans="2:7">
      <c r="B838" s="125"/>
      <c r="C838" s="45" t="s">
        <v>572</v>
      </c>
      <c r="G838" s="126"/>
    </row>
    <row r="839" spans="2:7">
      <c r="B839" s="125"/>
      <c r="G839" s="126"/>
    </row>
    <row r="840" spans="2:7">
      <c r="B840" s="125"/>
      <c r="C840" s="124" t="s">
        <v>21</v>
      </c>
      <c r="G840" s="126"/>
    </row>
    <row r="841" spans="2:7">
      <c r="B841" s="142">
        <v>1</v>
      </c>
      <c r="C841" s="45" t="s">
        <v>15</v>
      </c>
      <c r="G841" s="126"/>
    </row>
    <row r="842" spans="2:7">
      <c r="B842" s="142">
        <v>1</v>
      </c>
      <c r="C842" s="45" t="s">
        <v>142</v>
      </c>
      <c r="G842" s="126"/>
    </row>
    <row r="843" spans="2:7">
      <c r="B843" s="142"/>
      <c r="G843" s="126"/>
    </row>
    <row r="844" spans="2:7">
      <c r="B844" s="142"/>
      <c r="C844" s="44" t="s">
        <v>337</v>
      </c>
      <c r="G844" s="126"/>
    </row>
    <row r="845" spans="2:7">
      <c r="B845" s="142">
        <v>2</v>
      </c>
      <c r="C845" s="45" t="s">
        <v>149</v>
      </c>
      <c r="G845" s="126"/>
    </row>
    <row r="846" spans="2:7">
      <c r="B846" s="142"/>
      <c r="G846" s="126"/>
    </row>
    <row r="847" spans="2:7">
      <c r="B847" s="142"/>
      <c r="C847" s="44" t="s">
        <v>22</v>
      </c>
      <c r="G847" s="126"/>
    </row>
    <row r="848" spans="2:7">
      <c r="B848" s="142">
        <v>4</v>
      </c>
      <c r="C848" s="45" t="s">
        <v>149</v>
      </c>
      <c r="G848" s="126"/>
    </row>
    <row r="849" spans="2:7">
      <c r="B849" s="142"/>
      <c r="G849" s="126"/>
    </row>
    <row r="850" spans="2:7">
      <c r="B850" s="125"/>
      <c r="C850" s="44" t="s">
        <v>401</v>
      </c>
      <c r="G850" s="126"/>
    </row>
    <row r="851" spans="2:7">
      <c r="B851" s="125" t="s">
        <v>336</v>
      </c>
      <c r="C851" s="45" t="s">
        <v>33</v>
      </c>
      <c r="G851" s="126"/>
    </row>
    <row r="852" spans="2:7" ht="13.5" thickBot="1">
      <c r="B852" s="140"/>
      <c r="C852" s="131"/>
      <c r="D852" s="131"/>
      <c r="E852" s="141"/>
      <c r="F852" s="131"/>
      <c r="G852" s="135"/>
    </row>
    <row r="854" spans="2:7" ht="13.5" thickBot="1"/>
    <row r="855" spans="2:7" ht="13.5" thickBot="1">
      <c r="B855" s="239" t="s">
        <v>680</v>
      </c>
      <c r="C855" s="240"/>
      <c r="D855" s="240"/>
      <c r="E855" s="240"/>
      <c r="F855" s="240"/>
      <c r="G855" s="241"/>
    </row>
    <row r="856" spans="2:7" ht="13.5" thickBot="1">
      <c r="B856" s="125"/>
      <c r="G856" s="126"/>
    </row>
    <row r="857" spans="2:7">
      <c r="B857" s="125"/>
      <c r="C857" s="127" t="s">
        <v>27</v>
      </c>
      <c r="D857" s="128"/>
      <c r="E857" s="128" t="s">
        <v>1</v>
      </c>
      <c r="F857" s="129">
        <v>17</v>
      </c>
      <c r="G857" s="126"/>
    </row>
    <row r="858" spans="2:7" ht="13.5" thickBot="1">
      <c r="B858" s="125"/>
      <c r="C858" s="130"/>
      <c r="D858" s="131"/>
      <c r="E858" s="131" t="s">
        <v>93</v>
      </c>
      <c r="F858" s="132">
        <v>14</v>
      </c>
      <c r="G858" s="126"/>
    </row>
    <row r="859" spans="2:7" ht="13.5" thickBot="1">
      <c r="B859" s="125"/>
      <c r="G859" s="126"/>
    </row>
    <row r="860" spans="2:7">
      <c r="B860" s="125"/>
      <c r="C860" s="127" t="s">
        <v>4</v>
      </c>
      <c r="D860" s="128"/>
      <c r="E860" s="128" t="s">
        <v>1</v>
      </c>
      <c r="F860" s="133" t="s">
        <v>561</v>
      </c>
      <c r="G860" s="126"/>
    </row>
    <row r="861" spans="2:7">
      <c r="B861" s="125"/>
      <c r="C861" s="59" t="s">
        <v>2</v>
      </c>
      <c r="E861" s="45" t="s">
        <v>574</v>
      </c>
      <c r="F861" s="126"/>
      <c r="G861" s="126"/>
    </row>
    <row r="862" spans="2:7" ht="13.5" thickBot="1">
      <c r="B862" s="125"/>
      <c r="C862" s="130" t="s">
        <v>3</v>
      </c>
      <c r="D862" s="131"/>
      <c r="E862" s="134" t="s">
        <v>344</v>
      </c>
      <c r="F862" s="135"/>
      <c r="G862" s="126"/>
    </row>
    <row r="863" spans="2:7">
      <c r="B863" s="125"/>
      <c r="G863" s="126"/>
    </row>
    <row r="864" spans="2:7" ht="13.5" thickBot="1">
      <c r="B864" s="125"/>
      <c r="G864" s="126"/>
    </row>
    <row r="865" spans="2:7" ht="13.5" thickBot="1">
      <c r="B865" s="125"/>
      <c r="C865" s="136" t="s">
        <v>29</v>
      </c>
      <c r="D865" s="137"/>
      <c r="E865" s="138" t="s">
        <v>298</v>
      </c>
      <c r="F865" s="139"/>
      <c r="G865" s="126"/>
    </row>
    <row r="866" spans="2:7">
      <c r="B866" s="125"/>
      <c r="G866" s="126"/>
    </row>
    <row r="867" spans="2:7">
      <c r="B867" s="125"/>
      <c r="C867" s="45" t="s">
        <v>5</v>
      </c>
      <c r="G867" s="126"/>
    </row>
    <row r="868" spans="2:7">
      <c r="B868" s="125"/>
      <c r="G868" s="126"/>
    </row>
    <row r="869" spans="2:7">
      <c r="B869" s="59">
        <v>1</v>
      </c>
      <c r="C869" s="45" t="s">
        <v>6</v>
      </c>
      <c r="G869" s="126"/>
    </row>
    <row r="870" spans="2:7">
      <c r="B870" s="59">
        <v>2</v>
      </c>
      <c r="C870" s="45" t="s">
        <v>11</v>
      </c>
      <c r="G870" s="126"/>
    </row>
    <row r="871" spans="2:7">
      <c r="B871" s="59">
        <v>3</v>
      </c>
      <c r="C871" s="45" t="s">
        <v>35</v>
      </c>
      <c r="G871" s="126"/>
    </row>
    <row r="872" spans="2:7">
      <c r="B872" s="59">
        <v>4</v>
      </c>
      <c r="C872" s="45" t="s">
        <v>9</v>
      </c>
      <c r="G872" s="126"/>
    </row>
    <row r="873" spans="2:7">
      <c r="B873" s="59">
        <v>5</v>
      </c>
      <c r="C873" s="45" t="s">
        <v>12</v>
      </c>
      <c r="G873" s="126"/>
    </row>
    <row r="874" spans="2:7">
      <c r="B874" s="59">
        <v>6</v>
      </c>
      <c r="C874" s="45" t="s">
        <v>34</v>
      </c>
      <c r="G874" s="126"/>
    </row>
    <row r="875" spans="2:7">
      <c r="B875" s="59">
        <v>7</v>
      </c>
      <c r="C875" s="45" t="s">
        <v>155</v>
      </c>
      <c r="G875" s="126"/>
    </row>
    <row r="876" spans="2:7">
      <c r="B876" s="59">
        <v>8</v>
      </c>
      <c r="C876" s="45" t="s">
        <v>33</v>
      </c>
      <c r="G876" s="126"/>
    </row>
    <row r="877" spans="2:7">
      <c r="B877" s="59">
        <v>9</v>
      </c>
      <c r="C877" s="45" t="s">
        <v>14</v>
      </c>
      <c r="G877" s="126"/>
    </row>
    <row r="878" spans="2:7">
      <c r="B878" s="59">
        <v>10</v>
      </c>
      <c r="C878" s="45" t="s">
        <v>607</v>
      </c>
      <c r="G878" s="126"/>
    </row>
    <row r="879" spans="2:7">
      <c r="B879" s="59">
        <v>11</v>
      </c>
      <c r="C879" s="45" t="s">
        <v>182</v>
      </c>
      <c r="G879" s="126"/>
    </row>
    <row r="880" spans="2:7">
      <c r="B880" s="59">
        <v>12</v>
      </c>
      <c r="C880" s="45" t="s">
        <v>608</v>
      </c>
      <c r="G880" s="126"/>
    </row>
    <row r="881" spans="2:7">
      <c r="B881" s="59">
        <v>13</v>
      </c>
      <c r="C881" s="45" t="s">
        <v>142</v>
      </c>
      <c r="G881" s="126"/>
    </row>
    <row r="882" spans="2:7">
      <c r="B882" s="59">
        <v>14</v>
      </c>
      <c r="C882" s="45" t="s">
        <v>19</v>
      </c>
      <c r="G882" s="126"/>
    </row>
    <row r="883" spans="2:7">
      <c r="B883" s="59">
        <v>15</v>
      </c>
      <c r="C883" s="45" t="s">
        <v>144</v>
      </c>
      <c r="G883" s="126"/>
    </row>
    <row r="884" spans="2:7">
      <c r="B884" s="125"/>
      <c r="G884" s="126"/>
    </row>
    <row r="885" spans="2:7">
      <c r="B885" s="125"/>
      <c r="C885" s="45" t="s">
        <v>681</v>
      </c>
      <c r="G885" s="126"/>
    </row>
    <row r="886" spans="2:7">
      <c r="B886" s="125"/>
      <c r="C886" s="45" t="s">
        <v>682</v>
      </c>
      <c r="G886" s="126"/>
    </row>
    <row r="887" spans="2:7">
      <c r="B887" s="125"/>
      <c r="C887" s="45" t="s">
        <v>683</v>
      </c>
      <c r="G887" s="126"/>
    </row>
    <row r="888" spans="2:7">
      <c r="B888" s="125"/>
      <c r="C888" s="45" t="s">
        <v>566</v>
      </c>
      <c r="G888" s="126"/>
    </row>
    <row r="889" spans="2:7">
      <c r="B889" s="125"/>
      <c r="G889" s="126"/>
    </row>
    <row r="890" spans="2:7">
      <c r="B890" s="125"/>
      <c r="C890" s="124" t="s">
        <v>21</v>
      </c>
      <c r="G890" s="126"/>
    </row>
    <row r="891" spans="2:7">
      <c r="B891" s="142">
        <v>1</v>
      </c>
      <c r="C891" s="45" t="s">
        <v>35</v>
      </c>
      <c r="G891" s="126"/>
    </row>
    <row r="892" spans="2:7">
      <c r="B892" s="142">
        <v>1</v>
      </c>
      <c r="C892" s="45" t="s">
        <v>155</v>
      </c>
      <c r="G892" s="126"/>
    </row>
    <row r="893" spans="2:7">
      <c r="B893" s="142"/>
      <c r="G893" s="126"/>
    </row>
    <row r="894" spans="2:7">
      <c r="B894" s="142"/>
      <c r="C894" s="44" t="s">
        <v>337</v>
      </c>
      <c r="G894" s="126"/>
    </row>
    <row r="895" spans="2:7">
      <c r="B895" s="142">
        <v>2</v>
      </c>
      <c r="C895" s="45" t="s">
        <v>607</v>
      </c>
      <c r="G895" s="126"/>
    </row>
    <row r="896" spans="2:7">
      <c r="B896" s="142"/>
      <c r="G896" s="126"/>
    </row>
    <row r="897" spans="2:7">
      <c r="B897" s="142"/>
      <c r="C897" s="44" t="s">
        <v>22</v>
      </c>
      <c r="G897" s="126"/>
    </row>
    <row r="898" spans="2:7">
      <c r="B898" s="142">
        <v>1</v>
      </c>
      <c r="C898" s="112" t="s">
        <v>607</v>
      </c>
      <c r="G898" s="126"/>
    </row>
    <row r="899" spans="2:7">
      <c r="B899" s="142"/>
      <c r="G899" s="126"/>
    </row>
    <row r="900" spans="2:7">
      <c r="B900" s="125"/>
      <c r="C900" s="44" t="s">
        <v>401</v>
      </c>
      <c r="G900" s="126"/>
    </row>
    <row r="901" spans="2:7">
      <c r="B901" s="125" t="s">
        <v>336</v>
      </c>
      <c r="C901" s="112" t="s">
        <v>6</v>
      </c>
      <c r="G901" s="126"/>
    </row>
    <row r="902" spans="2:7">
      <c r="B902" s="125" t="s">
        <v>336</v>
      </c>
      <c r="C902" s="112" t="s">
        <v>607</v>
      </c>
      <c r="G902" s="126"/>
    </row>
    <row r="903" spans="2:7">
      <c r="B903" s="125" t="s">
        <v>352</v>
      </c>
      <c r="C903" s="112" t="s">
        <v>35</v>
      </c>
      <c r="G903" s="126"/>
    </row>
    <row r="904" spans="2:7" ht="13.5" thickBot="1">
      <c r="B904" s="140"/>
      <c r="C904" s="131"/>
      <c r="D904" s="131"/>
      <c r="E904" s="141"/>
      <c r="F904" s="131"/>
      <c r="G904" s="135"/>
    </row>
    <row r="906" spans="2:7" ht="13.5" thickBot="1"/>
    <row r="907" spans="2:7" ht="13.5" thickBot="1">
      <c r="B907" s="239" t="s">
        <v>684</v>
      </c>
      <c r="C907" s="240"/>
      <c r="D907" s="240"/>
      <c r="E907" s="240"/>
      <c r="F907" s="240"/>
      <c r="G907" s="241"/>
    </row>
    <row r="908" spans="2:7" ht="13.5" thickBot="1">
      <c r="B908" s="125"/>
      <c r="G908" s="126"/>
    </row>
    <row r="909" spans="2:7">
      <c r="B909" s="125"/>
      <c r="C909" s="127" t="s">
        <v>27</v>
      </c>
      <c r="D909" s="128"/>
      <c r="E909" s="128" t="s">
        <v>74</v>
      </c>
      <c r="F909" s="129">
        <v>48</v>
      </c>
      <c r="G909" s="126"/>
    </row>
    <row r="910" spans="2:7" ht="13.5" thickBot="1">
      <c r="B910" s="125"/>
      <c r="C910" s="130"/>
      <c r="D910" s="131"/>
      <c r="E910" s="131" t="s">
        <v>1</v>
      </c>
      <c r="F910" s="132">
        <v>26</v>
      </c>
      <c r="G910" s="126"/>
    </row>
    <row r="911" spans="2:7" ht="13.5" thickBot="1">
      <c r="B911" s="125"/>
      <c r="G911" s="126"/>
    </row>
    <row r="912" spans="2:7">
      <c r="B912" s="125"/>
      <c r="C912" s="127" t="s">
        <v>4</v>
      </c>
      <c r="D912" s="128"/>
      <c r="E912" s="128" t="s">
        <v>74</v>
      </c>
      <c r="F912" s="133"/>
      <c r="G912" s="126"/>
    </row>
    <row r="913" spans="2:7">
      <c r="B913" s="125"/>
      <c r="C913" s="59" t="s">
        <v>2</v>
      </c>
      <c r="E913" s="45" t="s">
        <v>326</v>
      </c>
      <c r="F913" s="126"/>
      <c r="G913" s="126"/>
    </row>
    <row r="914" spans="2:7" ht="13.5" thickBot="1">
      <c r="B914" s="125"/>
      <c r="C914" s="130" t="s">
        <v>3</v>
      </c>
      <c r="D914" s="131"/>
      <c r="E914" s="134" t="s">
        <v>326</v>
      </c>
      <c r="F914" s="135"/>
      <c r="G914" s="126"/>
    </row>
    <row r="915" spans="2:7">
      <c r="B915" s="125"/>
      <c r="G915" s="126"/>
    </row>
    <row r="916" spans="2:7" ht="13.5" thickBot="1">
      <c r="B916" s="125"/>
      <c r="G916" s="126"/>
    </row>
    <row r="917" spans="2:7" ht="13.5" thickBot="1">
      <c r="B917" s="125"/>
      <c r="C917" s="136" t="s">
        <v>29</v>
      </c>
      <c r="D917" s="137"/>
      <c r="E917" s="138" t="s">
        <v>310</v>
      </c>
      <c r="F917" s="139"/>
      <c r="G917" s="126"/>
    </row>
    <row r="918" spans="2:7">
      <c r="B918" s="125"/>
      <c r="G918" s="126"/>
    </row>
    <row r="919" spans="2:7">
      <c r="B919" s="125"/>
      <c r="C919" s="45" t="s">
        <v>5</v>
      </c>
      <c r="G919" s="126"/>
    </row>
    <row r="920" spans="2:7">
      <c r="B920" s="125"/>
      <c r="G920" s="126"/>
    </row>
    <row r="921" spans="2:7">
      <c r="B921" s="59">
        <v>1</v>
      </c>
      <c r="C921" s="45" t="s">
        <v>6</v>
      </c>
      <c r="G921" s="126"/>
    </row>
    <row r="922" spans="2:7">
      <c r="B922" s="59">
        <v>2</v>
      </c>
      <c r="C922" s="45" t="s">
        <v>11</v>
      </c>
      <c r="G922" s="126"/>
    </row>
    <row r="923" spans="2:7">
      <c r="B923" s="59">
        <v>3</v>
      </c>
      <c r="C923" s="45" t="s">
        <v>31</v>
      </c>
      <c r="G923" s="126"/>
    </row>
    <row r="924" spans="2:7">
      <c r="B924" s="59">
        <v>4</v>
      </c>
      <c r="C924" s="45" t="s">
        <v>9</v>
      </c>
      <c r="G924" s="126"/>
    </row>
    <row r="925" spans="2:7">
      <c r="B925" s="59">
        <v>5</v>
      </c>
      <c r="C925" s="45" t="s">
        <v>12</v>
      </c>
      <c r="G925" s="126"/>
    </row>
    <row r="926" spans="2:7">
      <c r="B926" s="59">
        <v>6</v>
      </c>
      <c r="C926" s="45" t="s">
        <v>34</v>
      </c>
      <c r="G926" s="126"/>
    </row>
    <row r="927" spans="2:7">
      <c r="B927" s="59">
        <v>7</v>
      </c>
      <c r="C927" s="45" t="s">
        <v>155</v>
      </c>
      <c r="G927" s="126"/>
    </row>
    <row r="928" spans="2:7">
      <c r="B928" s="59">
        <v>8</v>
      </c>
      <c r="C928" s="45" t="s">
        <v>33</v>
      </c>
      <c r="G928" s="126"/>
    </row>
    <row r="929" spans="2:7">
      <c r="B929" s="59">
        <v>9</v>
      </c>
      <c r="C929" s="45" t="s">
        <v>14</v>
      </c>
      <c r="G929" s="126"/>
    </row>
    <row r="930" spans="2:7">
      <c r="B930" s="59">
        <v>10</v>
      </c>
      <c r="C930" s="45" t="s">
        <v>607</v>
      </c>
      <c r="G930" s="126"/>
    </row>
    <row r="931" spans="2:7">
      <c r="B931" s="59">
        <v>11</v>
      </c>
      <c r="C931" s="45" t="s">
        <v>182</v>
      </c>
      <c r="G931" s="126"/>
    </row>
    <row r="932" spans="2:7">
      <c r="B932" s="59">
        <v>12</v>
      </c>
      <c r="C932" s="45" t="s">
        <v>608</v>
      </c>
      <c r="G932" s="126"/>
    </row>
    <row r="933" spans="2:7">
      <c r="B933" s="59">
        <v>13</v>
      </c>
      <c r="C933" s="45" t="s">
        <v>142</v>
      </c>
      <c r="G933" s="126"/>
    </row>
    <row r="934" spans="2:7">
      <c r="B934" s="59">
        <v>14</v>
      </c>
      <c r="C934" s="45" t="s">
        <v>19</v>
      </c>
      <c r="G934" s="126"/>
    </row>
    <row r="935" spans="2:7">
      <c r="B935" s="59">
        <v>15</v>
      </c>
      <c r="C935" s="45" t="s">
        <v>144</v>
      </c>
      <c r="G935" s="126"/>
    </row>
    <row r="936" spans="2:7">
      <c r="B936" s="125"/>
      <c r="G936" s="126"/>
    </row>
    <row r="937" spans="2:7">
      <c r="B937" s="125"/>
      <c r="C937" s="45" t="s">
        <v>685</v>
      </c>
      <c r="G937" s="126"/>
    </row>
    <row r="938" spans="2:7">
      <c r="B938" s="125"/>
      <c r="C938" s="45" t="s">
        <v>682</v>
      </c>
      <c r="G938" s="126"/>
    </row>
    <row r="939" spans="2:7">
      <c r="B939" s="125"/>
      <c r="C939" s="45" t="s">
        <v>686</v>
      </c>
      <c r="G939" s="126"/>
    </row>
    <row r="940" spans="2:7">
      <c r="B940" s="125"/>
      <c r="C940" s="45" t="s">
        <v>687</v>
      </c>
      <c r="G940" s="126"/>
    </row>
    <row r="941" spans="2:7">
      <c r="B941" s="125"/>
      <c r="G941" s="126"/>
    </row>
    <row r="942" spans="2:7">
      <c r="B942" s="125"/>
      <c r="C942" s="124" t="s">
        <v>21</v>
      </c>
      <c r="G942" s="126"/>
    </row>
    <row r="943" spans="2:7">
      <c r="B943" s="142">
        <v>1</v>
      </c>
      <c r="C943" s="45" t="s">
        <v>14</v>
      </c>
      <c r="G943" s="126"/>
    </row>
    <row r="944" spans="2:7">
      <c r="B944" s="142">
        <v>1</v>
      </c>
      <c r="C944" s="45" t="s">
        <v>12</v>
      </c>
      <c r="G944" s="126"/>
    </row>
    <row r="945" spans="2:7">
      <c r="B945" s="142"/>
      <c r="G945" s="126"/>
    </row>
    <row r="946" spans="2:7">
      <c r="B946" s="142"/>
      <c r="C946" s="44" t="s">
        <v>337</v>
      </c>
      <c r="G946" s="126"/>
    </row>
    <row r="947" spans="2:7">
      <c r="B947" s="142">
        <v>2</v>
      </c>
      <c r="C947" s="45" t="s">
        <v>607</v>
      </c>
      <c r="G947" s="126"/>
    </row>
    <row r="948" spans="2:7">
      <c r="B948" s="142"/>
      <c r="G948" s="126"/>
    </row>
    <row r="949" spans="2:7">
      <c r="B949" s="142"/>
      <c r="C949" s="44" t="s">
        <v>22</v>
      </c>
      <c r="G949" s="126"/>
    </row>
    <row r="950" spans="2:7">
      <c r="B950" s="142">
        <v>3</v>
      </c>
      <c r="C950" s="45" t="s">
        <v>607</v>
      </c>
      <c r="G950" s="126"/>
    </row>
    <row r="951" spans="2:7">
      <c r="B951" s="142"/>
      <c r="G951" s="126"/>
    </row>
    <row r="952" spans="2:7">
      <c r="B952" s="142"/>
      <c r="C952" s="44" t="s">
        <v>24</v>
      </c>
      <c r="G952" s="126"/>
    </row>
    <row r="953" spans="2:7">
      <c r="B953" s="142">
        <v>1</v>
      </c>
      <c r="C953" s="45" t="s">
        <v>607</v>
      </c>
      <c r="G953" s="126"/>
    </row>
    <row r="954" spans="2:7">
      <c r="B954" s="142"/>
      <c r="G954" s="126"/>
    </row>
    <row r="955" spans="2:7">
      <c r="B955" s="125"/>
      <c r="C955" s="44" t="s">
        <v>401</v>
      </c>
      <c r="G955" s="126"/>
    </row>
    <row r="956" spans="2:7">
      <c r="B956" s="125"/>
      <c r="C956" s="45" t="s">
        <v>339</v>
      </c>
      <c r="G956" s="126"/>
    </row>
    <row r="957" spans="2:7">
      <c r="B957" s="125"/>
      <c r="G957" s="126"/>
    </row>
    <row r="958" spans="2:7" ht="13.5" thickBot="1">
      <c r="B958" s="140"/>
      <c r="C958" s="131"/>
      <c r="D958" s="131"/>
      <c r="E958" s="141"/>
      <c r="F958" s="131"/>
      <c r="G958" s="135"/>
    </row>
    <row r="960" spans="2:7" ht="13.5" thickBot="1"/>
    <row r="961" spans="2:7" ht="13.5" thickBot="1">
      <c r="B961" s="239" t="s">
        <v>688</v>
      </c>
      <c r="C961" s="240"/>
      <c r="D961" s="240"/>
      <c r="E961" s="240"/>
      <c r="F961" s="240"/>
      <c r="G961" s="241"/>
    </row>
    <row r="962" spans="2:7" ht="13.5" thickBot="1">
      <c r="B962" s="125"/>
      <c r="G962" s="126"/>
    </row>
    <row r="963" spans="2:7">
      <c r="B963" s="125"/>
      <c r="C963" s="127" t="s">
        <v>27</v>
      </c>
      <c r="D963" s="128"/>
      <c r="E963" s="128" t="s">
        <v>1</v>
      </c>
      <c r="F963" s="129">
        <v>31</v>
      </c>
      <c r="G963" s="126"/>
    </row>
    <row r="964" spans="2:7" ht="13.5" thickBot="1">
      <c r="B964" s="125"/>
      <c r="C964" s="130"/>
      <c r="D964" s="131"/>
      <c r="E964" s="131" t="s">
        <v>73</v>
      </c>
      <c r="F964" s="132">
        <v>25</v>
      </c>
      <c r="G964" s="126"/>
    </row>
    <row r="965" spans="2:7" ht="13.5" thickBot="1">
      <c r="B965" s="125"/>
      <c r="G965" s="126"/>
    </row>
    <row r="966" spans="2:7">
      <c r="B966" s="125"/>
      <c r="C966" s="127" t="s">
        <v>4</v>
      </c>
      <c r="D966" s="128"/>
      <c r="E966" s="128" t="s">
        <v>1</v>
      </c>
      <c r="F966" s="133" t="s">
        <v>561</v>
      </c>
      <c r="G966" s="126"/>
    </row>
    <row r="967" spans="2:7">
      <c r="B967" s="125"/>
      <c r="C967" s="59" t="s">
        <v>2</v>
      </c>
      <c r="E967" s="45" t="s">
        <v>326</v>
      </c>
      <c r="F967" s="126"/>
      <c r="G967" s="126"/>
    </row>
    <row r="968" spans="2:7" ht="13.5" thickBot="1">
      <c r="B968" s="125"/>
      <c r="C968" s="130" t="s">
        <v>3</v>
      </c>
      <c r="D968" s="131"/>
      <c r="E968" s="134" t="s">
        <v>326</v>
      </c>
      <c r="F968" s="135"/>
      <c r="G968" s="126"/>
    </row>
    <row r="969" spans="2:7">
      <c r="B969" s="125"/>
      <c r="G969" s="126"/>
    </row>
    <row r="970" spans="2:7" ht="13.5" thickBot="1">
      <c r="B970" s="125"/>
      <c r="G970" s="126"/>
    </row>
    <row r="971" spans="2:7" ht="13.5" thickBot="1">
      <c r="B971" s="125"/>
      <c r="C971" s="136" t="s">
        <v>29</v>
      </c>
      <c r="D971" s="137"/>
      <c r="E971" s="138" t="s">
        <v>275</v>
      </c>
      <c r="F971" s="139"/>
      <c r="G971" s="126"/>
    </row>
    <row r="972" spans="2:7">
      <c r="B972" s="125"/>
      <c r="G972" s="126"/>
    </row>
    <row r="973" spans="2:7">
      <c r="B973" s="125"/>
      <c r="C973" s="45" t="s">
        <v>5</v>
      </c>
      <c r="G973" s="126"/>
    </row>
    <row r="974" spans="2:7">
      <c r="B974" s="125"/>
      <c r="G974" s="126"/>
    </row>
    <row r="975" spans="2:7">
      <c r="B975" s="59">
        <v>1</v>
      </c>
      <c r="C975" s="45" t="s">
        <v>6</v>
      </c>
      <c r="G975" s="126"/>
    </row>
    <row r="976" spans="2:7">
      <c r="B976" s="59">
        <v>2</v>
      </c>
      <c r="C976" s="45" t="s">
        <v>11</v>
      </c>
      <c r="G976" s="126"/>
    </row>
    <row r="977" spans="2:7">
      <c r="B977" s="59">
        <v>3</v>
      </c>
      <c r="C977" s="45" t="s">
        <v>35</v>
      </c>
      <c r="G977" s="126"/>
    </row>
    <row r="978" spans="2:7">
      <c r="B978" s="59">
        <v>4</v>
      </c>
      <c r="C978" s="45" t="s">
        <v>9</v>
      </c>
      <c r="G978" s="126"/>
    </row>
    <row r="979" spans="2:7">
      <c r="B979" s="59">
        <v>5</v>
      </c>
      <c r="C979" s="45" t="s">
        <v>12</v>
      </c>
      <c r="G979" s="126"/>
    </row>
    <row r="980" spans="2:7">
      <c r="B980" s="59">
        <v>6</v>
      </c>
      <c r="C980" s="45" t="s">
        <v>13</v>
      </c>
      <c r="G980" s="126"/>
    </row>
    <row r="981" spans="2:7">
      <c r="B981" s="59">
        <v>7</v>
      </c>
      <c r="C981" s="45" t="s">
        <v>155</v>
      </c>
      <c r="G981" s="126"/>
    </row>
    <row r="982" spans="2:7">
      <c r="B982" s="59">
        <v>8</v>
      </c>
      <c r="C982" s="45" t="s">
        <v>33</v>
      </c>
      <c r="G982" s="126"/>
    </row>
    <row r="983" spans="2:7">
      <c r="B983" s="59">
        <v>9</v>
      </c>
      <c r="C983" s="45" t="s">
        <v>14</v>
      </c>
      <c r="G983" s="126"/>
    </row>
    <row r="984" spans="2:7">
      <c r="B984" s="59">
        <v>10</v>
      </c>
      <c r="C984" s="45" t="s">
        <v>607</v>
      </c>
      <c r="G984" s="126"/>
    </row>
    <row r="985" spans="2:7">
      <c r="B985" s="59">
        <v>11</v>
      </c>
      <c r="C985" s="45" t="s">
        <v>182</v>
      </c>
      <c r="G985" s="126"/>
    </row>
    <row r="986" spans="2:7">
      <c r="B986" s="59">
        <v>12</v>
      </c>
      <c r="C986" s="45" t="s">
        <v>608</v>
      </c>
      <c r="G986" s="126"/>
    </row>
    <row r="987" spans="2:7">
      <c r="B987" s="59">
        <v>13</v>
      </c>
      <c r="C987" s="45" t="s">
        <v>142</v>
      </c>
      <c r="G987" s="126"/>
    </row>
    <row r="988" spans="2:7">
      <c r="B988" s="59">
        <v>14</v>
      </c>
      <c r="C988" s="45" t="s">
        <v>19</v>
      </c>
      <c r="G988" s="126"/>
    </row>
    <row r="989" spans="2:7">
      <c r="B989" s="59">
        <v>15</v>
      </c>
      <c r="C989" s="45" t="s">
        <v>144</v>
      </c>
      <c r="G989" s="126"/>
    </row>
    <row r="990" spans="2:7">
      <c r="B990" s="125"/>
      <c r="G990" s="126"/>
    </row>
    <row r="991" spans="2:7">
      <c r="B991" s="125"/>
      <c r="C991" s="45" t="s">
        <v>675</v>
      </c>
      <c r="G991" s="126"/>
    </row>
    <row r="992" spans="2:7">
      <c r="B992" s="125"/>
      <c r="C992" s="45" t="s">
        <v>682</v>
      </c>
      <c r="G992" s="126"/>
    </row>
    <row r="993" spans="2:8">
      <c r="B993" s="125"/>
      <c r="G993" s="126"/>
    </row>
    <row r="994" spans="2:8">
      <c r="B994" s="125"/>
      <c r="C994" s="124" t="s">
        <v>21</v>
      </c>
      <c r="G994" s="126"/>
    </row>
    <row r="995" spans="2:8">
      <c r="B995" s="142">
        <v>1</v>
      </c>
      <c r="C995" s="45" t="s">
        <v>33</v>
      </c>
      <c r="G995" s="126"/>
    </row>
    <row r="996" spans="2:8">
      <c r="B996" s="142">
        <v>1</v>
      </c>
      <c r="C996" s="45" t="s">
        <v>13</v>
      </c>
      <c r="G996" s="126"/>
    </row>
    <row r="997" spans="2:8">
      <c r="B997" s="142">
        <v>3</v>
      </c>
      <c r="C997" s="45" t="s">
        <v>35</v>
      </c>
      <c r="G997" s="126"/>
    </row>
    <row r="998" spans="2:8">
      <c r="B998" s="142"/>
      <c r="G998" s="126"/>
    </row>
    <row r="999" spans="2:8">
      <c r="B999" s="142"/>
      <c r="C999" s="44" t="s">
        <v>337</v>
      </c>
      <c r="G999" s="126"/>
      <c r="H999" s="45">
        <v>10</v>
      </c>
    </row>
    <row r="1000" spans="2:8">
      <c r="B1000" s="142">
        <v>3</v>
      </c>
      <c r="C1000" s="45" t="s">
        <v>607</v>
      </c>
      <c r="G1000" s="126"/>
    </row>
    <row r="1001" spans="2:8">
      <c r="B1001" s="142"/>
      <c r="G1001" s="126"/>
    </row>
    <row r="1002" spans="2:8">
      <c r="B1002" s="125"/>
      <c r="C1002" s="44" t="s">
        <v>401</v>
      </c>
      <c r="G1002" s="126"/>
    </row>
    <row r="1003" spans="2:8">
      <c r="B1003" s="125" t="s">
        <v>336</v>
      </c>
      <c r="C1003" s="45" t="s">
        <v>13</v>
      </c>
      <c r="G1003" s="126"/>
    </row>
    <row r="1004" spans="2:8">
      <c r="B1004" s="125" t="s">
        <v>336</v>
      </c>
      <c r="C1004" s="45" t="s">
        <v>6</v>
      </c>
      <c r="G1004" s="126"/>
    </row>
    <row r="1005" spans="2:8" ht="13.5" thickBot="1">
      <c r="B1005" s="140"/>
      <c r="C1005" s="131"/>
      <c r="D1005" s="131"/>
      <c r="E1005" s="141"/>
      <c r="F1005" s="131"/>
      <c r="G1005" s="135"/>
    </row>
    <row r="1007" spans="2:8" ht="13.5" thickBot="1"/>
    <row r="1008" spans="2:8" ht="13.5" thickBot="1">
      <c r="B1008" s="239" t="s">
        <v>689</v>
      </c>
      <c r="C1008" s="240"/>
      <c r="D1008" s="240"/>
      <c r="E1008" s="240"/>
      <c r="F1008" s="240"/>
      <c r="G1008" s="241"/>
    </row>
    <row r="1009" spans="2:7" ht="13.5" thickBot="1">
      <c r="B1009" s="145"/>
      <c r="C1009" s="128"/>
      <c r="D1009" s="128"/>
      <c r="E1009" s="146"/>
      <c r="F1009" s="128"/>
      <c r="G1009" s="133"/>
    </row>
    <row r="1010" spans="2:7">
      <c r="B1010" s="125"/>
      <c r="C1010" s="127" t="s">
        <v>27</v>
      </c>
      <c r="D1010" s="128"/>
      <c r="E1010" s="128" t="s">
        <v>91</v>
      </c>
      <c r="F1010" s="129">
        <v>54</v>
      </c>
      <c r="G1010" s="126"/>
    </row>
    <row r="1011" spans="2:7" ht="13.5" thickBot="1">
      <c r="B1011" s="125"/>
      <c r="C1011" s="130"/>
      <c r="D1011" s="131"/>
      <c r="E1011" s="131" t="s">
        <v>1</v>
      </c>
      <c r="F1011" s="132">
        <v>12</v>
      </c>
      <c r="G1011" s="126"/>
    </row>
    <row r="1012" spans="2:7" ht="13.5" thickBot="1">
      <c r="B1012" s="125"/>
      <c r="G1012" s="126"/>
    </row>
    <row r="1013" spans="2:7">
      <c r="B1013" s="125"/>
      <c r="C1013" s="127" t="s">
        <v>4</v>
      </c>
      <c r="D1013" s="128"/>
      <c r="E1013" s="128" t="s">
        <v>91</v>
      </c>
      <c r="F1013" s="133"/>
      <c r="G1013" s="126"/>
    </row>
    <row r="1014" spans="2:7">
      <c r="B1014" s="125"/>
      <c r="C1014" s="59" t="s">
        <v>2</v>
      </c>
      <c r="E1014" s="45" t="s">
        <v>326</v>
      </c>
      <c r="F1014" s="126"/>
      <c r="G1014" s="126"/>
    </row>
    <row r="1015" spans="2:7" ht="13.5" thickBot="1">
      <c r="B1015" s="125"/>
      <c r="C1015" s="130" t="s">
        <v>3</v>
      </c>
      <c r="D1015" s="131"/>
      <c r="E1015" s="134" t="s">
        <v>326</v>
      </c>
      <c r="F1015" s="135"/>
      <c r="G1015" s="126"/>
    </row>
    <row r="1016" spans="2:7">
      <c r="B1016" s="125"/>
      <c r="G1016" s="126"/>
    </row>
    <row r="1017" spans="2:7" ht="13.5" thickBot="1">
      <c r="B1017" s="125"/>
      <c r="G1017" s="126"/>
    </row>
    <row r="1018" spans="2:7" ht="13.5" thickBot="1">
      <c r="B1018" s="125"/>
      <c r="C1018" s="136" t="s">
        <v>29</v>
      </c>
      <c r="D1018" s="137"/>
      <c r="E1018" s="138" t="s">
        <v>311</v>
      </c>
      <c r="F1018" s="139"/>
      <c r="G1018" s="126"/>
    </row>
    <row r="1019" spans="2:7">
      <c r="B1019" s="125"/>
      <c r="G1019" s="126"/>
    </row>
    <row r="1020" spans="2:7">
      <c r="B1020" s="125"/>
      <c r="C1020" s="45" t="s">
        <v>5</v>
      </c>
      <c r="G1020" s="126"/>
    </row>
    <row r="1021" spans="2:7">
      <c r="B1021" s="125"/>
      <c r="G1021" s="126"/>
    </row>
    <row r="1022" spans="2:7">
      <c r="B1022" s="59">
        <v>1</v>
      </c>
      <c r="C1022" s="45" t="s">
        <v>35</v>
      </c>
      <c r="G1022" s="126"/>
    </row>
    <row r="1023" spans="2:7">
      <c r="B1023" s="59">
        <v>2</v>
      </c>
      <c r="C1023" s="45" t="s">
        <v>11</v>
      </c>
      <c r="G1023" s="126"/>
    </row>
    <row r="1024" spans="2:7">
      <c r="B1024" s="59">
        <v>3</v>
      </c>
      <c r="C1024" s="45" t="s">
        <v>31</v>
      </c>
      <c r="G1024" s="126"/>
    </row>
    <row r="1025" spans="2:7">
      <c r="B1025" s="59">
        <v>4</v>
      </c>
      <c r="C1025" s="45" t="s">
        <v>9</v>
      </c>
      <c r="G1025" s="126"/>
    </row>
    <row r="1026" spans="2:7">
      <c r="B1026" s="59">
        <v>5</v>
      </c>
      <c r="C1026" s="45" t="s">
        <v>12</v>
      </c>
      <c r="G1026" s="126"/>
    </row>
    <row r="1027" spans="2:7">
      <c r="B1027" s="59">
        <v>6</v>
      </c>
      <c r="C1027" s="45" t="s">
        <v>34</v>
      </c>
      <c r="G1027" s="126"/>
    </row>
    <row r="1028" spans="2:7">
      <c r="B1028" s="59">
        <v>7</v>
      </c>
      <c r="C1028" s="45" t="s">
        <v>155</v>
      </c>
      <c r="G1028" s="126"/>
    </row>
    <row r="1029" spans="2:7">
      <c r="B1029" s="59">
        <v>8</v>
      </c>
      <c r="C1029" s="45" t="s">
        <v>33</v>
      </c>
      <c r="G1029" s="126"/>
    </row>
    <row r="1030" spans="2:7">
      <c r="B1030" s="59">
        <v>9</v>
      </c>
      <c r="C1030" s="45" t="s">
        <v>14</v>
      </c>
      <c r="G1030" s="126"/>
    </row>
    <row r="1031" spans="2:7">
      <c r="B1031" s="59">
        <v>10</v>
      </c>
      <c r="C1031" s="45" t="s">
        <v>607</v>
      </c>
      <c r="G1031" s="126"/>
    </row>
    <row r="1032" spans="2:7">
      <c r="B1032" s="59">
        <v>11</v>
      </c>
      <c r="C1032" s="45" t="s">
        <v>182</v>
      </c>
      <c r="G1032" s="126"/>
    </row>
    <row r="1033" spans="2:7">
      <c r="B1033" s="59">
        <v>12</v>
      </c>
      <c r="C1033" s="45" t="s">
        <v>608</v>
      </c>
      <c r="G1033" s="126"/>
    </row>
    <row r="1034" spans="2:7">
      <c r="B1034" s="59">
        <v>13</v>
      </c>
      <c r="C1034" s="45" t="s">
        <v>142</v>
      </c>
      <c r="G1034" s="126"/>
    </row>
    <row r="1035" spans="2:7">
      <c r="B1035" s="59">
        <v>14</v>
      </c>
      <c r="C1035" s="45" t="s">
        <v>19</v>
      </c>
      <c r="G1035" s="126"/>
    </row>
    <row r="1036" spans="2:7">
      <c r="B1036" s="59">
        <v>15</v>
      </c>
      <c r="C1036" s="45" t="s">
        <v>144</v>
      </c>
      <c r="G1036" s="126"/>
    </row>
    <row r="1037" spans="2:7">
      <c r="B1037" s="125"/>
      <c r="G1037" s="126"/>
    </row>
    <row r="1038" spans="2:7">
      <c r="B1038" s="125"/>
      <c r="C1038" s="45" t="s">
        <v>690</v>
      </c>
      <c r="G1038" s="126"/>
    </row>
    <row r="1039" spans="2:7">
      <c r="B1039" s="125"/>
      <c r="C1039" s="45" t="s">
        <v>691</v>
      </c>
      <c r="G1039" s="126"/>
    </row>
    <row r="1040" spans="2:7">
      <c r="B1040" s="125"/>
      <c r="C1040" s="45" t="s">
        <v>422</v>
      </c>
      <c r="G1040" s="126"/>
    </row>
    <row r="1041" spans="2:7">
      <c r="B1041" s="125"/>
      <c r="C1041" s="45" t="s">
        <v>692</v>
      </c>
      <c r="G1041" s="126"/>
    </row>
    <row r="1042" spans="2:7">
      <c r="B1042" s="125"/>
      <c r="C1042" s="45" t="s">
        <v>693</v>
      </c>
      <c r="G1042" s="126"/>
    </row>
    <row r="1043" spans="2:7">
      <c r="B1043" s="125"/>
      <c r="C1043" s="45" t="s">
        <v>577</v>
      </c>
      <c r="G1043" s="126"/>
    </row>
    <row r="1044" spans="2:7">
      <c r="B1044" s="125"/>
      <c r="C1044" s="45" t="s">
        <v>694</v>
      </c>
      <c r="G1044" s="126"/>
    </row>
    <row r="1045" spans="2:7">
      <c r="B1045" s="125"/>
      <c r="C1045" s="45" t="s">
        <v>682</v>
      </c>
      <c r="G1045" s="126"/>
    </row>
    <row r="1046" spans="2:7">
      <c r="B1046" s="125"/>
      <c r="G1046" s="126"/>
    </row>
    <row r="1047" spans="2:7">
      <c r="B1047" s="125"/>
      <c r="C1047" s="124" t="s">
        <v>22</v>
      </c>
      <c r="G1047" s="126"/>
    </row>
    <row r="1048" spans="2:7">
      <c r="B1048" s="142">
        <v>4</v>
      </c>
      <c r="C1048" s="45" t="s">
        <v>607</v>
      </c>
      <c r="G1048" s="126"/>
    </row>
    <row r="1049" spans="2:7">
      <c r="B1049" s="142"/>
      <c r="G1049" s="126"/>
    </row>
    <row r="1050" spans="2:7">
      <c r="B1050" s="125"/>
      <c r="C1050" s="44" t="s">
        <v>401</v>
      </c>
      <c r="G1050" s="126"/>
    </row>
    <row r="1051" spans="2:7">
      <c r="B1051" s="125" t="s">
        <v>336</v>
      </c>
      <c r="C1051" s="45" t="s">
        <v>183</v>
      </c>
      <c r="G1051" s="126"/>
    </row>
    <row r="1052" spans="2:7" ht="13.5" thickBot="1">
      <c r="B1052" s="140"/>
      <c r="C1052" s="131"/>
      <c r="D1052" s="131"/>
      <c r="E1052" s="141"/>
      <c r="F1052" s="131"/>
      <c r="G1052" s="135"/>
    </row>
    <row r="1054" spans="2:7" ht="13.5" thickBot="1"/>
    <row r="1055" spans="2:7" ht="13.5" thickBot="1">
      <c r="B1055" s="239" t="s">
        <v>695</v>
      </c>
      <c r="C1055" s="240"/>
      <c r="D1055" s="240"/>
      <c r="E1055" s="240"/>
      <c r="F1055" s="240"/>
      <c r="G1055" s="241"/>
    </row>
    <row r="1056" spans="2:7" ht="13.5" thickBot="1">
      <c r="B1056" s="145"/>
      <c r="C1056" s="128"/>
      <c r="D1056" s="128"/>
      <c r="E1056" s="146"/>
      <c r="F1056" s="128"/>
      <c r="G1056" s="133"/>
    </row>
    <row r="1057" spans="2:7">
      <c r="B1057" s="125"/>
      <c r="C1057" s="127" t="s">
        <v>27</v>
      </c>
      <c r="D1057" s="128"/>
      <c r="E1057" s="128" t="s">
        <v>1</v>
      </c>
      <c r="F1057" s="129">
        <v>29</v>
      </c>
      <c r="G1057" s="126"/>
    </row>
    <row r="1058" spans="2:7" ht="13.5" thickBot="1">
      <c r="B1058" s="125"/>
      <c r="C1058" s="130"/>
      <c r="D1058" s="131"/>
      <c r="E1058" s="131" t="s">
        <v>185</v>
      </c>
      <c r="F1058" s="132">
        <v>32</v>
      </c>
      <c r="G1058" s="126"/>
    </row>
    <row r="1059" spans="2:7" ht="13.5" thickBot="1">
      <c r="B1059" s="125"/>
      <c r="G1059" s="126"/>
    </row>
    <row r="1060" spans="2:7">
      <c r="B1060" s="125"/>
      <c r="C1060" s="127" t="s">
        <v>4</v>
      </c>
      <c r="D1060" s="128"/>
      <c r="E1060" s="128" t="s">
        <v>1</v>
      </c>
      <c r="F1060" s="133" t="s">
        <v>593</v>
      </c>
      <c r="G1060" s="126"/>
    </row>
    <row r="1061" spans="2:7">
      <c r="B1061" s="125"/>
      <c r="C1061" s="59" t="s">
        <v>2</v>
      </c>
      <c r="E1061" s="45" t="s">
        <v>326</v>
      </c>
      <c r="F1061" s="126"/>
      <c r="G1061" s="126"/>
    </row>
    <row r="1062" spans="2:7" ht="13.5" thickBot="1">
      <c r="B1062" s="125"/>
      <c r="C1062" s="130" t="s">
        <v>3</v>
      </c>
      <c r="D1062" s="131"/>
      <c r="E1062" s="134" t="s">
        <v>326</v>
      </c>
      <c r="F1062" s="135"/>
      <c r="G1062" s="126"/>
    </row>
    <row r="1063" spans="2:7">
      <c r="B1063" s="125"/>
      <c r="G1063" s="126"/>
    </row>
    <row r="1064" spans="2:7" ht="13.5" thickBot="1">
      <c r="B1064" s="125"/>
      <c r="G1064" s="126"/>
    </row>
    <row r="1065" spans="2:7" ht="13.5" thickBot="1">
      <c r="B1065" s="125"/>
      <c r="C1065" s="136" t="s">
        <v>29</v>
      </c>
      <c r="D1065" s="137"/>
      <c r="E1065" s="138" t="s">
        <v>312</v>
      </c>
      <c r="F1065" s="139"/>
      <c r="G1065" s="126"/>
    </row>
    <row r="1066" spans="2:7">
      <c r="B1066" s="125"/>
      <c r="G1066" s="126"/>
    </row>
    <row r="1067" spans="2:7">
      <c r="B1067" s="125"/>
      <c r="C1067" s="45" t="s">
        <v>5</v>
      </c>
      <c r="G1067" s="126"/>
    </row>
    <row r="1068" spans="2:7">
      <c r="B1068" s="125"/>
      <c r="G1068" s="126"/>
    </row>
    <row r="1069" spans="2:7">
      <c r="B1069" s="59">
        <v>1</v>
      </c>
      <c r="C1069" s="45" t="s">
        <v>6</v>
      </c>
      <c r="G1069" s="126"/>
    </row>
    <row r="1070" spans="2:7">
      <c r="B1070" s="59">
        <v>2</v>
      </c>
      <c r="C1070" s="45" t="s">
        <v>11</v>
      </c>
      <c r="G1070" s="126"/>
    </row>
    <row r="1071" spans="2:7">
      <c r="B1071" s="59">
        <v>3</v>
      </c>
      <c r="C1071" s="45" t="s">
        <v>31</v>
      </c>
      <c r="G1071" s="126"/>
    </row>
    <row r="1072" spans="2:7">
      <c r="B1072" s="59">
        <v>4</v>
      </c>
      <c r="C1072" s="45" t="s">
        <v>9</v>
      </c>
      <c r="G1072" s="126"/>
    </row>
    <row r="1073" spans="2:7">
      <c r="B1073" s="59">
        <v>5</v>
      </c>
      <c r="C1073" s="45" t="s">
        <v>32</v>
      </c>
      <c r="G1073" s="126"/>
    </row>
    <row r="1074" spans="2:7">
      <c r="B1074" s="59">
        <v>6</v>
      </c>
      <c r="C1074" s="45" t="s">
        <v>34</v>
      </c>
      <c r="G1074" s="126"/>
    </row>
    <row r="1075" spans="2:7">
      <c r="B1075" s="59">
        <v>7</v>
      </c>
      <c r="C1075" s="45" t="s">
        <v>155</v>
      </c>
      <c r="G1075" s="126"/>
    </row>
    <row r="1076" spans="2:7">
      <c r="B1076" s="59">
        <v>8</v>
      </c>
      <c r="C1076" s="45" t="s">
        <v>13</v>
      </c>
      <c r="G1076" s="126"/>
    </row>
    <row r="1077" spans="2:7">
      <c r="B1077" s="59">
        <v>9</v>
      </c>
      <c r="C1077" s="45" t="s">
        <v>14</v>
      </c>
      <c r="G1077" s="126"/>
    </row>
    <row r="1078" spans="2:7">
      <c r="B1078" s="59">
        <v>10</v>
      </c>
      <c r="C1078" s="45" t="s">
        <v>607</v>
      </c>
      <c r="G1078" s="126"/>
    </row>
    <row r="1079" spans="2:7">
      <c r="B1079" s="59">
        <v>11</v>
      </c>
      <c r="C1079" s="45" t="s">
        <v>183</v>
      </c>
      <c r="G1079" s="126"/>
    </row>
    <row r="1080" spans="2:7">
      <c r="B1080" s="59">
        <v>12</v>
      </c>
      <c r="C1080" s="45" t="s">
        <v>608</v>
      </c>
      <c r="G1080" s="126"/>
    </row>
    <row r="1081" spans="2:7">
      <c r="B1081" s="59">
        <v>13</v>
      </c>
      <c r="C1081" s="45" t="s">
        <v>142</v>
      </c>
      <c r="G1081" s="126"/>
    </row>
    <row r="1082" spans="2:7">
      <c r="B1082" s="59">
        <v>14</v>
      </c>
      <c r="C1082" s="45" t="s">
        <v>19</v>
      </c>
      <c r="G1082" s="126"/>
    </row>
    <row r="1083" spans="2:7">
      <c r="B1083" s="59">
        <v>15</v>
      </c>
      <c r="C1083" s="45" t="s">
        <v>144</v>
      </c>
      <c r="G1083" s="126"/>
    </row>
    <row r="1084" spans="2:7">
      <c r="B1084" s="125"/>
      <c r="G1084" s="126"/>
    </row>
    <row r="1085" spans="2:7">
      <c r="B1085" s="125"/>
      <c r="C1085" s="45" t="s">
        <v>696</v>
      </c>
      <c r="G1085" s="126"/>
    </row>
    <row r="1086" spans="2:7">
      <c r="B1086" s="125"/>
      <c r="C1086" s="45" t="s">
        <v>694</v>
      </c>
      <c r="G1086" s="126"/>
    </row>
    <row r="1087" spans="2:7">
      <c r="B1087" s="125"/>
      <c r="C1087" s="45" t="s">
        <v>697</v>
      </c>
      <c r="G1087" s="126"/>
    </row>
    <row r="1088" spans="2:7">
      <c r="B1088" s="125"/>
      <c r="C1088" s="45" t="s">
        <v>580</v>
      </c>
      <c r="G1088" s="126"/>
    </row>
    <row r="1089" spans="2:7">
      <c r="B1089" s="125"/>
      <c r="C1089" s="45" t="s">
        <v>630</v>
      </c>
      <c r="G1089" s="126"/>
    </row>
    <row r="1090" spans="2:7">
      <c r="B1090" s="125"/>
      <c r="G1090" s="126"/>
    </row>
    <row r="1091" spans="2:7">
      <c r="B1091" s="125"/>
      <c r="C1091" s="124" t="s">
        <v>21</v>
      </c>
      <c r="G1091" s="126"/>
    </row>
    <row r="1092" spans="2:7">
      <c r="B1092" s="142">
        <v>1</v>
      </c>
      <c r="C1092" s="45" t="s">
        <v>142</v>
      </c>
      <c r="G1092" s="126"/>
    </row>
    <row r="1093" spans="2:7">
      <c r="B1093" s="142">
        <v>2</v>
      </c>
      <c r="C1093" s="45" t="s">
        <v>19</v>
      </c>
      <c r="G1093" s="126"/>
    </row>
    <row r="1094" spans="2:7">
      <c r="B1094" s="142">
        <v>1</v>
      </c>
      <c r="C1094" s="45" t="s">
        <v>155</v>
      </c>
      <c r="G1094" s="126"/>
    </row>
    <row r="1095" spans="2:7">
      <c r="B1095" s="142">
        <v>1</v>
      </c>
      <c r="C1095" s="45" t="s">
        <v>144</v>
      </c>
      <c r="G1095" s="126"/>
    </row>
    <row r="1096" spans="2:7">
      <c r="B1096" s="142"/>
      <c r="G1096" s="126"/>
    </row>
    <row r="1097" spans="2:7">
      <c r="B1097" s="142"/>
      <c r="C1097" s="44" t="s">
        <v>337</v>
      </c>
      <c r="G1097" s="126"/>
    </row>
    <row r="1098" spans="2:7">
      <c r="B1098" s="142">
        <v>2</v>
      </c>
      <c r="C1098" s="45" t="s">
        <v>607</v>
      </c>
      <c r="G1098" s="126"/>
    </row>
    <row r="1099" spans="2:7">
      <c r="B1099" s="142"/>
      <c r="G1099" s="126"/>
    </row>
    <row r="1100" spans="2:7">
      <c r="B1100" s="125"/>
      <c r="C1100" s="44" t="s">
        <v>401</v>
      </c>
      <c r="G1100" s="126"/>
    </row>
    <row r="1101" spans="2:7">
      <c r="B1101" s="125" t="s">
        <v>336</v>
      </c>
      <c r="C1101" s="45" t="s">
        <v>6</v>
      </c>
      <c r="G1101" s="126"/>
    </row>
    <row r="1102" spans="2:7">
      <c r="B1102" s="125" t="s">
        <v>336</v>
      </c>
      <c r="C1102" s="45" t="s">
        <v>11</v>
      </c>
      <c r="G1102" s="126"/>
    </row>
    <row r="1103" spans="2:7">
      <c r="B1103" s="125" t="s">
        <v>336</v>
      </c>
      <c r="C1103" s="45" t="s">
        <v>155</v>
      </c>
      <c r="G1103" s="126"/>
    </row>
    <row r="1104" spans="2:7" ht="13.5" thickBot="1">
      <c r="B1104" s="140"/>
      <c r="C1104" s="131"/>
      <c r="D1104" s="131"/>
      <c r="E1104" s="141"/>
      <c r="F1104" s="131"/>
      <c r="G1104" s="135"/>
    </row>
    <row r="1106" spans="2:7" ht="13.5" thickBot="1"/>
    <row r="1107" spans="2:7" ht="13.5" thickBot="1">
      <c r="B1107" s="239" t="s">
        <v>698</v>
      </c>
      <c r="C1107" s="240"/>
      <c r="D1107" s="240"/>
      <c r="E1107" s="240"/>
      <c r="F1107" s="240"/>
      <c r="G1107" s="241"/>
    </row>
    <row r="1108" spans="2:7" ht="13.5" thickBot="1">
      <c r="B1108" s="145"/>
      <c r="C1108" s="128"/>
      <c r="D1108" s="128"/>
      <c r="E1108" s="146"/>
      <c r="F1108" s="128"/>
      <c r="G1108" s="133"/>
    </row>
    <row r="1109" spans="2:7">
      <c r="B1109" s="125"/>
      <c r="C1109" s="127" t="s">
        <v>27</v>
      </c>
      <c r="D1109" s="128"/>
      <c r="E1109" s="128" t="s">
        <v>64</v>
      </c>
      <c r="F1109" s="129">
        <v>20</v>
      </c>
      <c r="G1109" s="126"/>
    </row>
    <row r="1110" spans="2:7" ht="13.5" thickBot="1">
      <c r="B1110" s="125"/>
      <c r="C1110" s="130"/>
      <c r="D1110" s="131"/>
      <c r="E1110" s="131" t="s">
        <v>1</v>
      </c>
      <c r="F1110" s="132">
        <v>31</v>
      </c>
      <c r="G1110" s="126"/>
    </row>
    <row r="1111" spans="2:7" ht="13.5" thickBot="1">
      <c r="B1111" s="125"/>
      <c r="G1111" s="126"/>
    </row>
    <row r="1112" spans="2:7">
      <c r="B1112" s="125"/>
      <c r="C1112" s="127" t="s">
        <v>4</v>
      </c>
      <c r="D1112" s="128"/>
      <c r="E1112" s="128" t="s">
        <v>64</v>
      </c>
      <c r="F1112" s="133"/>
      <c r="G1112" s="126"/>
    </row>
    <row r="1113" spans="2:7">
      <c r="B1113" s="125"/>
      <c r="C1113" s="59" t="s">
        <v>2</v>
      </c>
      <c r="E1113" s="45" t="s">
        <v>699</v>
      </c>
      <c r="F1113" s="126"/>
      <c r="G1113" s="126"/>
    </row>
    <row r="1114" spans="2:7" ht="13.5" thickBot="1">
      <c r="B1114" s="125"/>
      <c r="C1114" s="130" t="s">
        <v>3</v>
      </c>
      <c r="D1114" s="131"/>
      <c r="E1114" s="134" t="s">
        <v>700</v>
      </c>
      <c r="F1114" s="135"/>
      <c r="G1114" s="126"/>
    </row>
    <row r="1115" spans="2:7">
      <c r="B1115" s="125"/>
      <c r="G1115" s="126"/>
    </row>
    <row r="1116" spans="2:7" ht="13.5" thickBot="1">
      <c r="B1116" s="125"/>
      <c r="G1116" s="126"/>
    </row>
    <row r="1117" spans="2:7" ht="13.5" thickBot="1">
      <c r="B1117" s="125"/>
      <c r="C1117" s="136" t="s">
        <v>29</v>
      </c>
      <c r="D1117" s="137"/>
      <c r="E1117" s="138" t="s">
        <v>300</v>
      </c>
      <c r="F1117" s="139"/>
      <c r="G1117" s="126"/>
    </row>
    <row r="1118" spans="2:7">
      <c r="B1118" s="125"/>
      <c r="G1118" s="126"/>
    </row>
    <row r="1119" spans="2:7">
      <c r="B1119" s="125"/>
      <c r="C1119" s="45" t="s">
        <v>5</v>
      </c>
      <c r="G1119" s="126"/>
    </row>
    <row r="1120" spans="2:7">
      <c r="B1120" s="125"/>
      <c r="G1120" s="126"/>
    </row>
    <row r="1121" spans="2:7">
      <c r="B1121" s="59">
        <v>1</v>
      </c>
      <c r="C1121" s="45" t="s">
        <v>6</v>
      </c>
      <c r="G1121" s="126"/>
    </row>
    <row r="1122" spans="2:7">
      <c r="B1122" s="59">
        <v>2</v>
      </c>
      <c r="C1122" s="45" t="s">
        <v>11</v>
      </c>
      <c r="G1122" s="126"/>
    </row>
    <row r="1123" spans="2:7">
      <c r="B1123" s="59">
        <v>3</v>
      </c>
      <c r="C1123" s="45" t="s">
        <v>35</v>
      </c>
      <c r="G1123" s="126"/>
    </row>
    <row r="1124" spans="2:7">
      <c r="B1124" s="59">
        <v>4</v>
      </c>
      <c r="C1124" s="45" t="s">
        <v>9</v>
      </c>
      <c r="G1124" s="126"/>
    </row>
    <row r="1125" spans="2:7">
      <c r="B1125" s="59">
        <v>5</v>
      </c>
      <c r="C1125" s="45" t="s">
        <v>32</v>
      </c>
      <c r="G1125" s="126"/>
    </row>
    <row r="1126" spans="2:7">
      <c r="B1126" s="59">
        <v>6</v>
      </c>
      <c r="C1126" s="45" t="s">
        <v>34</v>
      </c>
      <c r="G1126" s="126"/>
    </row>
    <row r="1127" spans="2:7">
      <c r="B1127" s="59">
        <v>7</v>
      </c>
      <c r="C1127" s="45" t="s">
        <v>13</v>
      </c>
      <c r="G1127" s="126"/>
    </row>
    <row r="1128" spans="2:7">
      <c r="B1128" s="59">
        <v>8</v>
      </c>
      <c r="C1128" s="45" t="s">
        <v>33</v>
      </c>
      <c r="G1128" s="126"/>
    </row>
    <row r="1129" spans="2:7">
      <c r="B1129" s="59">
        <v>9</v>
      </c>
      <c r="C1129" s="45" t="s">
        <v>139</v>
      </c>
      <c r="G1129" s="126"/>
    </row>
    <row r="1130" spans="2:7">
      <c r="B1130" s="59">
        <v>10</v>
      </c>
      <c r="C1130" s="45" t="s">
        <v>607</v>
      </c>
      <c r="G1130" s="126"/>
    </row>
    <row r="1131" spans="2:7">
      <c r="B1131" s="59">
        <v>11</v>
      </c>
      <c r="C1131" s="45" t="s">
        <v>182</v>
      </c>
      <c r="G1131" s="126"/>
    </row>
    <row r="1132" spans="2:7">
      <c r="B1132" s="59">
        <v>12</v>
      </c>
      <c r="C1132" s="45" t="s">
        <v>608</v>
      </c>
      <c r="G1132" s="126"/>
    </row>
    <row r="1133" spans="2:7">
      <c r="B1133" s="59">
        <v>13</v>
      </c>
      <c r="C1133" s="45" t="s">
        <v>142</v>
      </c>
      <c r="G1133" s="126"/>
    </row>
    <row r="1134" spans="2:7">
      <c r="B1134" s="59">
        <v>14</v>
      </c>
      <c r="C1134" s="45" t="s">
        <v>19</v>
      </c>
      <c r="G1134" s="126"/>
    </row>
    <row r="1135" spans="2:7">
      <c r="B1135" s="59">
        <v>15</v>
      </c>
      <c r="C1135" s="45" t="s">
        <v>144</v>
      </c>
      <c r="G1135" s="126"/>
    </row>
    <row r="1136" spans="2:7">
      <c r="B1136" s="125"/>
      <c r="G1136" s="126"/>
    </row>
    <row r="1137" spans="2:7">
      <c r="B1137" s="125"/>
      <c r="C1137" s="45" t="s">
        <v>701</v>
      </c>
      <c r="G1137" s="126"/>
    </row>
    <row r="1138" spans="2:7">
      <c r="B1138" s="125"/>
      <c r="C1138" s="45" t="s">
        <v>611</v>
      </c>
      <c r="G1138" s="126"/>
    </row>
    <row r="1139" spans="2:7">
      <c r="B1139" s="125"/>
      <c r="C1139" s="45" t="s">
        <v>702</v>
      </c>
      <c r="G1139" s="126"/>
    </row>
    <row r="1140" spans="2:7">
      <c r="B1140" s="125"/>
      <c r="C1140" s="45" t="s">
        <v>703</v>
      </c>
      <c r="G1140" s="126"/>
    </row>
    <row r="1141" spans="2:7">
      <c r="B1141" s="125"/>
      <c r="C1141" s="45" t="s">
        <v>682</v>
      </c>
      <c r="G1141" s="126"/>
    </row>
    <row r="1142" spans="2:7">
      <c r="B1142" s="125"/>
      <c r="G1142" s="126"/>
    </row>
    <row r="1143" spans="2:7">
      <c r="B1143" s="125"/>
      <c r="C1143" s="124" t="s">
        <v>21</v>
      </c>
      <c r="G1143" s="126"/>
    </row>
    <row r="1144" spans="2:7">
      <c r="B1144" s="142">
        <v>1</v>
      </c>
      <c r="C1144" s="45" t="s">
        <v>139</v>
      </c>
      <c r="G1144" s="126"/>
    </row>
    <row r="1145" spans="2:7">
      <c r="B1145" s="142">
        <v>1</v>
      </c>
      <c r="C1145" s="45" t="s">
        <v>35</v>
      </c>
      <c r="G1145" s="126"/>
    </row>
    <row r="1146" spans="2:7">
      <c r="B1146" s="142">
        <v>1</v>
      </c>
      <c r="C1146" s="45" t="s">
        <v>33</v>
      </c>
      <c r="G1146" s="126"/>
    </row>
    <row r="1147" spans="2:7">
      <c r="B1147" s="142">
        <v>1</v>
      </c>
      <c r="C1147" s="45" t="s">
        <v>15</v>
      </c>
      <c r="G1147" s="126"/>
    </row>
    <row r="1148" spans="2:7">
      <c r="B1148" s="142">
        <v>1</v>
      </c>
      <c r="C1148" s="45" t="s">
        <v>183</v>
      </c>
      <c r="G1148" s="126"/>
    </row>
    <row r="1149" spans="2:7">
      <c r="B1149" s="142"/>
      <c r="G1149" s="126"/>
    </row>
    <row r="1150" spans="2:7">
      <c r="B1150" s="142"/>
      <c r="C1150" s="44" t="s">
        <v>337</v>
      </c>
      <c r="G1150" s="126"/>
    </row>
    <row r="1151" spans="2:7">
      <c r="B1151" s="142">
        <v>3</v>
      </c>
      <c r="C1151" s="45" t="s">
        <v>607</v>
      </c>
      <c r="G1151" s="126"/>
    </row>
    <row r="1152" spans="2:7">
      <c r="B1152" s="142"/>
      <c r="G1152" s="126"/>
    </row>
    <row r="1153" spans="2:7">
      <c r="B1153" s="125"/>
      <c r="C1153" s="44" t="s">
        <v>401</v>
      </c>
      <c r="G1153" s="126"/>
    </row>
    <row r="1154" spans="2:7">
      <c r="B1154" s="125" t="s">
        <v>336</v>
      </c>
      <c r="C1154" s="45" t="s">
        <v>6</v>
      </c>
      <c r="G1154" s="126"/>
    </row>
    <row r="1155" spans="2:7" ht="13.5" thickBot="1">
      <c r="B1155" s="140"/>
      <c r="C1155" s="131"/>
      <c r="D1155" s="131"/>
      <c r="E1155" s="141"/>
      <c r="F1155" s="131"/>
      <c r="G1155" s="135"/>
    </row>
  </sheetData>
  <mergeCells count="23">
    <mergeCell ref="B268:G268"/>
    <mergeCell ref="B2:G2"/>
    <mergeCell ref="B55:G55"/>
    <mergeCell ref="B103:G103"/>
    <mergeCell ref="B159:G159"/>
    <mergeCell ref="B207:G207"/>
    <mergeCell ref="B855:G855"/>
    <mergeCell ref="B327:G327"/>
    <mergeCell ref="B378:G378"/>
    <mergeCell ref="B423:G423"/>
    <mergeCell ref="B466:G466"/>
    <mergeCell ref="B518:G518"/>
    <mergeCell ref="B570:G570"/>
    <mergeCell ref="B621:G621"/>
    <mergeCell ref="B669:G669"/>
    <mergeCell ref="B714:G714"/>
    <mergeCell ref="B757:G757"/>
    <mergeCell ref="B806:G806"/>
    <mergeCell ref="B907:G907"/>
    <mergeCell ref="B961:G961"/>
    <mergeCell ref="B1008:G1008"/>
    <mergeCell ref="B1055:G1055"/>
    <mergeCell ref="B1107:G1107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N1288"/>
  <sheetViews>
    <sheetView topLeftCell="A1045" workbookViewId="0">
      <selection activeCell="G1282" sqref="G1282"/>
    </sheetView>
  </sheetViews>
  <sheetFormatPr baseColWidth="10" defaultColWidth="11.42578125" defaultRowHeight="12.75"/>
  <cols>
    <col min="1" max="2" width="5.5703125" style="124" customWidth="1"/>
    <col min="3" max="3" width="24.28515625" style="45" customWidth="1"/>
    <col min="4" max="4" width="10.140625" style="45" bestFit="1" customWidth="1"/>
    <col min="5" max="5" width="30.85546875" style="44" bestFit="1" customWidth="1"/>
    <col min="6" max="16384" width="11.42578125" style="45"/>
  </cols>
  <sheetData>
    <row r="1" spans="2:14" ht="13.5" thickBot="1"/>
    <row r="2" spans="2:14" ht="13.5" thickBot="1">
      <c r="B2" s="239" t="s">
        <v>704</v>
      </c>
      <c r="C2" s="240"/>
      <c r="D2" s="240"/>
      <c r="E2" s="240"/>
      <c r="F2" s="240"/>
      <c r="G2" s="241"/>
    </row>
    <row r="3" spans="2:14" ht="13.5" thickBot="1">
      <c r="B3" s="125"/>
      <c r="G3" s="126"/>
    </row>
    <row r="4" spans="2:14">
      <c r="B4" s="125"/>
      <c r="C4" s="127" t="s">
        <v>27</v>
      </c>
      <c r="D4" s="128"/>
      <c r="E4" s="128" t="s">
        <v>1</v>
      </c>
      <c r="F4" s="129">
        <v>32</v>
      </c>
      <c r="G4" s="126"/>
    </row>
    <row r="5" spans="2:14" ht="13.5" thickBot="1">
      <c r="B5" s="125"/>
      <c r="C5" s="130"/>
      <c r="D5" s="131"/>
      <c r="E5" s="131" t="s">
        <v>93</v>
      </c>
      <c r="F5" s="132">
        <v>15</v>
      </c>
      <c r="G5" s="126"/>
      <c r="M5" s="242">
        <v>2017</v>
      </c>
      <c r="N5" s="242"/>
    </row>
    <row r="6" spans="2:14" ht="13.5" thickBot="1">
      <c r="B6" s="125"/>
      <c r="G6" s="126"/>
    </row>
    <row r="7" spans="2:14">
      <c r="B7" s="125"/>
      <c r="C7" s="127" t="s">
        <v>4</v>
      </c>
      <c r="D7" s="128"/>
      <c r="E7" s="128" t="s">
        <v>1</v>
      </c>
      <c r="F7" s="133" t="s">
        <v>549</v>
      </c>
      <c r="G7" s="126"/>
      <c r="J7" s="45">
        <v>32</v>
      </c>
      <c r="K7" s="45">
        <v>15</v>
      </c>
      <c r="M7" s="45">
        <v>5</v>
      </c>
      <c r="N7" s="45">
        <v>1</v>
      </c>
    </row>
    <row r="8" spans="2:14">
      <c r="B8" s="125"/>
      <c r="C8" s="59" t="s">
        <v>2</v>
      </c>
      <c r="E8" s="45" t="s">
        <v>326</v>
      </c>
      <c r="F8" s="126"/>
      <c r="G8" s="126"/>
      <c r="J8" s="45">
        <v>19</v>
      </c>
      <c r="K8" s="45">
        <v>45</v>
      </c>
      <c r="M8" s="45">
        <v>0</v>
      </c>
      <c r="N8" s="45">
        <v>2</v>
      </c>
    </row>
    <row r="9" spans="2:14" ht="13.5" thickBot="1">
      <c r="B9" s="125"/>
      <c r="C9" s="130" t="s">
        <v>3</v>
      </c>
      <c r="D9" s="131"/>
      <c r="E9" s="134" t="s">
        <v>354</v>
      </c>
      <c r="F9" s="135"/>
      <c r="G9" s="126"/>
      <c r="J9" s="45">
        <v>19</v>
      </c>
      <c r="K9" s="45">
        <v>59</v>
      </c>
      <c r="M9" s="45">
        <v>0</v>
      </c>
      <c r="N9" s="45">
        <v>3</v>
      </c>
    </row>
    <row r="10" spans="2:14" ht="13.5" thickBot="1">
      <c r="B10" s="125"/>
      <c r="G10" s="126"/>
      <c r="J10" s="45">
        <v>48</v>
      </c>
      <c r="K10" s="45">
        <v>27</v>
      </c>
      <c r="M10" s="45">
        <v>4</v>
      </c>
      <c r="N10" s="45">
        <v>4</v>
      </c>
    </row>
    <row r="11" spans="2:14" ht="13.5" thickBot="1">
      <c r="B11" s="125"/>
      <c r="C11" s="136" t="s">
        <v>29</v>
      </c>
      <c r="D11" s="137"/>
      <c r="E11" s="138" t="s">
        <v>262</v>
      </c>
      <c r="F11" s="139"/>
      <c r="G11" s="126"/>
      <c r="J11" s="45">
        <v>28</v>
      </c>
      <c r="K11" s="45">
        <v>48</v>
      </c>
      <c r="M11" s="45">
        <v>0</v>
      </c>
      <c r="N11" s="45">
        <v>5</v>
      </c>
    </row>
    <row r="12" spans="2:14">
      <c r="B12" s="125"/>
      <c r="G12" s="126"/>
      <c r="J12" s="45">
        <v>31</v>
      </c>
      <c r="K12" s="45">
        <v>10</v>
      </c>
      <c r="M12" s="45">
        <v>5</v>
      </c>
      <c r="N12" s="45">
        <v>6</v>
      </c>
    </row>
    <row r="13" spans="2:14">
      <c r="B13" s="125"/>
      <c r="C13" s="45" t="s">
        <v>5</v>
      </c>
      <c r="G13" s="126"/>
      <c r="J13" s="45">
        <f>SUM(J7:J12)</f>
        <v>177</v>
      </c>
      <c r="K13" s="45">
        <f>SUM(K7:K12)</f>
        <v>204</v>
      </c>
      <c r="M13" s="45">
        <v>0</v>
      </c>
      <c r="N13" s="45">
        <v>7</v>
      </c>
    </row>
    <row r="14" spans="2:14">
      <c r="B14" s="125"/>
      <c r="G14" s="126"/>
      <c r="M14" s="45">
        <v>0</v>
      </c>
      <c r="N14" s="45">
        <v>8</v>
      </c>
    </row>
    <row r="15" spans="2:14">
      <c r="B15" s="59">
        <v>1</v>
      </c>
      <c r="C15" s="45" t="s">
        <v>155</v>
      </c>
      <c r="G15" s="126"/>
      <c r="M15" s="45">
        <v>4</v>
      </c>
      <c r="N15" s="45">
        <v>9</v>
      </c>
    </row>
    <row r="16" spans="2:14">
      <c r="B16" s="59">
        <v>2</v>
      </c>
      <c r="C16" s="45" t="s">
        <v>181</v>
      </c>
      <c r="G16" s="126"/>
      <c r="M16" s="45">
        <v>0</v>
      </c>
      <c r="N16" s="45">
        <v>10</v>
      </c>
    </row>
    <row r="17" spans="2:14">
      <c r="B17" s="59">
        <v>3</v>
      </c>
      <c r="C17" s="45" t="s">
        <v>189</v>
      </c>
      <c r="G17" s="126"/>
      <c r="M17" s="45">
        <v>4</v>
      </c>
      <c r="N17" s="45">
        <v>11</v>
      </c>
    </row>
    <row r="18" spans="2:14">
      <c r="B18" s="59">
        <v>4</v>
      </c>
      <c r="C18" s="45" t="s">
        <v>9</v>
      </c>
      <c r="G18" s="126"/>
      <c r="M18" s="45">
        <v>4</v>
      </c>
      <c r="N18" s="45">
        <v>12</v>
      </c>
    </row>
    <row r="19" spans="2:14">
      <c r="B19" s="59">
        <v>5</v>
      </c>
      <c r="C19" s="45" t="s">
        <v>12</v>
      </c>
      <c r="G19" s="126"/>
      <c r="M19" s="45">
        <v>1</v>
      </c>
      <c r="N19" s="45">
        <v>13</v>
      </c>
    </row>
    <row r="20" spans="2:14">
      <c r="B20" s="59">
        <v>6</v>
      </c>
      <c r="C20" s="45" t="s">
        <v>167</v>
      </c>
      <c r="G20" s="126"/>
      <c r="M20" s="45">
        <f>SUM(M7:M19)</f>
        <v>27</v>
      </c>
    </row>
    <row r="21" spans="2:14">
      <c r="B21" s="59">
        <v>7</v>
      </c>
      <c r="C21" s="45" t="s">
        <v>75</v>
      </c>
      <c r="G21" s="126"/>
      <c r="M21" s="45">
        <v>29</v>
      </c>
    </row>
    <row r="22" spans="2:14">
      <c r="B22" s="59">
        <v>8</v>
      </c>
      <c r="C22" s="45" t="s">
        <v>33</v>
      </c>
      <c r="G22" s="126"/>
      <c r="M22" s="45">
        <f>+M21+M20</f>
        <v>56</v>
      </c>
    </row>
    <row r="23" spans="2:14">
      <c r="B23" s="59">
        <v>9</v>
      </c>
      <c r="C23" s="45" t="s">
        <v>14</v>
      </c>
      <c r="G23" s="126"/>
    </row>
    <row r="24" spans="2:14">
      <c r="B24" s="59">
        <v>10</v>
      </c>
      <c r="C24" s="45" t="s">
        <v>608</v>
      </c>
      <c r="G24" s="126"/>
    </row>
    <row r="25" spans="2:14">
      <c r="B25" s="59">
        <v>11</v>
      </c>
      <c r="C25" s="45" t="s">
        <v>42</v>
      </c>
      <c r="G25" s="126"/>
    </row>
    <row r="26" spans="2:14">
      <c r="B26" s="59">
        <v>12</v>
      </c>
      <c r="C26" s="45" t="s">
        <v>190</v>
      </c>
      <c r="G26" s="126"/>
    </row>
    <row r="27" spans="2:14">
      <c r="B27" s="59">
        <v>13</v>
      </c>
      <c r="C27" s="45" t="s">
        <v>19</v>
      </c>
      <c r="G27" s="126"/>
    </row>
    <row r="28" spans="2:14">
      <c r="B28" s="59">
        <v>14</v>
      </c>
      <c r="C28" s="45" t="s">
        <v>144</v>
      </c>
      <c r="G28" s="126"/>
    </row>
    <row r="29" spans="2:14">
      <c r="B29" s="59">
        <v>15</v>
      </c>
      <c r="C29" s="45" t="s">
        <v>20</v>
      </c>
      <c r="G29" s="126"/>
    </row>
    <row r="30" spans="2:14">
      <c r="B30" s="125"/>
      <c r="G30" s="126"/>
    </row>
    <row r="31" spans="2:14">
      <c r="B31" s="125"/>
      <c r="C31" s="45" t="s">
        <v>705</v>
      </c>
      <c r="G31" s="126"/>
    </row>
    <row r="32" spans="2:14">
      <c r="B32" s="125"/>
      <c r="C32" s="45" t="s">
        <v>706</v>
      </c>
      <c r="G32" s="126"/>
    </row>
    <row r="33" spans="2:7">
      <c r="B33" s="125"/>
      <c r="C33" s="45" t="s">
        <v>707</v>
      </c>
      <c r="G33" s="126"/>
    </row>
    <row r="34" spans="2:7">
      <c r="B34" s="125"/>
      <c r="C34" s="45" t="s">
        <v>708</v>
      </c>
      <c r="G34" s="126"/>
    </row>
    <row r="35" spans="2:7">
      <c r="B35" s="125"/>
      <c r="C35" s="45" t="s">
        <v>709</v>
      </c>
      <c r="G35" s="126"/>
    </row>
    <row r="36" spans="2:7">
      <c r="B36" s="125"/>
      <c r="G36" s="126"/>
    </row>
    <row r="37" spans="2:7">
      <c r="B37" s="125"/>
      <c r="C37" s="124" t="s">
        <v>21</v>
      </c>
      <c r="G37" s="126"/>
    </row>
    <row r="38" spans="2:7">
      <c r="B38" s="125" t="s">
        <v>336</v>
      </c>
      <c r="C38" s="45" t="s">
        <v>190</v>
      </c>
      <c r="G38" s="126"/>
    </row>
    <row r="39" spans="2:7">
      <c r="B39" s="125" t="s">
        <v>336</v>
      </c>
      <c r="C39" s="45" t="s">
        <v>9</v>
      </c>
      <c r="G39" s="126"/>
    </row>
    <row r="40" spans="2:7">
      <c r="B40" s="125" t="s">
        <v>336</v>
      </c>
      <c r="C40" s="45" t="s">
        <v>12</v>
      </c>
      <c r="G40" s="126"/>
    </row>
    <row r="41" spans="2:7">
      <c r="B41" s="125" t="s">
        <v>336</v>
      </c>
      <c r="C41" s="45" t="s">
        <v>167</v>
      </c>
      <c r="G41" s="126"/>
    </row>
    <row r="42" spans="2:7">
      <c r="B42" s="125" t="s">
        <v>336</v>
      </c>
      <c r="C42" s="45" t="s">
        <v>19</v>
      </c>
      <c r="G42" s="126"/>
    </row>
    <row r="43" spans="2:7">
      <c r="B43" s="125" t="s">
        <v>336</v>
      </c>
      <c r="C43" s="45" t="s">
        <v>33</v>
      </c>
      <c r="G43" s="126"/>
    </row>
    <row r="44" spans="2:7">
      <c r="B44" s="125"/>
      <c r="G44" s="126"/>
    </row>
    <row r="45" spans="2:7">
      <c r="B45" s="125"/>
      <c r="C45" s="44" t="s">
        <v>337</v>
      </c>
      <c r="G45" s="126"/>
    </row>
    <row r="46" spans="2:7">
      <c r="B46" s="125" t="s">
        <v>336</v>
      </c>
      <c r="C46" s="45" t="s">
        <v>190</v>
      </c>
      <c r="G46" s="126"/>
    </row>
    <row r="47" spans="2:7">
      <c r="B47" s="125"/>
      <c r="G47" s="126"/>
    </row>
    <row r="48" spans="2:7">
      <c r="B48" s="125"/>
      <c r="C48" s="44" t="s">
        <v>23</v>
      </c>
      <c r="G48" s="126"/>
    </row>
    <row r="49" spans="2:7">
      <c r="B49" s="125" t="s">
        <v>336</v>
      </c>
      <c r="C49" s="112" t="s">
        <v>155</v>
      </c>
      <c r="G49" s="126"/>
    </row>
    <row r="50" spans="2:7" ht="13.5" thickBot="1">
      <c r="B50" s="140"/>
      <c r="C50" s="131"/>
      <c r="D50" s="131"/>
      <c r="E50" s="141"/>
      <c r="F50" s="131"/>
      <c r="G50" s="135"/>
    </row>
    <row r="52" spans="2:7" ht="13.5" thickBot="1"/>
    <row r="53" spans="2:7" ht="13.5" thickBot="1">
      <c r="B53" s="239" t="s">
        <v>710</v>
      </c>
      <c r="C53" s="240"/>
      <c r="D53" s="240"/>
      <c r="E53" s="240"/>
      <c r="F53" s="240"/>
      <c r="G53" s="241"/>
    </row>
    <row r="54" spans="2:7" ht="13.5" thickBot="1">
      <c r="B54" s="125"/>
      <c r="G54" s="126"/>
    </row>
    <row r="55" spans="2:7">
      <c r="B55" s="125"/>
      <c r="C55" s="127" t="s">
        <v>27</v>
      </c>
      <c r="D55" s="128"/>
      <c r="E55" s="128" t="s">
        <v>118</v>
      </c>
      <c r="F55" s="129">
        <v>45</v>
      </c>
      <c r="G55" s="126"/>
    </row>
    <row r="56" spans="2:7" ht="13.5" thickBot="1">
      <c r="B56" s="125"/>
      <c r="C56" s="130"/>
      <c r="D56" s="131"/>
      <c r="E56" s="131" t="s">
        <v>1</v>
      </c>
      <c r="F56" s="132">
        <v>19</v>
      </c>
      <c r="G56" s="126"/>
    </row>
    <row r="57" spans="2:7" ht="13.5" thickBot="1">
      <c r="B57" s="125"/>
      <c r="G57" s="126"/>
    </row>
    <row r="58" spans="2:7">
      <c r="B58" s="125"/>
      <c r="C58" s="127" t="s">
        <v>4</v>
      </c>
      <c r="D58" s="128"/>
      <c r="E58" s="128" t="s">
        <v>118</v>
      </c>
      <c r="F58" s="133"/>
      <c r="G58" s="126"/>
    </row>
    <row r="59" spans="2:7">
      <c r="B59" s="125"/>
      <c r="C59" s="59" t="s">
        <v>2</v>
      </c>
      <c r="E59" s="45" t="s">
        <v>404</v>
      </c>
      <c r="F59" s="126"/>
      <c r="G59" s="126"/>
    </row>
    <row r="60" spans="2:7" ht="13.5" thickBot="1">
      <c r="B60" s="125"/>
      <c r="C60" s="130" t="s">
        <v>3</v>
      </c>
      <c r="D60" s="131"/>
      <c r="E60" s="134" t="s">
        <v>354</v>
      </c>
      <c r="F60" s="135"/>
      <c r="G60" s="126"/>
    </row>
    <row r="61" spans="2:7" ht="13.5" thickBot="1">
      <c r="B61" s="125"/>
      <c r="G61" s="126"/>
    </row>
    <row r="62" spans="2:7" ht="13.5" thickBot="1">
      <c r="B62" s="125"/>
      <c r="C62" s="136" t="s">
        <v>29</v>
      </c>
      <c r="D62" s="137"/>
      <c r="E62" s="138" t="s">
        <v>310</v>
      </c>
      <c r="F62" s="139"/>
      <c r="G62" s="126"/>
    </row>
    <row r="63" spans="2:7">
      <c r="B63" s="125"/>
      <c r="G63" s="126"/>
    </row>
    <row r="64" spans="2:7">
      <c r="B64" s="125"/>
      <c r="C64" s="45" t="s">
        <v>5</v>
      </c>
      <c r="G64" s="126"/>
    </row>
    <row r="65" spans="2:7">
      <c r="B65" s="125"/>
      <c r="G65" s="126"/>
    </row>
    <row r="66" spans="2:7">
      <c r="B66" s="59">
        <v>1</v>
      </c>
      <c r="C66" s="45" t="s">
        <v>155</v>
      </c>
      <c r="G66" s="126"/>
    </row>
    <row r="67" spans="2:7">
      <c r="B67" s="59">
        <v>2</v>
      </c>
      <c r="C67" s="45" t="s">
        <v>181</v>
      </c>
      <c r="G67" s="126"/>
    </row>
    <row r="68" spans="2:7">
      <c r="B68" s="59">
        <v>3</v>
      </c>
      <c r="C68" s="45" t="s">
        <v>189</v>
      </c>
      <c r="G68" s="126"/>
    </row>
    <row r="69" spans="2:7">
      <c r="B69" s="59">
        <v>4</v>
      </c>
      <c r="C69" s="45" t="s">
        <v>9</v>
      </c>
      <c r="G69" s="126"/>
    </row>
    <row r="70" spans="2:7">
      <c r="B70" s="59">
        <v>5</v>
      </c>
      <c r="C70" s="45" t="s">
        <v>12</v>
      </c>
      <c r="G70" s="126"/>
    </row>
    <row r="71" spans="2:7">
      <c r="B71" s="59">
        <v>6</v>
      </c>
      <c r="C71" s="45" t="s">
        <v>167</v>
      </c>
      <c r="G71" s="126"/>
    </row>
    <row r="72" spans="2:7">
      <c r="B72" s="59">
        <v>7</v>
      </c>
      <c r="C72" s="45" t="s">
        <v>75</v>
      </c>
      <c r="G72" s="126"/>
    </row>
    <row r="73" spans="2:7">
      <c r="B73" s="59">
        <v>8</v>
      </c>
      <c r="C73" s="45" t="s">
        <v>33</v>
      </c>
      <c r="G73" s="126"/>
    </row>
    <row r="74" spans="2:7">
      <c r="B74" s="59">
        <v>9</v>
      </c>
      <c r="C74" s="45" t="s">
        <v>14</v>
      </c>
      <c r="G74" s="126"/>
    </row>
    <row r="75" spans="2:7">
      <c r="B75" s="59">
        <v>10</v>
      </c>
      <c r="C75" s="45" t="s">
        <v>607</v>
      </c>
      <c r="G75" s="126"/>
    </row>
    <row r="76" spans="2:7">
      <c r="B76" s="59">
        <v>11</v>
      </c>
      <c r="C76" s="45" t="s">
        <v>42</v>
      </c>
      <c r="G76" s="126"/>
    </row>
    <row r="77" spans="2:7">
      <c r="B77" s="59">
        <v>12</v>
      </c>
      <c r="C77" s="45" t="s">
        <v>608</v>
      </c>
      <c r="G77" s="126"/>
    </row>
    <row r="78" spans="2:7">
      <c r="B78" s="59">
        <v>13</v>
      </c>
      <c r="C78" s="45" t="s">
        <v>19</v>
      </c>
      <c r="G78" s="126"/>
    </row>
    <row r="79" spans="2:7">
      <c r="B79" s="59">
        <v>14</v>
      </c>
      <c r="C79" s="45" t="s">
        <v>144</v>
      </c>
      <c r="G79" s="126"/>
    </row>
    <row r="80" spans="2:7">
      <c r="B80" s="59">
        <v>15</v>
      </c>
      <c r="C80" s="45" t="s">
        <v>190</v>
      </c>
      <c r="G80" s="126"/>
    </row>
    <row r="81" spans="2:7">
      <c r="B81" s="125"/>
      <c r="G81" s="126"/>
    </row>
    <row r="82" spans="2:7">
      <c r="B82" s="125"/>
      <c r="C82" s="45" t="s">
        <v>705</v>
      </c>
      <c r="G82" s="126"/>
    </row>
    <row r="83" spans="2:7">
      <c r="B83" s="125"/>
      <c r="C83" s="45" t="s">
        <v>711</v>
      </c>
      <c r="G83" s="126"/>
    </row>
    <row r="84" spans="2:7">
      <c r="B84" s="125"/>
      <c r="C84" s="45" t="s">
        <v>707</v>
      </c>
      <c r="G84" s="126"/>
    </row>
    <row r="85" spans="2:7">
      <c r="B85" s="125"/>
      <c r="C85" s="45" t="s">
        <v>708</v>
      </c>
      <c r="G85" s="126"/>
    </row>
    <row r="86" spans="2:7">
      <c r="B86" s="125"/>
      <c r="C86" s="45" t="s">
        <v>712</v>
      </c>
      <c r="G86" s="126"/>
    </row>
    <row r="87" spans="2:7">
      <c r="B87" s="125"/>
      <c r="G87" s="126"/>
    </row>
    <row r="88" spans="2:7">
      <c r="B88" s="125"/>
      <c r="C88" s="124" t="s">
        <v>21</v>
      </c>
      <c r="G88" s="126"/>
    </row>
    <row r="89" spans="2:7">
      <c r="B89" s="125" t="s">
        <v>352</v>
      </c>
      <c r="C89" s="45" t="s">
        <v>14</v>
      </c>
      <c r="G89" s="126"/>
    </row>
    <row r="90" spans="2:7">
      <c r="B90" s="125" t="s">
        <v>336</v>
      </c>
      <c r="C90" s="45" t="s">
        <v>146</v>
      </c>
      <c r="G90" s="126"/>
    </row>
    <row r="91" spans="2:7">
      <c r="B91" s="125"/>
      <c r="G91" s="126"/>
    </row>
    <row r="92" spans="2:7">
      <c r="B92" s="125"/>
      <c r="C92" s="44" t="s">
        <v>337</v>
      </c>
      <c r="G92" s="126"/>
    </row>
    <row r="93" spans="2:7">
      <c r="B93" s="125" t="s">
        <v>352</v>
      </c>
      <c r="C93" s="45" t="s">
        <v>607</v>
      </c>
      <c r="G93" s="126"/>
    </row>
    <row r="94" spans="2:7">
      <c r="B94" s="125"/>
      <c r="G94" s="126"/>
    </row>
    <row r="95" spans="2:7">
      <c r="B95" s="125"/>
      <c r="C95" s="44" t="s">
        <v>23</v>
      </c>
      <c r="G95" s="126"/>
    </row>
    <row r="96" spans="2:7">
      <c r="B96" s="125" t="s">
        <v>336</v>
      </c>
      <c r="C96" s="112" t="s">
        <v>53</v>
      </c>
      <c r="G96" s="126"/>
    </row>
    <row r="97" spans="2:7" ht="13.5" thickBot="1">
      <c r="B97" s="140"/>
      <c r="C97" s="131"/>
      <c r="D97" s="131"/>
      <c r="E97" s="141"/>
      <c r="F97" s="131"/>
      <c r="G97" s="135"/>
    </row>
    <row r="99" spans="2:7" ht="13.5" thickBot="1"/>
    <row r="100" spans="2:7" ht="13.5" thickBot="1">
      <c r="B100" s="239" t="s">
        <v>713</v>
      </c>
      <c r="C100" s="240"/>
      <c r="D100" s="240"/>
      <c r="E100" s="240"/>
      <c r="F100" s="240"/>
      <c r="G100" s="241"/>
    </row>
    <row r="101" spans="2:7" ht="13.5" thickBot="1">
      <c r="B101" s="125"/>
      <c r="G101" s="126"/>
    </row>
    <row r="102" spans="2:7">
      <c r="B102" s="125"/>
      <c r="C102" s="127" t="s">
        <v>27</v>
      </c>
      <c r="D102" s="128"/>
      <c r="E102" s="128" t="s">
        <v>1</v>
      </c>
      <c r="F102" s="129">
        <v>19</v>
      </c>
      <c r="G102" s="126"/>
    </row>
    <row r="103" spans="2:7" ht="13.5" thickBot="1">
      <c r="B103" s="125"/>
      <c r="C103" s="130"/>
      <c r="D103" s="131"/>
      <c r="E103" s="131" t="s">
        <v>74</v>
      </c>
      <c r="F103" s="132">
        <v>59</v>
      </c>
      <c r="G103" s="126"/>
    </row>
    <row r="104" spans="2:7" ht="13.5" thickBot="1">
      <c r="B104" s="125"/>
      <c r="G104" s="126"/>
    </row>
    <row r="105" spans="2:7">
      <c r="B105" s="125"/>
      <c r="C105" s="127" t="s">
        <v>4</v>
      </c>
      <c r="D105" s="128"/>
      <c r="E105" s="128" t="s">
        <v>1</v>
      </c>
      <c r="F105" s="133" t="s">
        <v>205</v>
      </c>
      <c r="G105" s="126"/>
    </row>
    <row r="106" spans="2:7">
      <c r="B106" s="125"/>
      <c r="C106" s="59" t="s">
        <v>2</v>
      </c>
      <c r="E106" s="45" t="s">
        <v>326</v>
      </c>
      <c r="F106" s="126"/>
      <c r="G106" s="126"/>
    </row>
    <row r="107" spans="2:7" ht="13.5" thickBot="1">
      <c r="B107" s="125"/>
      <c r="C107" s="130" t="s">
        <v>3</v>
      </c>
      <c r="D107" s="131"/>
      <c r="E107" s="134" t="s">
        <v>326</v>
      </c>
      <c r="F107" s="135"/>
      <c r="G107" s="126"/>
    </row>
    <row r="108" spans="2:7" ht="13.5" thickBot="1">
      <c r="B108" s="125"/>
      <c r="G108" s="126"/>
    </row>
    <row r="109" spans="2:7" ht="13.5" thickBot="1">
      <c r="B109" s="125"/>
      <c r="C109" s="136" t="s">
        <v>29</v>
      </c>
      <c r="D109" s="137"/>
      <c r="E109" s="138" t="s">
        <v>313</v>
      </c>
      <c r="F109" s="139"/>
      <c r="G109" s="126"/>
    </row>
    <row r="110" spans="2:7">
      <c r="B110" s="125"/>
      <c r="G110" s="126"/>
    </row>
    <row r="111" spans="2:7">
      <c r="B111" s="125"/>
      <c r="C111" s="45" t="s">
        <v>5</v>
      </c>
      <c r="G111" s="126"/>
    </row>
    <row r="112" spans="2:7">
      <c r="B112" s="125"/>
      <c r="G112" s="126"/>
    </row>
    <row r="113" spans="2:7">
      <c r="B113" s="59">
        <v>1</v>
      </c>
      <c r="C113" s="45" t="s">
        <v>182</v>
      </c>
      <c r="G113" s="126"/>
    </row>
    <row r="114" spans="2:7">
      <c r="B114" s="59">
        <v>2</v>
      </c>
      <c r="C114" s="45" t="s">
        <v>181</v>
      </c>
      <c r="G114" s="126"/>
    </row>
    <row r="115" spans="2:7">
      <c r="B115" s="59">
        <v>3</v>
      </c>
      <c r="C115" s="45" t="s">
        <v>189</v>
      </c>
      <c r="G115" s="126"/>
    </row>
    <row r="116" spans="2:7">
      <c r="B116" s="59">
        <v>4</v>
      </c>
      <c r="C116" s="45" t="s">
        <v>167</v>
      </c>
      <c r="G116" s="126"/>
    </row>
    <row r="117" spans="2:7">
      <c r="B117" s="59">
        <v>5</v>
      </c>
      <c r="C117" s="45" t="s">
        <v>12</v>
      </c>
      <c r="G117" s="126"/>
    </row>
    <row r="118" spans="2:7">
      <c r="B118" s="59">
        <v>6</v>
      </c>
      <c r="C118" s="45" t="s">
        <v>146</v>
      </c>
      <c r="G118" s="126"/>
    </row>
    <row r="119" spans="2:7">
      <c r="B119" s="59">
        <v>7</v>
      </c>
      <c r="C119" s="45" t="s">
        <v>75</v>
      </c>
      <c r="G119" s="126"/>
    </row>
    <row r="120" spans="2:7">
      <c r="B120" s="59">
        <v>8</v>
      </c>
      <c r="C120" s="45" t="s">
        <v>33</v>
      </c>
      <c r="G120" s="126"/>
    </row>
    <row r="121" spans="2:7">
      <c r="B121" s="59">
        <v>9</v>
      </c>
      <c r="C121" s="45" t="s">
        <v>608</v>
      </c>
      <c r="G121" s="126"/>
    </row>
    <row r="122" spans="2:7">
      <c r="B122" s="59">
        <v>10</v>
      </c>
      <c r="C122" s="45" t="s">
        <v>607</v>
      </c>
      <c r="G122" s="126"/>
    </row>
    <row r="123" spans="2:7">
      <c r="B123" s="59">
        <v>11</v>
      </c>
      <c r="C123" s="45" t="s">
        <v>183</v>
      </c>
      <c r="G123" s="126"/>
    </row>
    <row r="124" spans="2:7">
      <c r="B124" s="59">
        <v>12</v>
      </c>
      <c r="C124" s="45" t="s">
        <v>190</v>
      </c>
      <c r="G124" s="126"/>
    </row>
    <row r="125" spans="2:7">
      <c r="B125" s="59">
        <v>13</v>
      </c>
      <c r="C125" s="45" t="s">
        <v>19</v>
      </c>
      <c r="G125" s="126"/>
    </row>
    <row r="126" spans="2:7">
      <c r="B126" s="59">
        <v>14</v>
      </c>
      <c r="C126" s="45" t="s">
        <v>42</v>
      </c>
      <c r="G126" s="126"/>
    </row>
    <row r="127" spans="2:7">
      <c r="B127" s="59">
        <v>15</v>
      </c>
      <c r="C127" s="45" t="s">
        <v>144</v>
      </c>
      <c r="G127" s="126"/>
    </row>
    <row r="128" spans="2:7">
      <c r="B128" s="125"/>
      <c r="G128" s="126"/>
    </row>
    <row r="129" spans="2:7">
      <c r="B129" s="125"/>
      <c r="C129" s="45" t="s">
        <v>714</v>
      </c>
      <c r="G129" s="126"/>
    </row>
    <row r="130" spans="2:7">
      <c r="B130" s="125"/>
      <c r="C130" s="45" t="s">
        <v>715</v>
      </c>
      <c r="G130" s="126"/>
    </row>
    <row r="131" spans="2:7">
      <c r="B131" s="125"/>
      <c r="C131" s="45" t="s">
        <v>716</v>
      </c>
      <c r="G131" s="126"/>
    </row>
    <row r="132" spans="2:7">
      <c r="B132" s="125"/>
      <c r="C132" s="45" t="s">
        <v>717</v>
      </c>
      <c r="G132" s="126"/>
    </row>
    <row r="133" spans="2:7">
      <c r="B133" s="125"/>
      <c r="C133" s="45" t="s">
        <v>718</v>
      </c>
      <c r="G133" s="126"/>
    </row>
    <row r="134" spans="2:7">
      <c r="B134" s="125"/>
      <c r="G134" s="126"/>
    </row>
    <row r="135" spans="2:7">
      <c r="B135" s="125"/>
      <c r="C135" s="124" t="s">
        <v>21</v>
      </c>
      <c r="G135" s="126"/>
    </row>
    <row r="136" spans="2:7">
      <c r="B136" s="125" t="s">
        <v>352</v>
      </c>
      <c r="C136" s="45" t="s">
        <v>190</v>
      </c>
      <c r="G136" s="126"/>
    </row>
    <row r="137" spans="2:7">
      <c r="B137" s="125" t="s">
        <v>336</v>
      </c>
      <c r="C137" s="45" t="s">
        <v>11</v>
      </c>
      <c r="G137" s="126"/>
    </row>
    <row r="138" spans="2:7">
      <c r="B138" s="125"/>
      <c r="G138" s="126"/>
    </row>
    <row r="139" spans="2:7">
      <c r="B139" s="125"/>
      <c r="C139" s="44" t="s">
        <v>337</v>
      </c>
      <c r="G139" s="126"/>
    </row>
    <row r="140" spans="2:7">
      <c r="B140" s="125" t="s">
        <v>336</v>
      </c>
      <c r="C140" s="45" t="s">
        <v>607</v>
      </c>
      <c r="G140" s="126"/>
    </row>
    <row r="141" spans="2:7">
      <c r="B141" s="125" t="s">
        <v>336</v>
      </c>
      <c r="C141" s="45" t="s">
        <v>190</v>
      </c>
      <c r="G141" s="126"/>
    </row>
    <row r="142" spans="2:7">
      <c r="B142" s="125"/>
      <c r="G142" s="126"/>
    </row>
    <row r="143" spans="2:7">
      <c r="B143" s="125"/>
      <c r="C143" s="44" t="s">
        <v>23</v>
      </c>
      <c r="G143" s="126"/>
    </row>
    <row r="144" spans="2:7">
      <c r="B144" s="125"/>
      <c r="C144" s="112" t="s">
        <v>339</v>
      </c>
      <c r="G144" s="126"/>
    </row>
    <row r="145" spans="2:7" ht="13.5" thickBot="1">
      <c r="B145" s="140"/>
      <c r="C145" s="131"/>
      <c r="D145" s="131"/>
      <c r="E145" s="141"/>
      <c r="F145" s="131"/>
      <c r="G145" s="135"/>
    </row>
    <row r="147" spans="2:7" ht="13.5" thickBot="1"/>
    <row r="148" spans="2:7" ht="13.5" thickBot="1">
      <c r="B148" s="239" t="s">
        <v>719</v>
      </c>
      <c r="C148" s="240"/>
      <c r="D148" s="240"/>
      <c r="E148" s="240"/>
      <c r="F148" s="240"/>
      <c r="G148" s="241"/>
    </row>
    <row r="149" spans="2:7" ht="13.5" thickBot="1">
      <c r="B149" s="125"/>
      <c r="G149" s="126"/>
    </row>
    <row r="150" spans="2:7">
      <c r="B150" s="125"/>
      <c r="C150" s="127" t="s">
        <v>27</v>
      </c>
      <c r="D150" s="128"/>
      <c r="E150" s="128" t="s">
        <v>64</v>
      </c>
      <c r="F150" s="129">
        <v>27</v>
      </c>
      <c r="G150" s="126"/>
    </row>
    <row r="151" spans="2:7" ht="13.5" thickBot="1">
      <c r="B151" s="125"/>
      <c r="C151" s="130"/>
      <c r="D151" s="131"/>
      <c r="E151" s="131" t="s">
        <v>1</v>
      </c>
      <c r="F151" s="132">
        <v>48</v>
      </c>
      <c r="G151" s="126"/>
    </row>
    <row r="152" spans="2:7" ht="13.5" thickBot="1">
      <c r="B152" s="125"/>
      <c r="G152" s="126"/>
    </row>
    <row r="153" spans="2:7">
      <c r="B153" s="125"/>
      <c r="C153" s="127" t="s">
        <v>4</v>
      </c>
      <c r="D153" s="128"/>
      <c r="E153" s="128" t="s">
        <v>64</v>
      </c>
      <c r="F153" s="133" t="s">
        <v>569</v>
      </c>
      <c r="G153" s="126"/>
    </row>
    <row r="154" spans="2:7">
      <c r="B154" s="125"/>
      <c r="C154" s="59" t="s">
        <v>2</v>
      </c>
      <c r="E154" s="45" t="s">
        <v>326</v>
      </c>
      <c r="F154" s="126"/>
      <c r="G154" s="126"/>
    </row>
    <row r="155" spans="2:7" ht="13.5" thickBot="1">
      <c r="B155" s="125"/>
      <c r="C155" s="130" t="s">
        <v>3</v>
      </c>
      <c r="D155" s="131"/>
      <c r="E155" s="134" t="s">
        <v>344</v>
      </c>
      <c r="F155" s="135"/>
      <c r="G155" s="126"/>
    </row>
    <row r="156" spans="2:7" ht="13.5" thickBot="1">
      <c r="B156" s="125"/>
      <c r="G156" s="126"/>
    </row>
    <row r="157" spans="2:7" ht="13.5" thickBot="1">
      <c r="B157" s="125"/>
      <c r="C157" s="136" t="s">
        <v>29</v>
      </c>
      <c r="D157" s="137"/>
      <c r="E157" s="138" t="s">
        <v>302</v>
      </c>
      <c r="F157" s="139"/>
      <c r="G157" s="126"/>
    </row>
    <row r="158" spans="2:7">
      <c r="B158" s="125"/>
      <c r="G158" s="126"/>
    </row>
    <row r="159" spans="2:7">
      <c r="B159" s="125"/>
      <c r="C159" s="45" t="s">
        <v>5</v>
      </c>
      <c r="G159" s="126"/>
    </row>
    <row r="160" spans="2:7">
      <c r="B160" s="125"/>
      <c r="G160" s="126"/>
    </row>
    <row r="161" spans="2:7">
      <c r="B161" s="59">
        <v>1</v>
      </c>
      <c r="C161" s="45" t="s">
        <v>182</v>
      </c>
      <c r="G161" s="126"/>
    </row>
    <row r="162" spans="2:7">
      <c r="B162" s="59">
        <v>2</v>
      </c>
      <c r="C162" s="45" t="s">
        <v>181</v>
      </c>
      <c r="G162" s="126"/>
    </row>
    <row r="163" spans="2:7">
      <c r="B163" s="59">
        <v>3</v>
      </c>
      <c r="C163" s="45" t="s">
        <v>189</v>
      </c>
      <c r="G163" s="126"/>
    </row>
    <row r="164" spans="2:7">
      <c r="B164" s="59">
        <v>4</v>
      </c>
      <c r="C164" s="45" t="s">
        <v>9</v>
      </c>
      <c r="G164" s="126"/>
    </row>
    <row r="165" spans="2:7">
      <c r="B165" s="59">
        <v>5</v>
      </c>
      <c r="C165" s="45" t="s">
        <v>12</v>
      </c>
      <c r="G165" s="126"/>
    </row>
    <row r="166" spans="2:7">
      <c r="B166" s="59">
        <v>6</v>
      </c>
      <c r="C166" s="45" t="s">
        <v>146</v>
      </c>
      <c r="G166" s="126"/>
    </row>
    <row r="167" spans="2:7">
      <c r="B167" s="59">
        <v>7</v>
      </c>
      <c r="C167" s="45" t="s">
        <v>75</v>
      </c>
      <c r="G167" s="126"/>
    </row>
    <row r="168" spans="2:7">
      <c r="B168" s="59">
        <v>8</v>
      </c>
      <c r="C168" s="45" t="s">
        <v>33</v>
      </c>
      <c r="G168" s="126"/>
    </row>
    <row r="169" spans="2:7">
      <c r="B169" s="59">
        <v>9</v>
      </c>
      <c r="C169" s="45" t="s">
        <v>139</v>
      </c>
      <c r="G169" s="126"/>
    </row>
    <row r="170" spans="2:7">
      <c r="B170" s="59">
        <v>10</v>
      </c>
      <c r="C170" s="45" t="s">
        <v>607</v>
      </c>
      <c r="G170" s="126"/>
    </row>
    <row r="171" spans="2:7">
      <c r="B171" s="59">
        <v>11</v>
      </c>
      <c r="C171" s="45" t="s">
        <v>190</v>
      </c>
      <c r="G171" s="126"/>
    </row>
    <row r="172" spans="2:7">
      <c r="B172" s="59">
        <v>12</v>
      </c>
      <c r="C172" s="45" t="s">
        <v>608</v>
      </c>
      <c r="G172" s="126"/>
    </row>
    <row r="173" spans="2:7">
      <c r="B173" s="59">
        <v>13</v>
      </c>
      <c r="C173" s="45" t="s">
        <v>19</v>
      </c>
      <c r="G173" s="126"/>
    </row>
    <row r="174" spans="2:7">
      <c r="B174" s="59">
        <v>14</v>
      </c>
      <c r="C174" s="45" t="s">
        <v>144</v>
      </c>
      <c r="G174" s="126"/>
    </row>
    <row r="175" spans="2:7">
      <c r="B175" s="59">
        <v>15</v>
      </c>
      <c r="C175" s="45" t="s">
        <v>20</v>
      </c>
      <c r="G175" s="126"/>
    </row>
    <row r="176" spans="2:7">
      <c r="B176" s="125"/>
      <c r="G176" s="126"/>
    </row>
    <row r="177" spans="2:9">
      <c r="B177" s="125"/>
      <c r="C177" s="45" t="s">
        <v>720</v>
      </c>
      <c r="G177" s="126"/>
    </row>
    <row r="178" spans="2:9">
      <c r="B178" s="125"/>
      <c r="C178" s="45" t="s">
        <v>721</v>
      </c>
      <c r="G178" s="126"/>
    </row>
    <row r="179" spans="2:9">
      <c r="B179" s="125"/>
      <c r="C179" s="45" t="s">
        <v>722</v>
      </c>
      <c r="G179" s="126"/>
    </row>
    <row r="180" spans="2:9">
      <c r="B180" s="125"/>
      <c r="G180" s="126"/>
    </row>
    <row r="181" spans="2:9">
      <c r="B181" s="125"/>
      <c r="C181" s="124" t="s">
        <v>21</v>
      </c>
      <c r="G181" s="126"/>
    </row>
    <row r="182" spans="2:9">
      <c r="B182" s="125" t="s">
        <v>336</v>
      </c>
      <c r="C182" s="45" t="s">
        <v>190</v>
      </c>
      <c r="G182" s="126"/>
    </row>
    <row r="183" spans="2:9">
      <c r="B183" s="125" t="s">
        <v>336</v>
      </c>
      <c r="C183" s="45" t="s">
        <v>146</v>
      </c>
      <c r="G183" s="126"/>
    </row>
    <row r="184" spans="2:9">
      <c r="B184" s="125" t="s">
        <v>336</v>
      </c>
      <c r="C184" s="45" t="s">
        <v>12</v>
      </c>
      <c r="G184" s="126"/>
    </row>
    <row r="185" spans="2:9">
      <c r="B185" s="125" t="s">
        <v>336</v>
      </c>
      <c r="C185" s="45" t="s">
        <v>33</v>
      </c>
      <c r="G185" s="126"/>
    </row>
    <row r="186" spans="2:9">
      <c r="B186" s="125" t="s">
        <v>336</v>
      </c>
      <c r="C186" s="45" t="s">
        <v>142</v>
      </c>
      <c r="G186" s="126"/>
    </row>
    <row r="187" spans="2:9">
      <c r="B187" s="125"/>
      <c r="G187" s="126"/>
      <c r="I187" s="45">
        <v>25</v>
      </c>
    </row>
    <row r="188" spans="2:9">
      <c r="B188" s="125"/>
      <c r="C188" s="44" t="s">
        <v>337</v>
      </c>
      <c r="G188" s="126"/>
      <c r="I188" s="45">
        <v>8</v>
      </c>
    </row>
    <row r="189" spans="2:9">
      <c r="B189" s="125" t="s">
        <v>338</v>
      </c>
      <c r="C189" s="45" t="s">
        <v>607</v>
      </c>
      <c r="G189" s="126"/>
      <c r="I189" s="45">
        <v>12</v>
      </c>
    </row>
    <row r="190" spans="2:9">
      <c r="B190" s="125"/>
      <c r="G190" s="126"/>
      <c r="I190" s="45">
        <v>3</v>
      </c>
    </row>
    <row r="191" spans="2:9">
      <c r="B191" s="125"/>
      <c r="C191" s="44" t="s">
        <v>22</v>
      </c>
      <c r="G191" s="126"/>
      <c r="I191" s="45">
        <f>SUM(I187:I190)</f>
        <v>48</v>
      </c>
    </row>
    <row r="192" spans="2:9">
      <c r="B192" s="125" t="s">
        <v>338</v>
      </c>
      <c r="C192" s="45" t="s">
        <v>607</v>
      </c>
      <c r="G192" s="126"/>
    </row>
    <row r="193" spans="2:7">
      <c r="B193" s="125"/>
      <c r="G193" s="126"/>
    </row>
    <row r="194" spans="2:7">
      <c r="B194" s="125"/>
      <c r="C194" s="44" t="s">
        <v>24</v>
      </c>
      <c r="G194" s="126"/>
    </row>
    <row r="195" spans="2:7">
      <c r="B195" s="125" t="s">
        <v>336</v>
      </c>
      <c r="C195" s="45" t="s">
        <v>607</v>
      </c>
      <c r="G195" s="126"/>
    </row>
    <row r="196" spans="2:7">
      <c r="B196" s="125"/>
      <c r="G196" s="126"/>
    </row>
    <row r="197" spans="2:7">
      <c r="B197" s="125"/>
      <c r="C197" s="44" t="s">
        <v>23</v>
      </c>
      <c r="G197" s="126"/>
    </row>
    <row r="198" spans="2:7">
      <c r="B198" s="125" t="s">
        <v>336</v>
      </c>
      <c r="C198" s="112" t="s">
        <v>15</v>
      </c>
      <c r="G198" s="126"/>
    </row>
    <row r="199" spans="2:7" ht="13.5" thickBot="1">
      <c r="B199" s="140"/>
      <c r="C199" s="131"/>
      <c r="D199" s="131"/>
      <c r="E199" s="141"/>
      <c r="F199" s="131"/>
      <c r="G199" s="135"/>
    </row>
    <row r="201" spans="2:7" ht="13.5" thickBot="1"/>
    <row r="202" spans="2:7" ht="13.5" thickBot="1">
      <c r="B202" s="239" t="s">
        <v>723</v>
      </c>
      <c r="C202" s="240"/>
      <c r="D202" s="240"/>
      <c r="E202" s="240"/>
      <c r="F202" s="240"/>
      <c r="G202" s="241"/>
    </row>
    <row r="203" spans="2:7" ht="13.5" thickBot="1">
      <c r="B203" s="125"/>
      <c r="G203" s="126"/>
    </row>
    <row r="204" spans="2:7">
      <c r="B204" s="125"/>
      <c r="C204" s="127" t="s">
        <v>27</v>
      </c>
      <c r="D204" s="128"/>
      <c r="E204" s="128" t="s">
        <v>1</v>
      </c>
      <c r="F204" s="129">
        <v>28</v>
      </c>
      <c r="G204" s="126"/>
    </row>
    <row r="205" spans="2:7" ht="13.5" thickBot="1">
      <c r="B205" s="125"/>
      <c r="C205" s="130"/>
      <c r="D205" s="131"/>
      <c r="E205" s="131" t="s">
        <v>724</v>
      </c>
      <c r="F205" s="132">
        <v>48</v>
      </c>
      <c r="G205" s="126"/>
    </row>
    <row r="206" spans="2:7" ht="13.5" thickBot="1">
      <c r="B206" s="125"/>
      <c r="G206" s="126"/>
    </row>
    <row r="207" spans="2:7">
      <c r="B207" s="125"/>
      <c r="C207" s="127" t="s">
        <v>4</v>
      </c>
      <c r="D207" s="128"/>
      <c r="E207" s="128" t="s">
        <v>1</v>
      </c>
      <c r="F207" s="133" t="s">
        <v>205</v>
      </c>
      <c r="G207" s="126"/>
    </row>
    <row r="208" spans="2:7">
      <c r="B208" s="125"/>
      <c r="C208" s="59" t="s">
        <v>2</v>
      </c>
      <c r="E208" s="45" t="s">
        <v>326</v>
      </c>
      <c r="F208" s="126"/>
      <c r="G208" s="126"/>
    </row>
    <row r="209" spans="2:7" ht="13.5" thickBot="1">
      <c r="B209" s="125"/>
      <c r="C209" s="130" t="s">
        <v>3</v>
      </c>
      <c r="D209" s="131"/>
      <c r="E209" s="134" t="s">
        <v>326</v>
      </c>
      <c r="F209" s="135"/>
      <c r="G209" s="126"/>
    </row>
    <row r="210" spans="2:7" ht="13.5" thickBot="1">
      <c r="B210" s="125"/>
      <c r="G210" s="126"/>
    </row>
    <row r="211" spans="2:7" ht="13.5" thickBot="1">
      <c r="B211" s="125"/>
      <c r="C211" s="136" t="s">
        <v>29</v>
      </c>
      <c r="D211" s="137"/>
      <c r="E211" s="138" t="s">
        <v>299</v>
      </c>
      <c r="F211" s="139"/>
      <c r="G211" s="126"/>
    </row>
    <row r="212" spans="2:7">
      <c r="B212" s="125"/>
      <c r="G212" s="126"/>
    </row>
    <row r="213" spans="2:7">
      <c r="B213" s="125"/>
      <c r="C213" s="45" t="s">
        <v>5</v>
      </c>
      <c r="G213" s="126"/>
    </row>
    <row r="214" spans="2:7">
      <c r="B214" s="125"/>
      <c r="G214" s="126"/>
    </row>
    <row r="215" spans="2:7">
      <c r="B215" s="59">
        <v>1</v>
      </c>
      <c r="C215" s="45" t="s">
        <v>182</v>
      </c>
      <c r="G215" s="126"/>
    </row>
    <row r="216" spans="2:7">
      <c r="B216" s="59">
        <v>2</v>
      </c>
      <c r="C216" s="45" t="s">
        <v>181</v>
      </c>
      <c r="G216" s="126"/>
    </row>
    <row r="217" spans="2:7">
      <c r="B217" s="59">
        <v>3</v>
      </c>
      <c r="C217" s="45" t="s">
        <v>189</v>
      </c>
      <c r="G217" s="126"/>
    </row>
    <row r="218" spans="2:7">
      <c r="B218" s="59">
        <v>4</v>
      </c>
      <c r="C218" s="45" t="s">
        <v>9</v>
      </c>
      <c r="G218" s="126"/>
    </row>
    <row r="219" spans="2:7">
      <c r="B219" s="59">
        <v>5</v>
      </c>
      <c r="C219" s="45" t="s">
        <v>12</v>
      </c>
      <c r="G219" s="126"/>
    </row>
    <row r="220" spans="2:7">
      <c r="B220" s="59">
        <v>6</v>
      </c>
      <c r="C220" s="45" t="s">
        <v>146</v>
      </c>
      <c r="G220" s="126"/>
    </row>
    <row r="221" spans="2:7">
      <c r="B221" s="59">
        <v>7</v>
      </c>
      <c r="C221" s="45" t="s">
        <v>75</v>
      </c>
      <c r="G221" s="126"/>
    </row>
    <row r="222" spans="2:7">
      <c r="B222" s="59">
        <v>8</v>
      </c>
      <c r="C222" s="45" t="s">
        <v>33</v>
      </c>
      <c r="G222" s="126"/>
    </row>
    <row r="223" spans="2:7">
      <c r="B223" s="59">
        <v>9</v>
      </c>
      <c r="C223" s="45" t="s">
        <v>139</v>
      </c>
      <c r="G223" s="126"/>
    </row>
    <row r="224" spans="2:7">
      <c r="B224" s="59">
        <v>10</v>
      </c>
      <c r="C224" s="45" t="s">
        <v>607</v>
      </c>
      <c r="G224" s="126"/>
    </row>
    <row r="225" spans="2:7">
      <c r="B225" s="59">
        <v>11</v>
      </c>
      <c r="C225" s="45" t="s">
        <v>19</v>
      </c>
      <c r="G225" s="126"/>
    </row>
    <row r="226" spans="2:7">
      <c r="B226" s="59">
        <v>12</v>
      </c>
      <c r="C226" s="45" t="s">
        <v>608</v>
      </c>
      <c r="G226" s="126"/>
    </row>
    <row r="227" spans="2:7">
      <c r="B227" s="59">
        <v>13</v>
      </c>
      <c r="C227" s="45" t="s">
        <v>142</v>
      </c>
      <c r="G227" s="126"/>
    </row>
    <row r="228" spans="2:7">
      <c r="B228" s="59">
        <v>14</v>
      </c>
      <c r="C228" s="45" t="s">
        <v>144</v>
      </c>
      <c r="G228" s="126"/>
    </row>
    <row r="229" spans="2:7">
      <c r="B229" s="59">
        <v>15</v>
      </c>
      <c r="C229" s="45" t="s">
        <v>20</v>
      </c>
      <c r="G229" s="126"/>
    </row>
    <row r="230" spans="2:7">
      <c r="B230" s="125"/>
      <c r="G230" s="126"/>
    </row>
    <row r="231" spans="2:7">
      <c r="B231" s="125"/>
      <c r="C231" s="45" t="s">
        <v>725</v>
      </c>
      <c r="G231" s="126"/>
    </row>
    <row r="232" spans="2:7">
      <c r="B232" s="125"/>
      <c r="C232" s="45" t="s">
        <v>726</v>
      </c>
      <c r="G232" s="126"/>
    </row>
    <row r="233" spans="2:7">
      <c r="B233" s="125"/>
      <c r="C233" s="45" t="s">
        <v>727</v>
      </c>
      <c r="G233" s="126"/>
    </row>
    <row r="234" spans="2:7">
      <c r="B234" s="125"/>
      <c r="G234" s="126"/>
    </row>
    <row r="235" spans="2:7">
      <c r="B235" s="125"/>
      <c r="C235" s="124" t="s">
        <v>21</v>
      </c>
      <c r="G235" s="126"/>
    </row>
    <row r="236" spans="2:7">
      <c r="B236" s="125" t="s">
        <v>336</v>
      </c>
      <c r="C236" s="45" t="s">
        <v>139</v>
      </c>
      <c r="G236" s="126"/>
    </row>
    <row r="237" spans="2:7">
      <c r="B237" s="125" t="s">
        <v>336</v>
      </c>
      <c r="C237" s="45" t="s">
        <v>146</v>
      </c>
      <c r="G237" s="126"/>
    </row>
    <row r="238" spans="2:7">
      <c r="B238" s="125" t="s">
        <v>336</v>
      </c>
      <c r="C238" s="45" t="s">
        <v>607</v>
      </c>
      <c r="G238" s="126"/>
    </row>
    <row r="239" spans="2:7">
      <c r="B239" s="125" t="s">
        <v>336</v>
      </c>
      <c r="C239" s="45" t="s">
        <v>33</v>
      </c>
      <c r="G239" s="126"/>
    </row>
    <row r="240" spans="2:7">
      <c r="B240" s="125"/>
      <c r="G240" s="126"/>
    </row>
    <row r="241" spans="2:7">
      <c r="B241" s="125"/>
      <c r="C241" s="44" t="s">
        <v>337</v>
      </c>
      <c r="G241" s="126"/>
    </row>
    <row r="242" spans="2:7">
      <c r="B242" s="125" t="s">
        <v>338</v>
      </c>
      <c r="C242" s="45" t="s">
        <v>607</v>
      </c>
      <c r="G242" s="126"/>
    </row>
    <row r="243" spans="2:7">
      <c r="B243" s="125"/>
      <c r="G243" s="126"/>
    </row>
    <row r="244" spans="2:7">
      <c r="B244" s="125"/>
      <c r="C244" s="44" t="s">
        <v>23</v>
      </c>
      <c r="G244" s="126"/>
    </row>
    <row r="245" spans="2:7">
      <c r="B245" s="125" t="s">
        <v>336</v>
      </c>
      <c r="C245" s="112" t="s">
        <v>11</v>
      </c>
      <c r="G245" s="126"/>
    </row>
    <row r="246" spans="2:7" ht="13.5" thickBot="1">
      <c r="B246" s="140"/>
      <c r="C246" s="131"/>
      <c r="D246" s="131"/>
      <c r="E246" s="141"/>
      <c r="F246" s="131"/>
      <c r="G246" s="135"/>
    </row>
    <row r="248" spans="2:7" ht="13.5" thickBot="1"/>
    <row r="249" spans="2:7" ht="13.5" thickBot="1">
      <c r="B249" s="239" t="s">
        <v>728</v>
      </c>
      <c r="C249" s="240"/>
      <c r="D249" s="240"/>
      <c r="E249" s="240"/>
      <c r="F249" s="240"/>
      <c r="G249" s="241"/>
    </row>
    <row r="250" spans="2:7" ht="13.5" thickBot="1">
      <c r="B250" s="125"/>
      <c r="G250" s="126"/>
    </row>
    <row r="251" spans="2:7">
      <c r="B251" s="125"/>
      <c r="C251" s="127" t="s">
        <v>27</v>
      </c>
      <c r="D251" s="128"/>
      <c r="E251" s="128" t="s">
        <v>1</v>
      </c>
      <c r="F251" s="129">
        <v>31</v>
      </c>
      <c r="G251" s="126"/>
    </row>
    <row r="252" spans="2:7" ht="13.5" thickBot="1">
      <c r="B252" s="125"/>
      <c r="C252" s="130"/>
      <c r="D252" s="131"/>
      <c r="E252" s="131" t="s">
        <v>92</v>
      </c>
      <c r="F252" s="132">
        <v>10</v>
      </c>
      <c r="G252" s="126"/>
    </row>
    <row r="253" spans="2:7" ht="13.5" thickBot="1">
      <c r="B253" s="125"/>
      <c r="G253" s="126"/>
    </row>
    <row r="254" spans="2:7">
      <c r="B254" s="125"/>
      <c r="C254" s="127" t="s">
        <v>4</v>
      </c>
      <c r="D254" s="128"/>
      <c r="E254" s="128" t="s">
        <v>1</v>
      </c>
      <c r="F254" s="133" t="s">
        <v>205</v>
      </c>
      <c r="G254" s="126"/>
    </row>
    <row r="255" spans="2:7">
      <c r="B255" s="125"/>
      <c r="C255" s="59" t="s">
        <v>2</v>
      </c>
      <c r="E255" s="45" t="s">
        <v>729</v>
      </c>
      <c r="F255" s="126"/>
      <c r="G255" s="126"/>
    </row>
    <row r="256" spans="2:7" ht="13.5" thickBot="1">
      <c r="B256" s="125"/>
      <c r="C256" s="130" t="s">
        <v>3</v>
      </c>
      <c r="D256" s="131"/>
      <c r="E256" s="134" t="s">
        <v>326</v>
      </c>
      <c r="F256" s="135"/>
      <c r="G256" s="126"/>
    </row>
    <row r="257" spans="2:7" ht="13.5" thickBot="1">
      <c r="B257" s="125"/>
      <c r="G257" s="126"/>
    </row>
    <row r="258" spans="2:7" ht="13.5" thickBot="1">
      <c r="B258" s="125"/>
      <c r="C258" s="136" t="s">
        <v>29</v>
      </c>
      <c r="D258" s="137"/>
      <c r="E258" s="138" t="s">
        <v>314</v>
      </c>
      <c r="F258" s="139"/>
      <c r="G258" s="126"/>
    </row>
    <row r="259" spans="2:7">
      <c r="B259" s="125"/>
      <c r="G259" s="126"/>
    </row>
    <row r="260" spans="2:7">
      <c r="B260" s="125"/>
      <c r="C260" s="45" t="s">
        <v>5</v>
      </c>
      <c r="G260" s="126"/>
    </row>
    <row r="261" spans="2:7">
      <c r="B261" s="125"/>
      <c r="G261" s="126"/>
    </row>
    <row r="262" spans="2:7">
      <c r="B262" s="59">
        <v>1</v>
      </c>
      <c r="C262" s="45" t="s">
        <v>182</v>
      </c>
      <c r="G262" s="126"/>
    </row>
    <row r="263" spans="2:7">
      <c r="B263" s="59">
        <v>2</v>
      </c>
      <c r="C263" s="45" t="s">
        <v>160</v>
      </c>
      <c r="G263" s="126"/>
    </row>
    <row r="264" spans="2:7">
      <c r="B264" s="59">
        <v>3</v>
      </c>
      <c r="C264" s="45" t="s">
        <v>189</v>
      </c>
      <c r="G264" s="126"/>
    </row>
    <row r="265" spans="2:7">
      <c r="B265" s="59">
        <v>4</v>
      </c>
      <c r="C265" s="45" t="s">
        <v>9</v>
      </c>
      <c r="G265" s="126"/>
    </row>
    <row r="266" spans="2:7">
      <c r="B266" s="59">
        <v>5</v>
      </c>
      <c r="C266" s="45" t="s">
        <v>12</v>
      </c>
      <c r="G266" s="126"/>
    </row>
    <row r="267" spans="2:7">
      <c r="B267" s="59">
        <v>6</v>
      </c>
      <c r="C267" s="45" t="s">
        <v>155</v>
      </c>
      <c r="G267" s="126"/>
    </row>
    <row r="268" spans="2:7">
      <c r="B268" s="59">
        <v>7</v>
      </c>
      <c r="C268" s="45" t="s">
        <v>75</v>
      </c>
      <c r="G268" s="126"/>
    </row>
    <row r="269" spans="2:7">
      <c r="B269" s="59">
        <v>8</v>
      </c>
      <c r="C269" s="45" t="s">
        <v>33</v>
      </c>
      <c r="G269" s="126"/>
    </row>
    <row r="270" spans="2:7">
      <c r="B270" s="59">
        <v>9</v>
      </c>
      <c r="C270" s="45" t="s">
        <v>139</v>
      </c>
      <c r="G270" s="126"/>
    </row>
    <row r="271" spans="2:7">
      <c r="B271" s="59">
        <v>10</v>
      </c>
      <c r="C271" s="45" t="s">
        <v>607</v>
      </c>
      <c r="G271" s="126"/>
    </row>
    <row r="272" spans="2:7">
      <c r="B272" s="59">
        <v>11</v>
      </c>
      <c r="C272" s="45" t="s">
        <v>19</v>
      </c>
      <c r="G272" s="126"/>
    </row>
    <row r="273" spans="2:7">
      <c r="B273" s="59">
        <v>12</v>
      </c>
      <c r="C273" s="45" t="s">
        <v>608</v>
      </c>
      <c r="G273" s="126"/>
    </row>
    <row r="274" spans="2:7">
      <c r="B274" s="59">
        <v>13</v>
      </c>
      <c r="C274" s="45" t="s">
        <v>142</v>
      </c>
      <c r="G274" s="126"/>
    </row>
    <row r="275" spans="2:7">
      <c r="B275" s="59">
        <v>14</v>
      </c>
      <c r="C275" s="45" t="s">
        <v>144</v>
      </c>
      <c r="G275" s="126"/>
    </row>
    <row r="276" spans="2:7">
      <c r="B276" s="59">
        <v>15</v>
      </c>
      <c r="C276" s="45" t="s">
        <v>20</v>
      </c>
      <c r="G276" s="126"/>
    </row>
    <row r="277" spans="2:7">
      <c r="B277" s="125"/>
      <c r="G277" s="126"/>
    </row>
    <row r="278" spans="2:7">
      <c r="B278" s="125"/>
      <c r="C278" s="45" t="s">
        <v>730</v>
      </c>
      <c r="G278" s="126"/>
    </row>
    <row r="279" spans="2:7">
      <c r="B279" s="125"/>
      <c r="C279" s="45" t="s">
        <v>707</v>
      </c>
      <c r="G279" s="126"/>
    </row>
    <row r="280" spans="2:7">
      <c r="B280" s="125"/>
      <c r="G280" s="126"/>
    </row>
    <row r="281" spans="2:7">
      <c r="B281" s="125"/>
      <c r="C281" s="124" t="s">
        <v>21</v>
      </c>
      <c r="G281" s="126"/>
    </row>
    <row r="282" spans="2:7">
      <c r="B282" s="125" t="s">
        <v>336</v>
      </c>
      <c r="C282" s="45" t="s">
        <v>139</v>
      </c>
      <c r="G282" s="126"/>
    </row>
    <row r="283" spans="2:7">
      <c r="B283" s="125" t="s">
        <v>336</v>
      </c>
      <c r="C283" s="45" t="s">
        <v>144</v>
      </c>
      <c r="G283" s="126"/>
    </row>
    <row r="284" spans="2:7">
      <c r="B284" s="125" t="s">
        <v>352</v>
      </c>
      <c r="C284" s="45" t="s">
        <v>20</v>
      </c>
      <c r="G284" s="126"/>
    </row>
    <row r="285" spans="2:7">
      <c r="B285" s="125"/>
      <c r="G285" s="126"/>
    </row>
    <row r="286" spans="2:7">
      <c r="B286" s="125"/>
      <c r="C286" s="44" t="s">
        <v>22</v>
      </c>
      <c r="G286" s="126"/>
    </row>
    <row r="287" spans="2:7">
      <c r="B287" s="125" t="s">
        <v>336</v>
      </c>
      <c r="C287" s="45" t="s">
        <v>607</v>
      </c>
      <c r="G287" s="126"/>
    </row>
    <row r="288" spans="2:7">
      <c r="B288" s="125"/>
      <c r="G288" s="126"/>
    </row>
    <row r="289" spans="2:7">
      <c r="B289" s="125"/>
      <c r="C289" s="44" t="s">
        <v>337</v>
      </c>
      <c r="G289" s="126"/>
    </row>
    <row r="290" spans="2:7">
      <c r="B290" s="125" t="s">
        <v>338</v>
      </c>
      <c r="C290" s="45" t="s">
        <v>607</v>
      </c>
      <c r="G290" s="126"/>
    </row>
    <row r="291" spans="2:7">
      <c r="B291" s="125"/>
      <c r="G291" s="126"/>
    </row>
    <row r="292" spans="2:7">
      <c r="B292" s="125"/>
      <c r="C292" s="44" t="s">
        <v>23</v>
      </c>
      <c r="G292" s="126"/>
    </row>
    <row r="293" spans="2:7">
      <c r="B293" s="125" t="s">
        <v>336</v>
      </c>
      <c r="C293" s="112" t="s">
        <v>33</v>
      </c>
      <c r="G293" s="126"/>
    </row>
    <row r="294" spans="2:7" ht="13.5" thickBot="1">
      <c r="B294" s="140"/>
      <c r="C294" s="131"/>
      <c r="D294" s="131"/>
      <c r="E294" s="141"/>
      <c r="F294" s="131"/>
      <c r="G294" s="135"/>
    </row>
    <row r="296" spans="2:7" ht="13.5" thickBot="1"/>
    <row r="297" spans="2:7" ht="13.5" thickBot="1">
      <c r="B297" s="239" t="s">
        <v>731</v>
      </c>
      <c r="C297" s="240"/>
      <c r="D297" s="240"/>
      <c r="E297" s="240"/>
      <c r="F297" s="240"/>
      <c r="G297" s="241"/>
    </row>
    <row r="298" spans="2:7" ht="13.5" thickBot="1">
      <c r="B298" s="125"/>
      <c r="G298" s="126"/>
    </row>
    <row r="299" spans="2:7">
      <c r="B299" s="125"/>
      <c r="C299" s="127" t="s">
        <v>27</v>
      </c>
      <c r="D299" s="128"/>
      <c r="E299" s="128" t="s">
        <v>91</v>
      </c>
      <c r="F299" s="129">
        <v>52</v>
      </c>
      <c r="G299" s="126"/>
    </row>
    <row r="300" spans="2:7" ht="13.5" thickBot="1">
      <c r="B300" s="125"/>
      <c r="C300" s="130"/>
      <c r="D300" s="131"/>
      <c r="E300" s="131" t="s">
        <v>1</v>
      </c>
      <c r="F300" s="132">
        <v>18</v>
      </c>
      <c r="G300" s="126"/>
    </row>
    <row r="301" spans="2:7" ht="13.5" thickBot="1">
      <c r="B301" s="125"/>
      <c r="G301" s="126"/>
    </row>
    <row r="302" spans="2:7">
      <c r="B302" s="125"/>
      <c r="C302" s="127" t="s">
        <v>4</v>
      </c>
      <c r="D302" s="128"/>
      <c r="E302" s="128" t="s">
        <v>91</v>
      </c>
      <c r="F302" s="133" t="s">
        <v>569</v>
      </c>
      <c r="G302" s="126"/>
    </row>
    <row r="303" spans="2:7">
      <c r="B303" s="125"/>
      <c r="C303" s="59" t="s">
        <v>2</v>
      </c>
      <c r="E303" s="45" t="s">
        <v>326</v>
      </c>
      <c r="F303" s="126"/>
      <c r="G303" s="126"/>
    </row>
    <row r="304" spans="2:7" ht="13.5" thickBot="1">
      <c r="B304" s="125"/>
      <c r="C304" s="130" t="s">
        <v>3</v>
      </c>
      <c r="D304" s="131"/>
      <c r="E304" s="134" t="s">
        <v>344</v>
      </c>
      <c r="F304" s="135"/>
      <c r="G304" s="126"/>
    </row>
    <row r="305" spans="2:7" ht="13.5" thickBot="1">
      <c r="B305" s="125"/>
      <c r="G305" s="126"/>
    </row>
    <row r="306" spans="2:7" ht="13.5" thickBot="1">
      <c r="B306" s="125"/>
      <c r="C306" s="136" t="s">
        <v>29</v>
      </c>
      <c r="D306" s="137"/>
      <c r="E306" s="138" t="s">
        <v>651</v>
      </c>
      <c r="F306" s="139"/>
      <c r="G306" s="126"/>
    </row>
    <row r="307" spans="2:7">
      <c r="B307" s="125"/>
      <c r="G307" s="126"/>
    </row>
    <row r="308" spans="2:7">
      <c r="B308" s="125"/>
      <c r="C308" s="45" t="s">
        <v>5</v>
      </c>
      <c r="G308" s="126"/>
    </row>
    <row r="309" spans="2:7">
      <c r="B309" s="125"/>
      <c r="G309" s="126"/>
    </row>
    <row r="310" spans="2:7">
      <c r="B310" s="59">
        <v>1</v>
      </c>
      <c r="C310" s="45" t="s">
        <v>182</v>
      </c>
      <c r="G310" s="126"/>
    </row>
    <row r="311" spans="2:7">
      <c r="B311" s="59">
        <v>2</v>
      </c>
      <c r="C311" s="45" t="s">
        <v>160</v>
      </c>
      <c r="G311" s="126"/>
    </row>
    <row r="312" spans="2:7">
      <c r="B312" s="59">
        <v>3</v>
      </c>
      <c r="C312" s="45" t="s">
        <v>189</v>
      </c>
      <c r="G312" s="126"/>
    </row>
    <row r="313" spans="2:7">
      <c r="B313" s="59">
        <v>4</v>
      </c>
      <c r="C313" s="45" t="s">
        <v>206</v>
      </c>
      <c r="G313" s="126"/>
    </row>
    <row r="314" spans="2:7">
      <c r="B314" s="59">
        <v>5</v>
      </c>
      <c r="C314" s="45" t="s">
        <v>12</v>
      </c>
      <c r="G314" s="126"/>
    </row>
    <row r="315" spans="2:7">
      <c r="B315" s="59">
        <v>6</v>
      </c>
      <c r="C315" s="45" t="s">
        <v>155</v>
      </c>
      <c r="G315" s="126"/>
    </row>
    <row r="316" spans="2:7">
      <c r="B316" s="59">
        <v>7</v>
      </c>
      <c r="C316" s="45" t="s">
        <v>75</v>
      </c>
      <c r="G316" s="126"/>
    </row>
    <row r="317" spans="2:7">
      <c r="B317" s="59">
        <v>8</v>
      </c>
      <c r="C317" s="45" t="s">
        <v>33</v>
      </c>
      <c r="G317" s="126"/>
    </row>
    <row r="318" spans="2:7">
      <c r="B318" s="59">
        <v>9</v>
      </c>
      <c r="C318" s="45" t="s">
        <v>139</v>
      </c>
      <c r="G318" s="126"/>
    </row>
    <row r="319" spans="2:7">
      <c r="B319" s="59">
        <v>10</v>
      </c>
      <c r="C319" s="45" t="s">
        <v>607</v>
      </c>
      <c r="G319" s="126"/>
    </row>
    <row r="320" spans="2:7">
      <c r="B320" s="59">
        <v>11</v>
      </c>
      <c r="C320" s="45" t="s">
        <v>19</v>
      </c>
      <c r="G320" s="126"/>
    </row>
    <row r="321" spans="2:7">
      <c r="B321" s="59">
        <v>12</v>
      </c>
      <c r="C321" s="45" t="s">
        <v>608</v>
      </c>
      <c r="G321" s="126"/>
    </row>
    <row r="322" spans="2:7">
      <c r="B322" s="59">
        <v>13</v>
      </c>
      <c r="C322" s="45" t="s">
        <v>142</v>
      </c>
      <c r="G322" s="126"/>
    </row>
    <row r="323" spans="2:7">
      <c r="B323" s="59">
        <v>14</v>
      </c>
      <c r="C323" s="45" t="s">
        <v>144</v>
      </c>
      <c r="G323" s="126"/>
    </row>
    <row r="324" spans="2:7">
      <c r="B324" s="59">
        <v>15</v>
      </c>
      <c r="C324" s="45" t="s">
        <v>20</v>
      </c>
      <c r="G324" s="126"/>
    </row>
    <row r="325" spans="2:7">
      <c r="B325" s="125"/>
      <c r="G325" s="126"/>
    </row>
    <row r="326" spans="2:7">
      <c r="B326" s="125"/>
      <c r="C326" s="45" t="s">
        <v>732</v>
      </c>
      <c r="G326" s="126"/>
    </row>
    <row r="327" spans="2:7">
      <c r="B327" s="125"/>
      <c r="C327" s="45" t="s">
        <v>707</v>
      </c>
      <c r="G327" s="126"/>
    </row>
    <row r="328" spans="2:7">
      <c r="B328" s="125"/>
      <c r="C328" s="45" t="s">
        <v>733</v>
      </c>
      <c r="G328" s="126"/>
    </row>
    <row r="329" spans="2:7">
      <c r="B329" s="125"/>
      <c r="C329" s="45" t="s">
        <v>734</v>
      </c>
      <c r="G329" s="126"/>
    </row>
    <row r="330" spans="2:7">
      <c r="B330" s="125"/>
      <c r="G330" s="126"/>
    </row>
    <row r="331" spans="2:7">
      <c r="B331" s="125"/>
      <c r="C331" s="124" t="s">
        <v>21</v>
      </c>
      <c r="G331" s="126"/>
    </row>
    <row r="332" spans="2:7">
      <c r="B332" s="125" t="s">
        <v>336</v>
      </c>
      <c r="C332" s="45" t="s">
        <v>20</v>
      </c>
      <c r="G332" s="126"/>
    </row>
    <row r="333" spans="2:7">
      <c r="B333" s="125" t="s">
        <v>336</v>
      </c>
      <c r="C333" s="45" t="s">
        <v>19</v>
      </c>
      <c r="G333" s="126"/>
    </row>
    <row r="334" spans="2:7">
      <c r="B334" s="125"/>
      <c r="G334" s="126"/>
    </row>
    <row r="335" spans="2:7">
      <c r="B335" s="125"/>
      <c r="C335" s="44" t="s">
        <v>22</v>
      </c>
      <c r="G335" s="126"/>
    </row>
    <row r="336" spans="2:7">
      <c r="B336" s="125" t="s">
        <v>352</v>
      </c>
      <c r="C336" s="45" t="s">
        <v>607</v>
      </c>
      <c r="G336" s="126"/>
    </row>
    <row r="337" spans="2:7">
      <c r="B337" s="125"/>
      <c r="G337" s="126"/>
    </row>
    <row r="338" spans="2:7">
      <c r="B338" s="125"/>
      <c r="C338" s="44" t="s">
        <v>337</v>
      </c>
      <c r="G338" s="126"/>
    </row>
    <row r="339" spans="2:7">
      <c r="B339" s="125" t="s">
        <v>336</v>
      </c>
      <c r="C339" s="45" t="s">
        <v>607</v>
      </c>
      <c r="G339" s="126"/>
    </row>
    <row r="340" spans="2:7">
      <c r="B340" s="125"/>
      <c r="G340" s="126"/>
    </row>
    <row r="341" spans="2:7">
      <c r="B341" s="125"/>
      <c r="C341" s="44" t="s">
        <v>23</v>
      </c>
      <c r="G341" s="126"/>
    </row>
    <row r="342" spans="2:7">
      <c r="B342" s="125" t="s">
        <v>336</v>
      </c>
      <c r="C342" s="112" t="s">
        <v>155</v>
      </c>
      <c r="G342" s="126"/>
    </row>
    <row r="343" spans="2:7">
      <c r="B343" s="125" t="s">
        <v>336</v>
      </c>
      <c r="C343" s="112" t="s">
        <v>182</v>
      </c>
      <c r="G343" s="126"/>
    </row>
    <row r="344" spans="2:7" ht="13.5" thickBot="1">
      <c r="B344" s="140"/>
      <c r="C344" s="131"/>
      <c r="D344" s="131"/>
      <c r="E344" s="141"/>
      <c r="F344" s="131"/>
      <c r="G344" s="135"/>
    </row>
    <row r="346" spans="2:7" ht="13.5" thickBot="1"/>
    <row r="347" spans="2:7" ht="13.5" thickBot="1">
      <c r="B347" s="239" t="s">
        <v>735</v>
      </c>
      <c r="C347" s="240"/>
      <c r="D347" s="240"/>
      <c r="E347" s="240"/>
      <c r="F347" s="240"/>
      <c r="G347" s="241"/>
    </row>
    <row r="348" spans="2:7" ht="13.5" thickBot="1">
      <c r="B348" s="125"/>
      <c r="G348" s="126"/>
    </row>
    <row r="349" spans="2:7">
      <c r="B349" s="125"/>
      <c r="C349" s="127" t="s">
        <v>27</v>
      </c>
      <c r="D349" s="128"/>
      <c r="E349" s="128" t="s">
        <v>1</v>
      </c>
      <c r="F349" s="129">
        <v>27</v>
      </c>
      <c r="G349" s="126"/>
    </row>
    <row r="350" spans="2:7" ht="13.5" thickBot="1">
      <c r="B350" s="125"/>
      <c r="C350" s="130"/>
      <c r="D350" s="131"/>
      <c r="E350" s="131" t="s">
        <v>73</v>
      </c>
      <c r="F350" s="132">
        <v>26</v>
      </c>
      <c r="G350" s="126"/>
    </row>
    <row r="351" spans="2:7" ht="13.5" thickBot="1">
      <c r="B351" s="125"/>
      <c r="G351" s="126"/>
    </row>
    <row r="352" spans="2:7">
      <c r="B352" s="125"/>
      <c r="C352" s="127" t="s">
        <v>4</v>
      </c>
      <c r="D352" s="128"/>
      <c r="E352" s="128" t="s">
        <v>1</v>
      </c>
      <c r="F352" s="133" t="s">
        <v>205</v>
      </c>
      <c r="G352" s="126"/>
    </row>
    <row r="353" spans="2:7">
      <c r="B353" s="125"/>
      <c r="C353" s="59" t="s">
        <v>2</v>
      </c>
      <c r="E353" s="45" t="s">
        <v>326</v>
      </c>
      <c r="F353" s="126"/>
      <c r="G353" s="126"/>
    </row>
    <row r="354" spans="2:7" ht="13.5" thickBot="1">
      <c r="B354" s="125"/>
      <c r="C354" s="130" t="s">
        <v>3</v>
      </c>
      <c r="D354" s="131"/>
      <c r="E354" s="134" t="s">
        <v>326</v>
      </c>
      <c r="F354" s="135"/>
      <c r="G354" s="126"/>
    </row>
    <row r="355" spans="2:7" ht="13.5" thickBot="1">
      <c r="B355" s="125"/>
      <c r="G355" s="126"/>
    </row>
    <row r="356" spans="2:7" ht="13.5" thickBot="1">
      <c r="B356" s="125"/>
      <c r="C356" s="136" t="s">
        <v>29</v>
      </c>
      <c r="D356" s="137"/>
      <c r="E356" s="138" t="s">
        <v>315</v>
      </c>
      <c r="F356" s="139"/>
      <c r="G356" s="126"/>
    </row>
    <row r="357" spans="2:7">
      <c r="B357" s="125"/>
      <c r="G357" s="126"/>
    </row>
    <row r="358" spans="2:7">
      <c r="B358" s="125"/>
      <c r="C358" s="45" t="s">
        <v>5</v>
      </c>
      <c r="G358" s="126"/>
    </row>
    <row r="359" spans="2:7">
      <c r="B359" s="125"/>
      <c r="G359" s="126"/>
    </row>
    <row r="360" spans="2:7">
      <c r="B360" s="59">
        <v>1</v>
      </c>
      <c r="C360" s="45" t="s">
        <v>182</v>
      </c>
      <c r="G360" s="126"/>
    </row>
    <row r="361" spans="2:7">
      <c r="B361" s="59">
        <v>2</v>
      </c>
      <c r="C361" s="45" t="s">
        <v>160</v>
      </c>
      <c r="G361" s="126"/>
    </row>
    <row r="362" spans="2:7">
      <c r="B362" s="59">
        <v>3</v>
      </c>
      <c r="C362" s="45" t="s">
        <v>189</v>
      </c>
      <c r="G362" s="126"/>
    </row>
    <row r="363" spans="2:7">
      <c r="B363" s="59">
        <v>4</v>
      </c>
      <c r="C363" s="45" t="s">
        <v>206</v>
      </c>
      <c r="G363" s="126"/>
    </row>
    <row r="364" spans="2:7">
      <c r="B364" s="59">
        <v>5</v>
      </c>
      <c r="C364" s="45" t="s">
        <v>9</v>
      </c>
      <c r="G364" s="126"/>
    </row>
    <row r="365" spans="2:7">
      <c r="B365" s="59">
        <v>6</v>
      </c>
      <c r="C365" s="45" t="s">
        <v>155</v>
      </c>
      <c r="G365" s="126"/>
    </row>
    <row r="366" spans="2:7">
      <c r="B366" s="59">
        <v>7</v>
      </c>
      <c r="C366" s="45" t="s">
        <v>146</v>
      </c>
      <c r="G366" s="126"/>
    </row>
    <row r="367" spans="2:7">
      <c r="B367" s="59">
        <v>8</v>
      </c>
      <c r="C367" s="45" t="s">
        <v>33</v>
      </c>
      <c r="G367" s="126"/>
    </row>
    <row r="368" spans="2:7">
      <c r="B368" s="59">
        <v>9</v>
      </c>
      <c r="C368" s="45" t="s">
        <v>139</v>
      </c>
      <c r="G368" s="126"/>
    </row>
    <row r="369" spans="2:7">
      <c r="B369" s="59">
        <v>10</v>
      </c>
      <c r="C369" s="45" t="s">
        <v>607</v>
      </c>
      <c r="G369" s="126"/>
    </row>
    <row r="370" spans="2:7">
      <c r="B370" s="59">
        <v>11</v>
      </c>
      <c r="C370" s="45" t="s">
        <v>19</v>
      </c>
      <c r="G370" s="126"/>
    </row>
    <row r="371" spans="2:7">
      <c r="B371" s="59">
        <v>12</v>
      </c>
      <c r="C371" s="45" t="s">
        <v>608</v>
      </c>
      <c r="G371" s="126"/>
    </row>
    <row r="372" spans="2:7">
      <c r="B372" s="59">
        <v>13</v>
      </c>
      <c r="C372" s="45" t="s">
        <v>142</v>
      </c>
      <c r="G372" s="126"/>
    </row>
    <row r="373" spans="2:7">
      <c r="B373" s="59">
        <v>14</v>
      </c>
      <c r="C373" s="45" t="s">
        <v>144</v>
      </c>
      <c r="G373" s="126"/>
    </row>
    <row r="374" spans="2:7">
      <c r="B374" s="59">
        <v>15</v>
      </c>
      <c r="C374" s="45" t="s">
        <v>20</v>
      </c>
      <c r="G374" s="126"/>
    </row>
    <row r="375" spans="2:7">
      <c r="B375" s="125"/>
      <c r="G375" s="126"/>
    </row>
    <row r="376" spans="2:7">
      <c r="B376" s="125"/>
      <c r="C376" s="45" t="s">
        <v>736</v>
      </c>
      <c r="G376" s="126"/>
    </row>
    <row r="377" spans="2:7">
      <c r="B377" s="125"/>
      <c r="C377" s="45" t="s">
        <v>737</v>
      </c>
      <c r="G377" s="126"/>
    </row>
    <row r="378" spans="2:7">
      <c r="B378" s="125"/>
      <c r="C378" s="45" t="s">
        <v>738</v>
      </c>
      <c r="G378" s="126"/>
    </row>
    <row r="379" spans="2:7">
      <c r="B379" s="125"/>
      <c r="C379" s="45" t="s">
        <v>739</v>
      </c>
      <c r="G379" s="126"/>
    </row>
    <row r="380" spans="2:7">
      <c r="B380" s="125"/>
      <c r="C380" s="45" t="s">
        <v>740</v>
      </c>
      <c r="G380" s="126"/>
    </row>
    <row r="381" spans="2:7">
      <c r="B381" s="125"/>
      <c r="G381" s="126"/>
    </row>
    <row r="382" spans="2:7">
      <c r="B382" s="125"/>
      <c r="C382" s="124" t="s">
        <v>21</v>
      </c>
      <c r="G382" s="126"/>
    </row>
    <row r="383" spans="2:7">
      <c r="B383" s="125" t="s">
        <v>336</v>
      </c>
      <c r="C383" s="45" t="s">
        <v>20</v>
      </c>
      <c r="G383" s="126"/>
    </row>
    <row r="384" spans="2:7">
      <c r="B384" s="125" t="s">
        <v>336</v>
      </c>
      <c r="C384" s="45" t="s">
        <v>6</v>
      </c>
      <c r="G384" s="126"/>
    </row>
    <row r="385" spans="2:7">
      <c r="B385" s="125" t="s">
        <v>336</v>
      </c>
      <c r="C385" s="45" t="s">
        <v>56</v>
      </c>
      <c r="G385" s="126"/>
    </row>
    <row r="386" spans="2:7">
      <c r="B386" s="125"/>
      <c r="G386" s="126"/>
    </row>
    <row r="387" spans="2:7">
      <c r="B387" s="125"/>
      <c r="C387" s="44" t="s">
        <v>22</v>
      </c>
      <c r="G387" s="126"/>
    </row>
    <row r="388" spans="2:7">
      <c r="B388" s="125" t="s">
        <v>352</v>
      </c>
      <c r="C388" s="45" t="s">
        <v>607</v>
      </c>
      <c r="G388" s="126"/>
    </row>
    <row r="389" spans="2:7">
      <c r="B389" s="125"/>
      <c r="G389" s="126"/>
    </row>
    <row r="390" spans="2:7">
      <c r="B390" s="125"/>
      <c r="C390" s="44" t="s">
        <v>337</v>
      </c>
      <c r="G390" s="126"/>
    </row>
    <row r="391" spans="2:7">
      <c r="B391" s="125" t="s">
        <v>335</v>
      </c>
      <c r="C391" s="45" t="s">
        <v>607</v>
      </c>
      <c r="G391" s="126"/>
    </row>
    <row r="392" spans="2:7">
      <c r="B392" s="125"/>
      <c r="G392" s="126"/>
    </row>
    <row r="393" spans="2:7">
      <c r="B393" s="125"/>
      <c r="C393" s="44" t="s">
        <v>23</v>
      </c>
      <c r="G393" s="126"/>
    </row>
    <row r="394" spans="2:7">
      <c r="B394" s="125" t="s">
        <v>352</v>
      </c>
      <c r="C394" s="112" t="s">
        <v>142</v>
      </c>
      <c r="G394" s="126"/>
    </row>
    <row r="395" spans="2:7" ht="13.5" thickBot="1">
      <c r="B395" s="140"/>
      <c r="C395" s="131"/>
      <c r="D395" s="131"/>
      <c r="E395" s="141"/>
      <c r="F395" s="131"/>
      <c r="G395" s="135"/>
    </row>
    <row r="397" spans="2:7" ht="13.5" thickBot="1"/>
    <row r="398" spans="2:7" ht="13.5" thickBot="1">
      <c r="B398" s="239" t="s">
        <v>741</v>
      </c>
      <c r="C398" s="240"/>
      <c r="D398" s="240"/>
      <c r="E398" s="240"/>
      <c r="F398" s="240"/>
      <c r="G398" s="241"/>
    </row>
    <row r="399" spans="2:7" ht="13.5" thickBot="1">
      <c r="B399" s="125"/>
      <c r="G399" s="126"/>
    </row>
    <row r="400" spans="2:7">
      <c r="B400" s="125"/>
      <c r="C400" s="127" t="s">
        <v>27</v>
      </c>
      <c r="D400" s="128"/>
      <c r="E400" s="128" t="s">
        <v>94</v>
      </c>
      <c r="F400" s="129">
        <v>37</v>
      </c>
      <c r="G400" s="126"/>
    </row>
    <row r="401" spans="2:7" ht="13.5" thickBot="1">
      <c r="B401" s="125"/>
      <c r="C401" s="130"/>
      <c r="D401" s="131"/>
      <c r="E401" s="131" t="s">
        <v>1</v>
      </c>
      <c r="F401" s="132">
        <v>24</v>
      </c>
      <c r="G401" s="126"/>
    </row>
    <row r="402" spans="2:7" ht="13.5" thickBot="1">
      <c r="B402" s="125"/>
      <c r="G402" s="126"/>
    </row>
    <row r="403" spans="2:7">
      <c r="B403" s="125"/>
      <c r="C403" s="127" t="s">
        <v>4</v>
      </c>
      <c r="D403" s="128"/>
      <c r="E403" s="128" t="s">
        <v>94</v>
      </c>
      <c r="F403" s="133"/>
      <c r="G403" s="126"/>
    </row>
    <row r="404" spans="2:7">
      <c r="B404" s="125"/>
      <c r="C404" s="59" t="s">
        <v>2</v>
      </c>
      <c r="E404" s="45" t="s">
        <v>326</v>
      </c>
      <c r="F404" s="126"/>
      <c r="G404" s="126"/>
    </row>
    <row r="405" spans="2:7" ht="13.5" thickBot="1">
      <c r="B405" s="125"/>
      <c r="C405" s="130" t="s">
        <v>3</v>
      </c>
      <c r="D405" s="131"/>
      <c r="E405" s="134" t="s">
        <v>326</v>
      </c>
      <c r="F405" s="135"/>
      <c r="G405" s="126"/>
    </row>
    <row r="406" spans="2:7" ht="13.5" thickBot="1">
      <c r="B406" s="125"/>
      <c r="G406" s="126"/>
    </row>
    <row r="407" spans="2:7" ht="13.5" thickBot="1">
      <c r="B407" s="125"/>
      <c r="C407" s="136" t="s">
        <v>29</v>
      </c>
      <c r="D407" s="137"/>
      <c r="E407" s="138" t="s">
        <v>316</v>
      </c>
      <c r="F407" s="139"/>
      <c r="G407" s="126"/>
    </row>
    <row r="408" spans="2:7">
      <c r="B408" s="125"/>
      <c r="G408" s="126"/>
    </row>
    <row r="409" spans="2:7">
      <c r="B409" s="125"/>
      <c r="C409" s="45" t="s">
        <v>5</v>
      </c>
      <c r="G409" s="126"/>
    </row>
    <row r="410" spans="2:7">
      <c r="B410" s="125"/>
      <c r="G410" s="126"/>
    </row>
    <row r="411" spans="2:7">
      <c r="B411" s="59">
        <v>1</v>
      </c>
      <c r="C411" s="45" t="s">
        <v>182</v>
      </c>
      <c r="G411" s="126"/>
    </row>
    <row r="412" spans="2:7">
      <c r="B412" s="59">
        <v>2</v>
      </c>
      <c r="C412" s="45" t="s">
        <v>181</v>
      </c>
      <c r="G412" s="126"/>
    </row>
    <row r="413" spans="2:7">
      <c r="B413" s="59">
        <v>3</v>
      </c>
      <c r="C413" s="45" t="s">
        <v>160</v>
      </c>
      <c r="G413" s="126"/>
    </row>
    <row r="414" spans="2:7">
      <c r="B414" s="59">
        <v>4</v>
      </c>
      <c r="C414" s="45" t="s">
        <v>12</v>
      </c>
      <c r="G414" s="126"/>
    </row>
    <row r="415" spans="2:7">
      <c r="B415" s="59">
        <v>5</v>
      </c>
      <c r="C415" s="45" t="s">
        <v>9</v>
      </c>
      <c r="G415" s="126"/>
    </row>
    <row r="416" spans="2:7">
      <c r="B416" s="59">
        <v>6</v>
      </c>
      <c r="C416" s="45" t="s">
        <v>75</v>
      </c>
      <c r="G416" s="126"/>
    </row>
    <row r="417" spans="2:7">
      <c r="B417" s="59">
        <v>7</v>
      </c>
      <c r="C417" s="45" t="s">
        <v>167</v>
      </c>
      <c r="G417" s="126"/>
    </row>
    <row r="418" spans="2:7">
      <c r="B418" s="59">
        <v>8</v>
      </c>
      <c r="C418" s="45" t="s">
        <v>146</v>
      </c>
      <c r="G418" s="126"/>
    </row>
    <row r="419" spans="2:7">
      <c r="B419" s="59">
        <v>9</v>
      </c>
      <c r="C419" s="45" t="s">
        <v>139</v>
      </c>
      <c r="G419" s="126"/>
    </row>
    <row r="420" spans="2:7">
      <c r="B420" s="59">
        <v>10</v>
      </c>
      <c r="C420" s="45" t="s">
        <v>607</v>
      </c>
      <c r="G420" s="126"/>
    </row>
    <row r="421" spans="2:7">
      <c r="B421" s="59">
        <v>11</v>
      </c>
      <c r="C421" s="45" t="s">
        <v>19</v>
      </c>
      <c r="G421" s="126"/>
    </row>
    <row r="422" spans="2:7">
      <c r="B422" s="59">
        <v>12</v>
      </c>
      <c r="C422" s="45" t="s">
        <v>608</v>
      </c>
      <c r="G422" s="126"/>
    </row>
    <row r="423" spans="2:7">
      <c r="B423" s="59">
        <v>13</v>
      </c>
      <c r="C423" s="45" t="s">
        <v>142</v>
      </c>
      <c r="G423" s="126"/>
    </row>
    <row r="424" spans="2:7">
      <c r="B424" s="59">
        <v>14</v>
      </c>
      <c r="C424" s="45" t="s">
        <v>141</v>
      </c>
      <c r="G424" s="126"/>
    </row>
    <row r="425" spans="2:7">
      <c r="B425" s="59">
        <v>15</v>
      </c>
      <c r="C425" s="45" t="s">
        <v>144</v>
      </c>
      <c r="G425" s="126"/>
    </row>
    <row r="426" spans="2:7">
      <c r="B426" s="125"/>
      <c r="G426" s="126"/>
    </row>
    <row r="427" spans="2:7">
      <c r="B427" s="125"/>
      <c r="C427" s="45" t="s">
        <v>742</v>
      </c>
      <c r="G427" s="126"/>
    </row>
    <row r="428" spans="2:7">
      <c r="B428" s="125"/>
      <c r="C428" s="45" t="s">
        <v>743</v>
      </c>
      <c r="G428" s="126"/>
    </row>
    <row r="429" spans="2:7">
      <c r="B429" s="125"/>
      <c r="C429" s="45" t="s">
        <v>734</v>
      </c>
      <c r="G429" s="126"/>
    </row>
    <row r="430" spans="2:7">
      <c r="B430" s="125"/>
      <c r="C430" s="45" t="s">
        <v>744</v>
      </c>
      <c r="G430" s="126"/>
    </row>
    <row r="431" spans="2:7">
      <c r="B431" s="125"/>
      <c r="C431" s="45" t="s">
        <v>745</v>
      </c>
      <c r="G431" s="126"/>
    </row>
    <row r="432" spans="2:7">
      <c r="B432" s="125"/>
      <c r="C432" s="45" t="s">
        <v>746</v>
      </c>
      <c r="G432" s="126"/>
    </row>
    <row r="433" spans="2:7">
      <c r="B433" s="125"/>
      <c r="C433" s="45" t="s">
        <v>747</v>
      </c>
      <c r="G433" s="126"/>
    </row>
    <row r="434" spans="2:7">
      <c r="B434" s="125"/>
      <c r="G434" s="126"/>
    </row>
    <row r="435" spans="2:7">
      <c r="B435" s="125"/>
      <c r="C435" s="124" t="s">
        <v>21</v>
      </c>
      <c r="G435" s="126"/>
    </row>
    <row r="436" spans="2:7">
      <c r="B436" s="125" t="s">
        <v>336</v>
      </c>
      <c r="C436" s="45" t="s">
        <v>75</v>
      </c>
      <c r="G436" s="126"/>
    </row>
    <row r="437" spans="2:7">
      <c r="B437" s="125" t="s">
        <v>336</v>
      </c>
      <c r="C437" s="45" t="s">
        <v>33</v>
      </c>
      <c r="G437" s="126"/>
    </row>
    <row r="438" spans="2:7">
      <c r="B438" s="125" t="s">
        <v>336</v>
      </c>
      <c r="C438" s="45" t="s">
        <v>146</v>
      </c>
      <c r="G438" s="126"/>
    </row>
    <row r="439" spans="2:7">
      <c r="B439" s="125"/>
      <c r="G439" s="126"/>
    </row>
    <row r="440" spans="2:7">
      <c r="B440" s="125"/>
      <c r="C440" s="44" t="s">
        <v>22</v>
      </c>
      <c r="G440" s="126"/>
    </row>
    <row r="441" spans="2:7">
      <c r="B441" s="125" t="s">
        <v>336</v>
      </c>
      <c r="C441" s="45" t="s">
        <v>607</v>
      </c>
      <c r="G441" s="126"/>
    </row>
    <row r="442" spans="2:7">
      <c r="B442" s="125"/>
      <c r="G442" s="126"/>
    </row>
    <row r="443" spans="2:7">
      <c r="B443" s="125"/>
      <c r="C443" s="44" t="s">
        <v>337</v>
      </c>
      <c r="G443" s="126"/>
    </row>
    <row r="444" spans="2:7">
      <c r="B444" s="125" t="s">
        <v>335</v>
      </c>
      <c r="C444" s="45" t="s">
        <v>607</v>
      </c>
      <c r="G444" s="126"/>
    </row>
    <row r="445" spans="2:7">
      <c r="B445" s="125"/>
      <c r="G445" s="126"/>
    </row>
    <row r="446" spans="2:7">
      <c r="B446" s="125"/>
      <c r="C446" s="44" t="s">
        <v>23</v>
      </c>
      <c r="G446" s="126"/>
    </row>
    <row r="447" spans="2:7">
      <c r="B447" s="125" t="s">
        <v>336</v>
      </c>
      <c r="C447" s="112" t="s">
        <v>181</v>
      </c>
      <c r="G447" s="126"/>
    </row>
    <row r="448" spans="2:7">
      <c r="B448" s="125" t="s">
        <v>336</v>
      </c>
      <c r="C448" s="112" t="s">
        <v>75</v>
      </c>
      <c r="G448" s="126"/>
    </row>
    <row r="449" spans="2:7">
      <c r="B449" s="125" t="s">
        <v>336</v>
      </c>
      <c r="C449" s="112" t="s">
        <v>607</v>
      </c>
      <c r="G449" s="126"/>
    </row>
    <row r="450" spans="2:7" ht="13.5" thickBot="1">
      <c r="B450" s="140"/>
      <c r="C450" s="131"/>
      <c r="D450" s="131"/>
      <c r="E450" s="141"/>
      <c r="F450" s="131"/>
      <c r="G450" s="135"/>
    </row>
    <row r="452" spans="2:7" ht="13.5" thickBot="1"/>
    <row r="453" spans="2:7" ht="13.5" thickBot="1">
      <c r="B453" s="239" t="s">
        <v>748</v>
      </c>
      <c r="C453" s="240"/>
      <c r="D453" s="240"/>
      <c r="E453" s="240"/>
      <c r="F453" s="240"/>
      <c r="G453" s="241"/>
    </row>
    <row r="454" spans="2:7" ht="13.5" thickBot="1">
      <c r="B454" s="125"/>
      <c r="G454" s="126"/>
    </row>
    <row r="455" spans="2:7">
      <c r="B455" s="125"/>
      <c r="C455" s="127" t="s">
        <v>27</v>
      </c>
      <c r="D455" s="128"/>
      <c r="E455" s="128" t="s">
        <v>1</v>
      </c>
      <c r="F455" s="129">
        <v>10</v>
      </c>
      <c r="G455" s="126"/>
    </row>
    <row r="456" spans="2:7" ht="13.5" thickBot="1">
      <c r="B456" s="125"/>
      <c r="C456" s="130"/>
      <c r="D456" s="131"/>
      <c r="E456" s="131" t="s">
        <v>76</v>
      </c>
      <c r="F456" s="132">
        <v>20</v>
      </c>
      <c r="G456" s="126"/>
    </row>
    <row r="457" spans="2:7" ht="13.5" thickBot="1">
      <c r="B457" s="125"/>
      <c r="G457" s="126"/>
    </row>
    <row r="458" spans="2:7">
      <c r="B458" s="125"/>
      <c r="C458" s="127" t="s">
        <v>4</v>
      </c>
      <c r="D458" s="128"/>
      <c r="E458" s="128" t="s">
        <v>1</v>
      </c>
      <c r="F458" s="133" t="s">
        <v>205</v>
      </c>
      <c r="G458" s="126"/>
    </row>
    <row r="459" spans="2:7">
      <c r="B459" s="125"/>
      <c r="C459" s="59" t="s">
        <v>2</v>
      </c>
      <c r="E459" s="45" t="s">
        <v>481</v>
      </c>
      <c r="F459" s="126"/>
      <c r="G459" s="126"/>
    </row>
    <row r="460" spans="2:7" ht="13.5" thickBot="1">
      <c r="B460" s="125"/>
      <c r="C460" s="130" t="s">
        <v>3</v>
      </c>
      <c r="D460" s="131"/>
      <c r="E460" s="134" t="s">
        <v>326</v>
      </c>
      <c r="F460" s="135"/>
      <c r="G460" s="126"/>
    </row>
    <row r="461" spans="2:7" ht="13.5" thickBot="1">
      <c r="B461" s="125"/>
      <c r="G461" s="126"/>
    </row>
    <row r="462" spans="2:7" ht="13.5" thickBot="1">
      <c r="B462" s="125"/>
      <c r="C462" s="136" t="s">
        <v>29</v>
      </c>
      <c r="D462" s="137"/>
      <c r="E462" s="138" t="s">
        <v>228</v>
      </c>
      <c r="F462" s="139"/>
      <c r="G462" s="126"/>
    </row>
    <row r="463" spans="2:7">
      <c r="B463" s="125"/>
      <c r="G463" s="126"/>
    </row>
    <row r="464" spans="2:7">
      <c r="B464" s="125"/>
      <c r="C464" s="45" t="s">
        <v>5</v>
      </c>
      <c r="G464" s="126"/>
    </row>
    <row r="465" spans="2:7">
      <c r="B465" s="125"/>
      <c r="G465" s="126"/>
    </row>
    <row r="466" spans="2:7">
      <c r="B466" s="59">
        <v>1</v>
      </c>
      <c r="C466" s="45" t="s">
        <v>53</v>
      </c>
      <c r="G466" s="126"/>
    </row>
    <row r="467" spans="2:7">
      <c r="B467" s="59">
        <v>2</v>
      </c>
      <c r="C467" s="45" t="s">
        <v>181</v>
      </c>
      <c r="G467" s="126"/>
    </row>
    <row r="468" spans="2:7">
      <c r="B468" s="59">
        <v>3</v>
      </c>
      <c r="C468" s="45" t="s">
        <v>6</v>
      </c>
      <c r="G468" s="126"/>
    </row>
    <row r="469" spans="2:7">
      <c r="B469" s="59">
        <v>4</v>
      </c>
      <c r="C469" s="45" t="s">
        <v>10</v>
      </c>
      <c r="G469" s="126"/>
    </row>
    <row r="470" spans="2:7">
      <c r="B470" s="59">
        <v>5</v>
      </c>
      <c r="C470" s="45" t="s">
        <v>9</v>
      </c>
      <c r="G470" s="126"/>
    </row>
    <row r="471" spans="2:7">
      <c r="B471" s="59">
        <v>6</v>
      </c>
      <c r="C471" s="45" t="s">
        <v>75</v>
      </c>
      <c r="G471" s="126"/>
    </row>
    <row r="472" spans="2:7">
      <c r="B472" s="59">
        <v>7</v>
      </c>
      <c r="C472" s="45" t="s">
        <v>155</v>
      </c>
      <c r="G472" s="126"/>
    </row>
    <row r="473" spans="2:7">
      <c r="B473" s="59">
        <v>8</v>
      </c>
      <c r="C473" s="45" t="s">
        <v>33</v>
      </c>
      <c r="G473" s="126"/>
    </row>
    <row r="474" spans="2:7">
      <c r="B474" s="59">
        <v>9</v>
      </c>
      <c r="C474" s="45" t="s">
        <v>139</v>
      </c>
      <c r="G474" s="126"/>
    </row>
    <row r="475" spans="2:7">
      <c r="B475" s="59">
        <v>10</v>
      </c>
      <c r="C475" s="45" t="s">
        <v>607</v>
      </c>
      <c r="G475" s="126"/>
    </row>
    <row r="476" spans="2:7">
      <c r="B476" s="59">
        <v>11</v>
      </c>
      <c r="C476" s="45" t="s">
        <v>19</v>
      </c>
      <c r="G476" s="126"/>
    </row>
    <row r="477" spans="2:7">
      <c r="B477" s="59">
        <v>12</v>
      </c>
      <c r="C477" s="45" t="s">
        <v>608</v>
      </c>
      <c r="G477" s="126"/>
    </row>
    <row r="478" spans="2:7">
      <c r="B478" s="59">
        <v>13</v>
      </c>
      <c r="C478" s="45" t="s">
        <v>142</v>
      </c>
      <c r="G478" s="126"/>
    </row>
    <row r="479" spans="2:7">
      <c r="B479" s="59">
        <v>14</v>
      </c>
      <c r="C479" s="45" t="s">
        <v>183</v>
      </c>
      <c r="G479" s="126"/>
    </row>
    <row r="480" spans="2:7">
      <c r="B480" s="59">
        <v>15</v>
      </c>
      <c r="C480" s="45" t="s">
        <v>144</v>
      </c>
      <c r="G480" s="126"/>
    </row>
    <row r="481" spans="2:7">
      <c r="B481" s="125"/>
      <c r="G481" s="126"/>
    </row>
    <row r="482" spans="2:7">
      <c r="B482" s="125"/>
      <c r="C482" s="45" t="s">
        <v>749</v>
      </c>
      <c r="G482" s="126"/>
    </row>
    <row r="483" spans="2:7">
      <c r="B483" s="125"/>
      <c r="C483" s="45" t="s">
        <v>743</v>
      </c>
      <c r="G483" s="126"/>
    </row>
    <row r="484" spans="2:7">
      <c r="B484" s="125"/>
      <c r="C484" s="45" t="s">
        <v>750</v>
      </c>
      <c r="G484" s="126"/>
    </row>
    <row r="485" spans="2:7">
      <c r="B485" s="125"/>
      <c r="C485" s="45" t="s">
        <v>587</v>
      </c>
      <c r="G485" s="126"/>
    </row>
    <row r="486" spans="2:7">
      <c r="B486" s="125"/>
      <c r="C486" s="45" t="s">
        <v>751</v>
      </c>
      <c r="G486" s="126"/>
    </row>
    <row r="487" spans="2:7">
      <c r="B487" s="125"/>
      <c r="G487" s="126"/>
    </row>
    <row r="488" spans="2:7">
      <c r="B488" s="125"/>
      <c r="C488" s="124" t="s">
        <v>21</v>
      </c>
      <c r="G488" s="126"/>
    </row>
    <row r="489" spans="2:7">
      <c r="B489" s="125" t="s">
        <v>336</v>
      </c>
      <c r="C489" s="45" t="s">
        <v>139</v>
      </c>
      <c r="G489" s="126"/>
    </row>
    <row r="490" spans="2:7">
      <c r="B490" s="125"/>
      <c r="G490" s="126"/>
    </row>
    <row r="491" spans="2:7">
      <c r="B491" s="125"/>
      <c r="C491" s="44" t="s">
        <v>22</v>
      </c>
      <c r="G491" s="126"/>
    </row>
    <row r="492" spans="2:7">
      <c r="B492" s="125" t="s">
        <v>336</v>
      </c>
      <c r="C492" s="45" t="s">
        <v>607</v>
      </c>
      <c r="G492" s="126"/>
    </row>
    <row r="493" spans="2:7">
      <c r="B493" s="125"/>
      <c r="G493" s="126"/>
    </row>
    <row r="494" spans="2:7">
      <c r="B494" s="125"/>
      <c r="C494" s="44" t="s">
        <v>337</v>
      </c>
      <c r="G494" s="126"/>
    </row>
    <row r="495" spans="2:7">
      <c r="B495" s="125" t="s">
        <v>336</v>
      </c>
      <c r="C495" s="45" t="s">
        <v>607</v>
      </c>
      <c r="G495" s="126"/>
    </row>
    <row r="496" spans="2:7">
      <c r="B496" s="125"/>
      <c r="G496" s="126"/>
    </row>
    <row r="497" spans="2:7">
      <c r="B497" s="125"/>
      <c r="C497" s="44" t="s">
        <v>23</v>
      </c>
      <c r="G497" s="126"/>
    </row>
    <row r="498" spans="2:7">
      <c r="B498" s="125" t="s">
        <v>336</v>
      </c>
      <c r="C498" s="112" t="s">
        <v>155</v>
      </c>
      <c r="G498" s="126"/>
    </row>
    <row r="499" spans="2:7" ht="13.5" thickBot="1">
      <c r="B499" s="140"/>
      <c r="C499" s="131"/>
      <c r="D499" s="131"/>
      <c r="E499" s="141"/>
      <c r="F499" s="131"/>
      <c r="G499" s="135"/>
    </row>
    <row r="501" spans="2:7" ht="13.5" thickBot="1"/>
    <row r="502" spans="2:7" ht="13.5" thickBot="1">
      <c r="B502" s="239" t="s">
        <v>752</v>
      </c>
      <c r="C502" s="240"/>
      <c r="D502" s="240"/>
      <c r="E502" s="240"/>
      <c r="F502" s="240"/>
      <c r="G502" s="241"/>
    </row>
    <row r="503" spans="2:7" ht="13.5" thickBot="1">
      <c r="B503" s="125"/>
      <c r="G503" s="126"/>
    </row>
    <row r="504" spans="2:7">
      <c r="B504" s="125"/>
      <c r="C504" s="127" t="s">
        <v>27</v>
      </c>
      <c r="D504" s="128"/>
      <c r="E504" s="128" t="s">
        <v>58</v>
      </c>
      <c r="F504" s="129">
        <v>29</v>
      </c>
      <c r="G504" s="126"/>
    </row>
    <row r="505" spans="2:7" ht="13.5" thickBot="1">
      <c r="B505" s="125"/>
      <c r="C505" s="130"/>
      <c r="D505" s="131"/>
      <c r="E505" s="131" t="s">
        <v>1</v>
      </c>
      <c r="F505" s="132">
        <v>32</v>
      </c>
      <c r="G505" s="126"/>
    </row>
    <row r="506" spans="2:7" ht="13.5" thickBot="1">
      <c r="B506" s="125"/>
      <c r="G506" s="126"/>
    </row>
    <row r="507" spans="2:7">
      <c r="B507" s="125"/>
      <c r="C507" s="127" t="s">
        <v>4</v>
      </c>
      <c r="D507" s="128"/>
      <c r="E507" s="128" t="s">
        <v>58</v>
      </c>
      <c r="F507" s="133"/>
      <c r="G507" s="126"/>
    </row>
    <row r="508" spans="2:7">
      <c r="B508" s="125"/>
      <c r="C508" s="59" t="s">
        <v>2</v>
      </c>
      <c r="E508" s="45" t="s">
        <v>326</v>
      </c>
      <c r="F508" s="126"/>
      <c r="G508" s="126"/>
    </row>
    <row r="509" spans="2:7" ht="13.5" thickBot="1">
      <c r="B509" s="125"/>
      <c r="C509" s="130" t="s">
        <v>3</v>
      </c>
      <c r="D509" s="131"/>
      <c r="E509" s="134" t="s">
        <v>326</v>
      </c>
      <c r="F509" s="135"/>
      <c r="G509" s="126"/>
    </row>
    <row r="510" spans="2:7" ht="13.5" thickBot="1">
      <c r="B510" s="125"/>
      <c r="G510" s="126"/>
    </row>
    <row r="511" spans="2:7" ht="13.5" thickBot="1">
      <c r="B511" s="125"/>
      <c r="C511" s="136" t="s">
        <v>29</v>
      </c>
      <c r="D511" s="137"/>
      <c r="E511" s="138" t="s">
        <v>299</v>
      </c>
      <c r="F511" s="139"/>
      <c r="G511" s="126"/>
    </row>
    <row r="512" spans="2:7">
      <c r="B512" s="125"/>
      <c r="G512" s="126"/>
    </row>
    <row r="513" spans="2:7">
      <c r="B513" s="125"/>
      <c r="C513" s="45" t="s">
        <v>5</v>
      </c>
      <c r="G513" s="126"/>
    </row>
    <row r="514" spans="2:7">
      <c r="B514" s="125"/>
      <c r="G514" s="126"/>
    </row>
    <row r="515" spans="2:7">
      <c r="B515" s="59">
        <v>1</v>
      </c>
      <c r="C515" s="45" t="s">
        <v>53</v>
      </c>
      <c r="G515" s="126"/>
    </row>
    <row r="516" spans="2:7">
      <c r="B516" s="59">
        <v>2</v>
      </c>
      <c r="C516" s="45" t="s">
        <v>160</v>
      </c>
      <c r="G516" s="126"/>
    </row>
    <row r="517" spans="2:7">
      <c r="B517" s="59">
        <v>3</v>
      </c>
      <c r="C517" s="45" t="s">
        <v>6</v>
      </c>
      <c r="G517" s="126"/>
    </row>
    <row r="518" spans="2:7">
      <c r="B518" s="59">
        <v>4</v>
      </c>
      <c r="C518" s="45" t="s">
        <v>10</v>
      </c>
      <c r="G518" s="126"/>
    </row>
    <row r="519" spans="2:7">
      <c r="B519" s="59">
        <v>5</v>
      </c>
      <c r="C519" s="45" t="s">
        <v>9</v>
      </c>
      <c r="G519" s="126"/>
    </row>
    <row r="520" spans="2:7">
      <c r="B520" s="59">
        <v>6</v>
      </c>
      <c r="C520" s="45" t="s">
        <v>75</v>
      </c>
      <c r="G520" s="126"/>
    </row>
    <row r="521" spans="2:7">
      <c r="B521" s="59">
        <v>7</v>
      </c>
      <c r="C521" s="45" t="s">
        <v>146</v>
      </c>
      <c r="G521" s="126"/>
    </row>
    <row r="522" spans="2:7">
      <c r="B522" s="59">
        <v>8</v>
      </c>
      <c r="C522" s="45" t="s">
        <v>33</v>
      </c>
      <c r="G522" s="126"/>
    </row>
    <row r="523" spans="2:7">
      <c r="B523" s="59">
        <v>9</v>
      </c>
      <c r="C523" s="45" t="s">
        <v>139</v>
      </c>
      <c r="G523" s="126"/>
    </row>
    <row r="524" spans="2:7">
      <c r="B524" s="59">
        <v>10</v>
      </c>
      <c r="C524" s="45" t="s">
        <v>607</v>
      </c>
      <c r="G524" s="126"/>
    </row>
    <row r="525" spans="2:7">
      <c r="B525" s="59">
        <v>11</v>
      </c>
      <c r="C525" s="45" t="s">
        <v>144</v>
      </c>
      <c r="G525" s="126"/>
    </row>
    <row r="526" spans="2:7">
      <c r="B526" s="59">
        <v>12</v>
      </c>
      <c r="C526" s="45" t="s">
        <v>608</v>
      </c>
      <c r="G526" s="126"/>
    </row>
    <row r="527" spans="2:7">
      <c r="B527" s="59">
        <v>13</v>
      </c>
      <c r="C527" s="45" t="s">
        <v>142</v>
      </c>
      <c r="G527" s="126"/>
    </row>
    <row r="528" spans="2:7">
      <c r="B528" s="59">
        <v>14</v>
      </c>
      <c r="C528" s="45" t="s">
        <v>183</v>
      </c>
      <c r="G528" s="126"/>
    </row>
    <row r="529" spans="2:7">
      <c r="B529" s="59">
        <v>15</v>
      </c>
      <c r="C529" s="45" t="s">
        <v>141</v>
      </c>
      <c r="G529" s="126"/>
    </row>
    <row r="530" spans="2:7">
      <c r="B530" s="125"/>
      <c r="G530" s="126"/>
    </row>
    <row r="531" spans="2:7">
      <c r="B531" s="125"/>
      <c r="C531" s="45" t="s">
        <v>753</v>
      </c>
      <c r="G531" s="126"/>
    </row>
    <row r="532" spans="2:7">
      <c r="B532" s="125"/>
      <c r="C532" s="45" t="s">
        <v>754</v>
      </c>
      <c r="G532" s="126"/>
    </row>
    <row r="533" spans="2:7">
      <c r="B533" s="125"/>
      <c r="C533" s="45" t="s">
        <v>417</v>
      </c>
      <c r="G533" s="126"/>
    </row>
    <row r="534" spans="2:7">
      <c r="B534" s="125"/>
      <c r="C534" s="45" t="s">
        <v>755</v>
      </c>
      <c r="G534" s="126"/>
    </row>
    <row r="535" spans="2:7">
      <c r="B535" s="125"/>
      <c r="G535" s="126"/>
    </row>
    <row r="536" spans="2:7">
      <c r="B536" s="125"/>
      <c r="C536" s="124" t="s">
        <v>21</v>
      </c>
      <c r="G536" s="126"/>
    </row>
    <row r="537" spans="2:7">
      <c r="B537" s="125" t="s">
        <v>336</v>
      </c>
      <c r="C537" s="45" t="s">
        <v>139</v>
      </c>
      <c r="G537" s="126"/>
    </row>
    <row r="538" spans="2:7">
      <c r="B538" s="125" t="s">
        <v>352</v>
      </c>
      <c r="C538" s="45" t="s">
        <v>607</v>
      </c>
      <c r="G538" s="126"/>
    </row>
    <row r="539" spans="2:7">
      <c r="B539" s="125" t="s">
        <v>336</v>
      </c>
      <c r="C539" s="45" t="s">
        <v>33</v>
      </c>
      <c r="G539" s="126"/>
    </row>
    <row r="540" spans="2:7">
      <c r="B540" s="125"/>
      <c r="G540" s="126"/>
    </row>
    <row r="541" spans="2:7">
      <c r="B541" s="125"/>
      <c r="C541" s="44" t="s">
        <v>22</v>
      </c>
      <c r="G541" s="126"/>
    </row>
    <row r="542" spans="2:7">
      <c r="B542" s="125" t="s">
        <v>336</v>
      </c>
      <c r="C542" s="45" t="s">
        <v>607</v>
      </c>
      <c r="G542" s="126"/>
    </row>
    <row r="543" spans="2:7">
      <c r="B543" s="125"/>
      <c r="G543" s="126"/>
    </row>
    <row r="544" spans="2:7">
      <c r="B544" s="125"/>
      <c r="C544" s="44" t="s">
        <v>24</v>
      </c>
      <c r="G544" s="126"/>
    </row>
    <row r="545" spans="2:7">
      <c r="B545" s="125" t="s">
        <v>336</v>
      </c>
      <c r="C545" s="45" t="s">
        <v>607</v>
      </c>
      <c r="G545" s="126"/>
    </row>
    <row r="546" spans="2:7">
      <c r="B546" s="125"/>
      <c r="G546" s="126"/>
    </row>
    <row r="547" spans="2:7">
      <c r="B547" s="125"/>
      <c r="C547" s="44" t="s">
        <v>337</v>
      </c>
      <c r="G547" s="126"/>
    </row>
    <row r="548" spans="2:7">
      <c r="B548" s="125" t="s">
        <v>335</v>
      </c>
      <c r="C548" s="45" t="s">
        <v>607</v>
      </c>
      <c r="G548" s="126"/>
    </row>
    <row r="549" spans="2:7">
      <c r="B549" s="125"/>
      <c r="G549" s="126"/>
    </row>
    <row r="550" spans="2:7">
      <c r="B550" s="125"/>
      <c r="C550" s="44" t="s">
        <v>23</v>
      </c>
      <c r="G550" s="126"/>
    </row>
    <row r="551" spans="2:7">
      <c r="B551" s="125"/>
      <c r="C551" s="112" t="s">
        <v>339</v>
      </c>
      <c r="G551" s="126"/>
    </row>
    <row r="552" spans="2:7" ht="13.5" thickBot="1">
      <c r="B552" s="140"/>
      <c r="C552" s="131"/>
      <c r="D552" s="131"/>
      <c r="E552" s="141"/>
      <c r="F552" s="131"/>
      <c r="G552" s="135"/>
    </row>
    <row r="554" spans="2:7" ht="13.5" thickBot="1"/>
    <row r="555" spans="2:7" ht="13.5" thickBot="1">
      <c r="B555" s="239" t="s">
        <v>756</v>
      </c>
      <c r="C555" s="240"/>
      <c r="D555" s="240"/>
      <c r="E555" s="240"/>
      <c r="F555" s="240"/>
      <c r="G555" s="241"/>
    </row>
    <row r="556" spans="2:7" ht="13.5" thickBot="1">
      <c r="B556" s="125"/>
      <c r="G556" s="126"/>
    </row>
    <row r="557" spans="2:7">
      <c r="B557" s="125"/>
      <c r="C557" s="127" t="s">
        <v>27</v>
      </c>
      <c r="D557" s="128"/>
      <c r="E557" s="128" t="s">
        <v>1</v>
      </c>
      <c r="F557" s="129">
        <v>17</v>
      </c>
      <c r="G557" s="126"/>
    </row>
    <row r="558" spans="2:7" ht="13.5" thickBot="1">
      <c r="B558" s="125"/>
      <c r="C558" s="130"/>
      <c r="D558" s="131"/>
      <c r="E558" s="131" t="s">
        <v>51</v>
      </c>
      <c r="F558" s="132">
        <v>7</v>
      </c>
      <c r="G558" s="126"/>
    </row>
    <row r="559" spans="2:7" ht="13.5" thickBot="1">
      <c r="B559" s="125"/>
      <c r="G559" s="126"/>
    </row>
    <row r="560" spans="2:7">
      <c r="B560" s="125"/>
      <c r="C560" s="127" t="s">
        <v>4</v>
      </c>
      <c r="D560" s="128"/>
      <c r="E560" s="128" t="s">
        <v>1</v>
      </c>
      <c r="F560" s="133" t="s">
        <v>205</v>
      </c>
      <c r="G560" s="126"/>
    </row>
    <row r="561" spans="2:7">
      <c r="B561" s="125"/>
      <c r="C561" s="59" t="s">
        <v>2</v>
      </c>
      <c r="E561" s="45" t="s">
        <v>404</v>
      </c>
      <c r="F561" s="126"/>
      <c r="G561" s="126"/>
    </row>
    <row r="562" spans="2:7" ht="13.5" thickBot="1">
      <c r="B562" s="125"/>
      <c r="C562" s="130" t="s">
        <v>3</v>
      </c>
      <c r="D562" s="131"/>
      <c r="E562" s="134" t="s">
        <v>757</v>
      </c>
      <c r="F562" s="135"/>
      <c r="G562" s="126"/>
    </row>
    <row r="563" spans="2:7" ht="13.5" thickBot="1">
      <c r="B563" s="125"/>
      <c r="G563" s="126"/>
    </row>
    <row r="564" spans="2:7" ht="13.5" thickBot="1">
      <c r="B564" s="125"/>
      <c r="C564" s="136" t="s">
        <v>29</v>
      </c>
      <c r="D564" s="137"/>
      <c r="E564" s="138" t="s">
        <v>305</v>
      </c>
      <c r="F564" s="139"/>
      <c r="G564" s="126"/>
    </row>
    <row r="565" spans="2:7">
      <c r="B565" s="125"/>
      <c r="G565" s="126"/>
    </row>
    <row r="566" spans="2:7">
      <c r="B566" s="125"/>
      <c r="C566" s="45" t="s">
        <v>5</v>
      </c>
      <c r="G566" s="126"/>
    </row>
    <row r="567" spans="2:7">
      <c r="B567" s="125"/>
      <c r="G567" s="126"/>
    </row>
    <row r="568" spans="2:7">
      <c r="B568" s="59">
        <v>1</v>
      </c>
      <c r="C568" s="45" t="s">
        <v>11</v>
      </c>
      <c r="G568" s="126"/>
    </row>
    <row r="569" spans="2:7">
      <c r="B569" s="59">
        <v>2</v>
      </c>
      <c r="C569" s="45" t="s">
        <v>160</v>
      </c>
      <c r="G569" s="126"/>
    </row>
    <row r="570" spans="2:7">
      <c r="B570" s="59">
        <v>3</v>
      </c>
      <c r="C570" s="45" t="s">
        <v>6</v>
      </c>
      <c r="G570" s="126"/>
    </row>
    <row r="571" spans="2:7">
      <c r="B571" s="59">
        <v>4</v>
      </c>
      <c r="C571" s="45" t="s">
        <v>10</v>
      </c>
      <c r="G571" s="126"/>
    </row>
    <row r="572" spans="2:7">
      <c r="B572" s="59">
        <v>5</v>
      </c>
      <c r="C572" s="45" t="s">
        <v>9</v>
      </c>
      <c r="G572" s="126"/>
    </row>
    <row r="573" spans="2:7">
      <c r="B573" s="59">
        <v>6</v>
      </c>
      <c r="C573" s="45" t="s">
        <v>75</v>
      </c>
      <c r="G573" s="126"/>
    </row>
    <row r="574" spans="2:7">
      <c r="B574" s="59">
        <v>7</v>
      </c>
      <c r="C574" s="45" t="s">
        <v>155</v>
      </c>
      <c r="G574" s="126"/>
    </row>
    <row r="575" spans="2:7">
      <c r="B575" s="59">
        <v>8</v>
      </c>
      <c r="C575" s="45" t="s">
        <v>146</v>
      </c>
      <c r="G575" s="126"/>
    </row>
    <row r="576" spans="2:7">
      <c r="B576" s="59">
        <v>9</v>
      </c>
      <c r="C576" s="45" t="s">
        <v>139</v>
      </c>
      <c r="G576" s="126"/>
    </row>
    <row r="577" spans="2:7">
      <c r="B577" s="59">
        <v>10</v>
      </c>
      <c r="C577" s="45" t="s">
        <v>607</v>
      </c>
      <c r="G577" s="126"/>
    </row>
    <row r="578" spans="2:7">
      <c r="B578" s="59">
        <v>11</v>
      </c>
      <c r="C578" s="45" t="s">
        <v>144</v>
      </c>
      <c r="G578" s="126"/>
    </row>
    <row r="579" spans="2:7">
      <c r="B579" s="59">
        <v>12</v>
      </c>
      <c r="C579" s="45" t="s">
        <v>608</v>
      </c>
      <c r="G579" s="126"/>
    </row>
    <row r="580" spans="2:7">
      <c r="B580" s="59">
        <v>13</v>
      </c>
      <c r="C580" s="45" t="s">
        <v>142</v>
      </c>
      <c r="G580" s="126"/>
    </row>
    <row r="581" spans="2:7">
      <c r="B581" s="59">
        <v>14</v>
      </c>
      <c r="C581" s="45" t="s">
        <v>19</v>
      </c>
      <c r="G581" s="126"/>
    </row>
    <row r="582" spans="2:7">
      <c r="B582" s="59">
        <v>15</v>
      </c>
      <c r="C582" s="45" t="s">
        <v>141</v>
      </c>
      <c r="G582" s="126"/>
    </row>
    <row r="583" spans="2:7">
      <c r="B583" s="125"/>
      <c r="G583" s="126"/>
    </row>
    <row r="584" spans="2:7">
      <c r="B584" s="125"/>
      <c r="C584" s="45" t="s">
        <v>758</v>
      </c>
      <c r="G584" s="126"/>
    </row>
    <row r="585" spans="2:7">
      <c r="B585" s="125"/>
      <c r="C585" s="45" t="s">
        <v>734</v>
      </c>
      <c r="G585" s="126"/>
    </row>
    <row r="586" spans="2:7">
      <c r="B586" s="125"/>
      <c r="C586" s="45" t="s">
        <v>587</v>
      </c>
      <c r="G586" s="126"/>
    </row>
    <row r="587" spans="2:7">
      <c r="B587" s="125"/>
      <c r="C587" s="45" t="s">
        <v>759</v>
      </c>
      <c r="G587" s="126"/>
    </row>
    <row r="588" spans="2:7">
      <c r="B588" s="125"/>
      <c r="C588" s="45" t="s">
        <v>760</v>
      </c>
      <c r="G588" s="126"/>
    </row>
    <row r="589" spans="2:7">
      <c r="B589" s="125"/>
      <c r="G589" s="126"/>
    </row>
    <row r="590" spans="2:7">
      <c r="B590" s="125"/>
      <c r="C590" s="124" t="s">
        <v>21</v>
      </c>
      <c r="G590" s="126"/>
    </row>
    <row r="591" spans="2:7">
      <c r="B591" s="125" t="s">
        <v>336</v>
      </c>
      <c r="C591" s="45" t="s">
        <v>9</v>
      </c>
      <c r="G591" s="126"/>
    </row>
    <row r="592" spans="2:7">
      <c r="B592" s="125"/>
      <c r="G592" s="126"/>
    </row>
    <row r="593" spans="2:7">
      <c r="B593" s="125"/>
      <c r="C593" s="44" t="s">
        <v>22</v>
      </c>
      <c r="G593" s="126"/>
    </row>
    <row r="594" spans="2:7">
      <c r="B594" s="125" t="s">
        <v>338</v>
      </c>
      <c r="C594" s="45" t="s">
        <v>607</v>
      </c>
      <c r="G594" s="126"/>
    </row>
    <row r="595" spans="2:7">
      <c r="B595" s="125"/>
      <c r="G595" s="126"/>
    </row>
    <row r="596" spans="2:7">
      <c r="B596" s="125"/>
      <c r="C596" s="44" t="s">
        <v>23</v>
      </c>
      <c r="G596" s="126"/>
    </row>
    <row r="597" spans="2:7">
      <c r="B597" s="125"/>
      <c r="C597" s="112" t="s">
        <v>339</v>
      </c>
      <c r="G597" s="126"/>
    </row>
    <row r="598" spans="2:7" ht="13.5" thickBot="1">
      <c r="B598" s="140"/>
      <c r="C598" s="131"/>
      <c r="D598" s="131"/>
      <c r="E598" s="141"/>
      <c r="F598" s="131"/>
      <c r="G598" s="135"/>
    </row>
    <row r="600" spans="2:7" ht="13.5" thickBot="1"/>
    <row r="601" spans="2:7" ht="13.5" thickBot="1">
      <c r="B601" s="239" t="s">
        <v>761</v>
      </c>
      <c r="C601" s="240"/>
      <c r="D601" s="240"/>
      <c r="E601" s="240"/>
      <c r="F601" s="240"/>
      <c r="G601" s="241"/>
    </row>
    <row r="602" spans="2:7" ht="13.5" thickBot="1">
      <c r="B602" s="125"/>
      <c r="G602" s="126"/>
    </row>
    <row r="603" spans="2:7">
      <c r="B603" s="125"/>
      <c r="C603" s="127" t="s">
        <v>27</v>
      </c>
      <c r="D603" s="128"/>
      <c r="E603" s="128" t="s">
        <v>37</v>
      </c>
      <c r="F603" s="129">
        <v>13</v>
      </c>
      <c r="G603" s="126"/>
    </row>
    <row r="604" spans="2:7" ht="13.5" thickBot="1">
      <c r="B604" s="125"/>
      <c r="C604" s="130"/>
      <c r="D604" s="131"/>
      <c r="E604" s="131" t="s">
        <v>1</v>
      </c>
      <c r="F604" s="132">
        <v>9</v>
      </c>
      <c r="G604" s="126"/>
    </row>
    <row r="605" spans="2:7" ht="13.5" thickBot="1">
      <c r="B605" s="125"/>
      <c r="G605" s="126"/>
    </row>
    <row r="606" spans="2:7">
      <c r="B606" s="125"/>
      <c r="C606" s="127" t="s">
        <v>4</v>
      </c>
      <c r="D606" s="128"/>
      <c r="E606" s="128" t="s">
        <v>37</v>
      </c>
      <c r="F606" s="133"/>
      <c r="G606" s="126"/>
    </row>
    <row r="607" spans="2:7">
      <c r="B607" s="125"/>
      <c r="C607" s="59" t="s">
        <v>2</v>
      </c>
      <c r="E607" s="45" t="s">
        <v>384</v>
      </c>
      <c r="F607" s="126"/>
      <c r="G607" s="126"/>
    </row>
    <row r="608" spans="2:7" ht="13.5" thickBot="1">
      <c r="B608" s="125"/>
      <c r="C608" s="130" t="s">
        <v>3</v>
      </c>
      <c r="D608" s="131"/>
      <c r="E608" s="134" t="s">
        <v>385</v>
      </c>
      <c r="F608" s="135"/>
      <c r="G608" s="126"/>
    </row>
    <row r="609" spans="2:7" ht="13.5" thickBot="1">
      <c r="B609" s="125"/>
      <c r="G609" s="126"/>
    </row>
    <row r="610" spans="2:7" ht="13.5" thickBot="1">
      <c r="B610" s="125"/>
      <c r="C610" s="136" t="s">
        <v>29</v>
      </c>
      <c r="D610" s="137"/>
      <c r="E610" s="138" t="s">
        <v>317</v>
      </c>
      <c r="F610" s="139"/>
      <c r="G610" s="126"/>
    </row>
    <row r="611" spans="2:7">
      <c r="B611" s="125"/>
      <c r="G611" s="126"/>
    </row>
    <row r="612" spans="2:7">
      <c r="B612" s="125"/>
      <c r="C612" s="45" t="s">
        <v>5</v>
      </c>
      <c r="G612" s="126"/>
    </row>
    <row r="613" spans="2:7">
      <c r="B613" s="125"/>
      <c r="G613" s="126"/>
    </row>
    <row r="614" spans="2:7">
      <c r="B614" s="59">
        <v>1</v>
      </c>
      <c r="C614" s="45" t="s">
        <v>53</v>
      </c>
      <c r="G614" s="126"/>
    </row>
    <row r="615" spans="2:7">
      <c r="B615" s="59">
        <v>2</v>
      </c>
      <c r="C615" s="45" t="s">
        <v>160</v>
      </c>
      <c r="G615" s="126"/>
    </row>
    <row r="616" spans="2:7">
      <c r="B616" s="59">
        <v>3</v>
      </c>
      <c r="C616" s="45" t="s">
        <v>6</v>
      </c>
      <c r="G616" s="126"/>
    </row>
    <row r="617" spans="2:7">
      <c r="B617" s="59">
        <v>4</v>
      </c>
      <c r="C617" s="45" t="s">
        <v>10</v>
      </c>
      <c r="G617" s="126"/>
    </row>
    <row r="618" spans="2:7">
      <c r="B618" s="59">
        <v>5</v>
      </c>
      <c r="C618" s="45" t="s">
        <v>206</v>
      </c>
      <c r="G618" s="126"/>
    </row>
    <row r="619" spans="2:7">
      <c r="B619" s="59">
        <v>6</v>
      </c>
      <c r="C619" s="45" t="s">
        <v>9</v>
      </c>
      <c r="G619" s="126"/>
    </row>
    <row r="620" spans="2:7">
      <c r="B620" s="59">
        <v>7</v>
      </c>
      <c r="C620" s="45" t="s">
        <v>12</v>
      </c>
      <c r="G620" s="126"/>
    </row>
    <row r="621" spans="2:7">
      <c r="B621" s="59">
        <v>8</v>
      </c>
      <c r="C621" s="45" t="s">
        <v>146</v>
      </c>
      <c r="G621" s="126"/>
    </row>
    <row r="622" spans="2:7">
      <c r="B622" s="59">
        <v>9</v>
      </c>
      <c r="C622" s="45" t="s">
        <v>139</v>
      </c>
      <c r="G622" s="126"/>
    </row>
    <row r="623" spans="2:7">
      <c r="B623" s="59">
        <v>10</v>
      </c>
      <c r="C623" s="45" t="s">
        <v>607</v>
      </c>
      <c r="G623" s="126"/>
    </row>
    <row r="624" spans="2:7">
      <c r="B624" s="59">
        <v>11</v>
      </c>
      <c r="C624" s="45" t="s">
        <v>141</v>
      </c>
      <c r="G624" s="126"/>
    </row>
    <row r="625" spans="2:7">
      <c r="B625" s="59">
        <v>12</v>
      </c>
      <c r="C625" s="45" t="s">
        <v>608</v>
      </c>
      <c r="G625" s="126"/>
    </row>
    <row r="626" spans="2:7">
      <c r="B626" s="59">
        <v>13</v>
      </c>
      <c r="C626" s="45" t="s">
        <v>142</v>
      </c>
      <c r="G626" s="126"/>
    </row>
    <row r="627" spans="2:7">
      <c r="B627" s="59">
        <v>14</v>
      </c>
      <c r="C627" s="45" t="s">
        <v>19</v>
      </c>
      <c r="G627" s="126"/>
    </row>
    <row r="628" spans="2:7">
      <c r="B628" s="59">
        <v>15</v>
      </c>
      <c r="C628" s="45" t="s">
        <v>20</v>
      </c>
      <c r="G628" s="126"/>
    </row>
    <row r="629" spans="2:7">
      <c r="B629" s="125"/>
      <c r="G629" s="126"/>
    </row>
    <row r="630" spans="2:7">
      <c r="B630" s="125"/>
      <c r="C630" s="45" t="s">
        <v>762</v>
      </c>
      <c r="G630" s="126"/>
    </row>
    <row r="631" spans="2:7">
      <c r="B631" s="125"/>
      <c r="C631" s="45" t="s">
        <v>763</v>
      </c>
      <c r="G631" s="126"/>
    </row>
    <row r="632" spans="2:7">
      <c r="B632" s="125"/>
      <c r="C632" s="45" t="s">
        <v>764</v>
      </c>
      <c r="G632" s="126"/>
    </row>
    <row r="633" spans="2:7">
      <c r="B633" s="125"/>
      <c r="C633" s="45" t="s">
        <v>765</v>
      </c>
      <c r="G633" s="126"/>
    </row>
    <row r="634" spans="2:7">
      <c r="B634" s="125"/>
      <c r="G634" s="126"/>
    </row>
    <row r="635" spans="2:7">
      <c r="B635" s="125"/>
      <c r="C635" s="44" t="s">
        <v>22</v>
      </c>
      <c r="G635" s="126"/>
    </row>
    <row r="636" spans="2:7">
      <c r="B636" s="125" t="s">
        <v>335</v>
      </c>
      <c r="C636" s="45" t="s">
        <v>607</v>
      </c>
      <c r="G636" s="126"/>
    </row>
    <row r="637" spans="2:7">
      <c r="B637" s="125"/>
      <c r="G637" s="126"/>
    </row>
    <row r="638" spans="2:7">
      <c r="B638" s="125"/>
      <c r="C638" s="44" t="s">
        <v>23</v>
      </c>
      <c r="G638" s="126"/>
    </row>
    <row r="639" spans="2:7">
      <c r="B639" s="125"/>
      <c r="C639" s="112" t="s">
        <v>339</v>
      </c>
      <c r="G639" s="126"/>
    </row>
    <row r="640" spans="2:7" ht="13.5" thickBot="1">
      <c r="B640" s="140"/>
      <c r="C640" s="131"/>
      <c r="D640" s="131"/>
      <c r="E640" s="141"/>
      <c r="F640" s="131"/>
      <c r="G640" s="135"/>
    </row>
    <row r="642" spans="2:7" ht="13.5" thickBot="1"/>
    <row r="643" spans="2:7" ht="13.5" thickBot="1">
      <c r="B643" s="239" t="s">
        <v>766</v>
      </c>
      <c r="C643" s="240"/>
      <c r="D643" s="240"/>
      <c r="E643" s="240"/>
      <c r="F643" s="240"/>
      <c r="G643" s="241"/>
    </row>
    <row r="644" spans="2:7" ht="13.5" thickBot="1">
      <c r="B644" s="125"/>
      <c r="G644" s="126"/>
    </row>
    <row r="645" spans="2:7">
      <c r="B645" s="125"/>
      <c r="C645" s="127" t="s">
        <v>27</v>
      </c>
      <c r="D645" s="128"/>
      <c r="E645" s="128" t="s">
        <v>93</v>
      </c>
      <c r="F645" s="129">
        <v>29</v>
      </c>
      <c r="G645" s="126"/>
    </row>
    <row r="646" spans="2:7" ht="13.5" thickBot="1">
      <c r="B646" s="125"/>
      <c r="C646" s="130"/>
      <c r="D646" s="131"/>
      <c r="E646" s="131" t="s">
        <v>1</v>
      </c>
      <c r="F646" s="132">
        <v>26</v>
      </c>
      <c r="G646" s="126"/>
    </row>
    <row r="647" spans="2:7" ht="13.5" thickBot="1">
      <c r="B647" s="125"/>
      <c r="G647" s="126"/>
    </row>
    <row r="648" spans="2:7">
      <c r="B648" s="125"/>
      <c r="C648" s="127" t="s">
        <v>4</v>
      </c>
      <c r="D648" s="128"/>
      <c r="E648" s="128" t="s">
        <v>93</v>
      </c>
      <c r="F648" s="133"/>
      <c r="G648" s="126"/>
    </row>
    <row r="649" spans="2:7">
      <c r="B649" s="125"/>
      <c r="C649" s="59" t="s">
        <v>2</v>
      </c>
      <c r="E649" s="45" t="s">
        <v>326</v>
      </c>
      <c r="F649" s="126"/>
      <c r="G649" s="126"/>
    </row>
    <row r="650" spans="2:7" ht="13.5" thickBot="1">
      <c r="B650" s="125"/>
      <c r="C650" s="130" t="s">
        <v>3</v>
      </c>
      <c r="D650" s="131"/>
      <c r="E650" s="134" t="s">
        <v>326</v>
      </c>
      <c r="F650" s="135"/>
      <c r="G650" s="126"/>
    </row>
    <row r="651" spans="2:7" ht="13.5" thickBot="1">
      <c r="B651" s="125"/>
      <c r="G651" s="126"/>
    </row>
    <row r="652" spans="2:7" ht="13.5" thickBot="1">
      <c r="B652" s="125"/>
      <c r="C652" s="136" t="s">
        <v>29</v>
      </c>
      <c r="D652" s="137"/>
      <c r="E652" s="138" t="s">
        <v>289</v>
      </c>
      <c r="F652" s="139"/>
      <c r="G652" s="126"/>
    </row>
    <row r="653" spans="2:7">
      <c r="B653" s="125"/>
      <c r="G653" s="126"/>
    </row>
    <row r="654" spans="2:7">
      <c r="B654" s="125"/>
      <c r="C654" s="45" t="s">
        <v>5</v>
      </c>
      <c r="G654" s="126"/>
    </row>
    <row r="655" spans="2:7">
      <c r="B655" s="125"/>
      <c r="G655" s="126"/>
    </row>
    <row r="656" spans="2:7">
      <c r="B656" s="59">
        <v>1</v>
      </c>
      <c r="C656" s="45" t="s">
        <v>53</v>
      </c>
      <c r="G656" s="126"/>
    </row>
    <row r="657" spans="2:7">
      <c r="B657" s="59">
        <v>2</v>
      </c>
      <c r="C657" s="45" t="s">
        <v>11</v>
      </c>
      <c r="G657" s="126"/>
    </row>
    <row r="658" spans="2:7">
      <c r="B658" s="59">
        <v>3</v>
      </c>
      <c r="C658" s="45" t="s">
        <v>6</v>
      </c>
      <c r="G658" s="126"/>
    </row>
    <row r="659" spans="2:7">
      <c r="B659" s="59">
        <v>4</v>
      </c>
      <c r="C659" s="45" t="s">
        <v>10</v>
      </c>
      <c r="G659" s="126"/>
    </row>
    <row r="660" spans="2:7">
      <c r="B660" s="59">
        <v>5</v>
      </c>
      <c r="C660" s="45" t="s">
        <v>206</v>
      </c>
      <c r="G660" s="126"/>
    </row>
    <row r="661" spans="2:7">
      <c r="B661" s="59">
        <v>6</v>
      </c>
      <c r="C661" s="45" t="s">
        <v>155</v>
      </c>
      <c r="G661" s="126"/>
    </row>
    <row r="662" spans="2:7">
      <c r="B662" s="59">
        <v>7</v>
      </c>
      <c r="C662" s="45" t="s">
        <v>75</v>
      </c>
      <c r="G662" s="126"/>
    </row>
    <row r="663" spans="2:7">
      <c r="B663" s="59">
        <v>8</v>
      </c>
      <c r="C663" s="45" t="s">
        <v>146</v>
      </c>
      <c r="G663" s="126"/>
    </row>
    <row r="664" spans="2:7">
      <c r="B664" s="59">
        <v>9</v>
      </c>
      <c r="C664" s="45" t="s">
        <v>139</v>
      </c>
      <c r="G664" s="126"/>
    </row>
    <row r="665" spans="2:7">
      <c r="B665" s="59">
        <v>10</v>
      </c>
      <c r="C665" s="45" t="s">
        <v>607</v>
      </c>
      <c r="G665" s="126"/>
    </row>
    <row r="666" spans="2:7">
      <c r="B666" s="59">
        <v>11</v>
      </c>
      <c r="C666" s="45" t="s">
        <v>144</v>
      </c>
      <c r="G666" s="126"/>
    </row>
    <row r="667" spans="2:7">
      <c r="B667" s="59">
        <v>12</v>
      </c>
      <c r="C667" s="45" t="s">
        <v>608</v>
      </c>
      <c r="G667" s="126"/>
    </row>
    <row r="668" spans="2:7">
      <c r="B668" s="59">
        <v>13</v>
      </c>
      <c r="C668" s="45" t="s">
        <v>142</v>
      </c>
      <c r="G668" s="126"/>
    </row>
    <row r="669" spans="2:7">
      <c r="B669" s="59">
        <v>14</v>
      </c>
      <c r="C669" s="45" t="s">
        <v>19</v>
      </c>
      <c r="G669" s="126"/>
    </row>
    <row r="670" spans="2:7">
      <c r="B670" s="59">
        <v>15</v>
      </c>
      <c r="C670" s="45" t="s">
        <v>20</v>
      </c>
      <c r="G670" s="126"/>
    </row>
    <row r="671" spans="2:7">
      <c r="B671" s="125"/>
      <c r="G671" s="126"/>
    </row>
    <row r="672" spans="2:7">
      <c r="B672" s="125"/>
      <c r="C672" s="45" t="s">
        <v>749</v>
      </c>
      <c r="G672" s="126"/>
    </row>
    <row r="673" spans="2:7">
      <c r="B673" s="125"/>
      <c r="C673" s="45" t="s">
        <v>767</v>
      </c>
      <c r="G673" s="126"/>
    </row>
    <row r="674" spans="2:7">
      <c r="B674" s="125"/>
      <c r="C674" s="45" t="s">
        <v>768</v>
      </c>
      <c r="G674" s="126"/>
    </row>
    <row r="675" spans="2:7">
      <c r="B675" s="125"/>
      <c r="C675" s="45" t="s">
        <v>765</v>
      </c>
      <c r="G675" s="126"/>
    </row>
    <row r="676" spans="2:7">
      <c r="B676" s="125"/>
      <c r="C676" s="45" t="s">
        <v>769</v>
      </c>
      <c r="G676" s="126"/>
    </row>
    <row r="677" spans="2:7">
      <c r="B677" s="125"/>
      <c r="C677" s="45" t="s">
        <v>770</v>
      </c>
      <c r="G677" s="126"/>
    </row>
    <row r="678" spans="2:7">
      <c r="B678" s="125"/>
      <c r="G678" s="126"/>
    </row>
    <row r="679" spans="2:7">
      <c r="B679" s="125"/>
      <c r="C679" s="44" t="s">
        <v>21</v>
      </c>
      <c r="G679" s="126"/>
    </row>
    <row r="680" spans="2:7">
      <c r="B680" s="125" t="s">
        <v>336</v>
      </c>
      <c r="C680" s="45" t="s">
        <v>144</v>
      </c>
      <c r="G680" s="126"/>
    </row>
    <row r="681" spans="2:7">
      <c r="B681" s="125" t="s">
        <v>336</v>
      </c>
      <c r="C681" s="45" t="s">
        <v>53</v>
      </c>
      <c r="G681" s="126"/>
    </row>
    <row r="682" spans="2:7">
      <c r="B682" s="125" t="s">
        <v>336</v>
      </c>
      <c r="C682" s="45" t="s">
        <v>146</v>
      </c>
      <c r="G682" s="126"/>
    </row>
    <row r="683" spans="2:7">
      <c r="B683" s="125" t="s">
        <v>336</v>
      </c>
      <c r="C683" s="45" t="s">
        <v>12</v>
      </c>
      <c r="G683" s="126"/>
    </row>
    <row r="684" spans="2:7">
      <c r="B684" s="125"/>
      <c r="G684" s="126"/>
    </row>
    <row r="685" spans="2:7">
      <c r="B685" s="125"/>
      <c r="C685" s="45" t="s">
        <v>771</v>
      </c>
      <c r="G685" s="126"/>
    </row>
    <row r="686" spans="2:7">
      <c r="B686" s="125" t="s">
        <v>335</v>
      </c>
      <c r="C686" s="45" t="s">
        <v>607</v>
      </c>
      <c r="G686" s="126"/>
    </row>
    <row r="687" spans="2:7">
      <c r="B687" s="125"/>
      <c r="G687" s="126"/>
    </row>
    <row r="688" spans="2:7">
      <c r="B688" s="125"/>
      <c r="C688" s="44" t="s">
        <v>23</v>
      </c>
      <c r="G688" s="126"/>
    </row>
    <row r="689" spans="2:7">
      <c r="B689" s="125"/>
      <c r="C689" s="112" t="s">
        <v>339</v>
      </c>
      <c r="G689" s="126"/>
    </row>
    <row r="690" spans="2:7" ht="13.5" thickBot="1">
      <c r="B690" s="140"/>
      <c r="C690" s="131"/>
      <c r="D690" s="131"/>
      <c r="E690" s="141"/>
      <c r="F690" s="131"/>
      <c r="G690" s="135"/>
    </row>
    <row r="692" spans="2:7" ht="13.5" thickBot="1"/>
    <row r="693" spans="2:7" ht="13.5" thickBot="1">
      <c r="B693" s="239" t="s">
        <v>772</v>
      </c>
      <c r="C693" s="240"/>
      <c r="D693" s="240"/>
      <c r="E693" s="240"/>
      <c r="F693" s="240"/>
      <c r="G693" s="241"/>
    </row>
    <row r="694" spans="2:7" ht="13.5" thickBot="1">
      <c r="B694" s="125"/>
      <c r="G694" s="126"/>
    </row>
    <row r="695" spans="2:7">
      <c r="B695" s="125"/>
      <c r="C695" s="127" t="s">
        <v>27</v>
      </c>
      <c r="D695" s="128"/>
      <c r="E695" s="128" t="s">
        <v>1</v>
      </c>
      <c r="F695" s="129">
        <v>40</v>
      </c>
      <c r="G695" s="126"/>
    </row>
    <row r="696" spans="2:7" ht="13.5" thickBot="1">
      <c r="B696" s="125"/>
      <c r="C696" s="130"/>
      <c r="D696" s="131"/>
      <c r="E696" s="131" t="s">
        <v>118</v>
      </c>
      <c r="F696" s="132">
        <v>38</v>
      </c>
      <c r="G696" s="126"/>
    </row>
    <row r="697" spans="2:7" ht="13.5" thickBot="1">
      <c r="B697" s="125"/>
      <c r="G697" s="126"/>
    </row>
    <row r="698" spans="2:7">
      <c r="B698" s="125"/>
      <c r="C698" s="127" t="s">
        <v>4</v>
      </c>
      <c r="D698" s="128"/>
      <c r="E698" s="128" t="s">
        <v>1</v>
      </c>
      <c r="F698" s="133" t="s">
        <v>773</v>
      </c>
      <c r="G698" s="126"/>
    </row>
    <row r="699" spans="2:7">
      <c r="B699" s="125"/>
      <c r="C699" s="59" t="s">
        <v>2</v>
      </c>
      <c r="E699" s="45" t="s">
        <v>326</v>
      </c>
      <c r="F699" s="126"/>
      <c r="G699" s="126"/>
    </row>
    <row r="700" spans="2:7" ht="13.5" thickBot="1">
      <c r="B700" s="125"/>
      <c r="C700" s="130" t="s">
        <v>3</v>
      </c>
      <c r="D700" s="131"/>
      <c r="E700" s="134" t="s">
        <v>344</v>
      </c>
      <c r="F700" s="135"/>
      <c r="G700" s="126"/>
    </row>
    <row r="701" spans="2:7" ht="13.5" thickBot="1">
      <c r="B701" s="125"/>
      <c r="G701" s="126"/>
    </row>
    <row r="702" spans="2:7" ht="13.5" thickBot="1">
      <c r="B702" s="125"/>
      <c r="C702" s="136" t="s">
        <v>29</v>
      </c>
      <c r="D702" s="137"/>
      <c r="E702" s="138" t="s">
        <v>774</v>
      </c>
      <c r="F702" s="139"/>
      <c r="G702" s="126"/>
    </row>
    <row r="703" spans="2:7">
      <c r="B703" s="125"/>
      <c r="G703" s="126"/>
    </row>
    <row r="704" spans="2:7">
      <c r="B704" s="125"/>
      <c r="C704" s="45" t="s">
        <v>5</v>
      </c>
      <c r="G704" s="126"/>
    </row>
    <row r="705" spans="2:7">
      <c r="B705" s="125"/>
      <c r="G705" s="126"/>
    </row>
    <row r="706" spans="2:7">
      <c r="B706" s="59">
        <v>1</v>
      </c>
      <c r="C706" s="45" t="s">
        <v>53</v>
      </c>
      <c r="G706" s="126"/>
    </row>
    <row r="707" spans="2:7">
      <c r="B707" s="59">
        <v>2</v>
      </c>
      <c r="C707" s="45" t="s">
        <v>11</v>
      </c>
      <c r="G707" s="126"/>
    </row>
    <row r="708" spans="2:7">
      <c r="B708" s="59">
        <v>3</v>
      </c>
      <c r="C708" s="45" t="s">
        <v>6</v>
      </c>
      <c r="G708" s="126"/>
    </row>
    <row r="709" spans="2:7">
      <c r="B709" s="59">
        <v>4</v>
      </c>
      <c r="C709" s="45" t="s">
        <v>10</v>
      </c>
      <c r="G709" s="126"/>
    </row>
    <row r="710" spans="2:7">
      <c r="B710" s="59">
        <v>5</v>
      </c>
      <c r="C710" s="45" t="s">
        <v>9</v>
      </c>
      <c r="G710" s="126"/>
    </row>
    <row r="711" spans="2:7">
      <c r="B711" s="59">
        <v>6</v>
      </c>
      <c r="C711" s="45" t="s">
        <v>12</v>
      </c>
      <c r="G711" s="126"/>
    </row>
    <row r="712" spans="2:7">
      <c r="B712" s="59">
        <v>7</v>
      </c>
      <c r="C712" s="45" t="s">
        <v>75</v>
      </c>
      <c r="G712" s="126"/>
    </row>
    <row r="713" spans="2:7">
      <c r="B713" s="59">
        <v>8</v>
      </c>
      <c r="C713" s="45" t="s">
        <v>146</v>
      </c>
      <c r="G713" s="126"/>
    </row>
    <row r="714" spans="2:7">
      <c r="B714" s="59">
        <v>9</v>
      </c>
      <c r="C714" s="45" t="s">
        <v>139</v>
      </c>
      <c r="G714" s="126"/>
    </row>
    <row r="715" spans="2:7">
      <c r="B715" s="59">
        <v>10</v>
      </c>
      <c r="C715" s="45" t="s">
        <v>607</v>
      </c>
      <c r="G715" s="126"/>
    </row>
    <row r="716" spans="2:7">
      <c r="B716" s="59">
        <v>11</v>
      </c>
      <c r="C716" s="45" t="s">
        <v>190</v>
      </c>
      <c r="G716" s="126"/>
    </row>
    <row r="717" spans="2:7">
      <c r="B717" s="59">
        <v>12</v>
      </c>
      <c r="C717" s="45" t="s">
        <v>608</v>
      </c>
      <c r="G717" s="126"/>
    </row>
    <row r="718" spans="2:7">
      <c r="B718" s="59">
        <v>13</v>
      </c>
      <c r="C718" s="45" t="s">
        <v>142</v>
      </c>
      <c r="G718" s="126"/>
    </row>
    <row r="719" spans="2:7">
      <c r="B719" s="59">
        <v>14</v>
      </c>
      <c r="C719" s="45" t="s">
        <v>144</v>
      </c>
      <c r="G719" s="126"/>
    </row>
    <row r="720" spans="2:7">
      <c r="B720" s="59">
        <v>15</v>
      </c>
      <c r="C720" s="45" t="s">
        <v>141</v>
      </c>
      <c r="G720" s="126"/>
    </row>
    <row r="721" spans="2:7">
      <c r="B721" s="125"/>
      <c r="G721" s="126"/>
    </row>
    <row r="722" spans="2:7">
      <c r="B722" s="125"/>
      <c r="G722" s="126"/>
    </row>
    <row r="723" spans="2:7">
      <c r="B723" s="125"/>
      <c r="C723" s="45" t="s">
        <v>775</v>
      </c>
      <c r="G723" s="126"/>
    </row>
    <row r="724" spans="2:7">
      <c r="B724" s="125"/>
      <c r="C724" s="45" t="s">
        <v>765</v>
      </c>
      <c r="G724" s="126"/>
    </row>
    <row r="725" spans="2:7">
      <c r="B725" s="125"/>
      <c r="C725" s="45" t="s">
        <v>776</v>
      </c>
      <c r="G725" s="126"/>
    </row>
    <row r="726" spans="2:7">
      <c r="B726" s="125"/>
      <c r="G726" s="126"/>
    </row>
    <row r="727" spans="2:7">
      <c r="B727" s="125"/>
      <c r="C727" s="44" t="s">
        <v>21</v>
      </c>
      <c r="G727" s="126"/>
    </row>
    <row r="728" spans="2:7">
      <c r="B728" s="125" t="s">
        <v>336</v>
      </c>
      <c r="C728" s="45" t="s">
        <v>75</v>
      </c>
      <c r="G728" s="126"/>
    </row>
    <row r="729" spans="2:7">
      <c r="B729" s="125" t="s">
        <v>336</v>
      </c>
      <c r="C729" s="45" t="s">
        <v>15</v>
      </c>
      <c r="G729" s="126"/>
    </row>
    <row r="730" spans="2:7">
      <c r="B730" s="125" t="s">
        <v>336</v>
      </c>
      <c r="C730" s="45" t="s">
        <v>142</v>
      </c>
      <c r="G730" s="126"/>
    </row>
    <row r="731" spans="2:7">
      <c r="B731" s="125" t="s">
        <v>336</v>
      </c>
      <c r="C731" s="45" t="s">
        <v>190</v>
      </c>
      <c r="G731" s="126"/>
    </row>
    <row r="732" spans="2:7">
      <c r="B732" s="125" t="s">
        <v>352</v>
      </c>
      <c r="C732" s="45" t="s">
        <v>20</v>
      </c>
      <c r="G732" s="126"/>
    </row>
    <row r="733" spans="2:7">
      <c r="B733" s="125"/>
      <c r="G733" s="126"/>
    </row>
    <row r="734" spans="2:7">
      <c r="B734" s="125"/>
      <c r="C734" s="45" t="s">
        <v>771</v>
      </c>
      <c r="G734" s="126"/>
    </row>
    <row r="735" spans="2:7">
      <c r="B735" s="125" t="s">
        <v>351</v>
      </c>
      <c r="C735" s="45" t="s">
        <v>607</v>
      </c>
      <c r="G735" s="126"/>
    </row>
    <row r="736" spans="2:7">
      <c r="B736" s="125"/>
      <c r="G736" s="126"/>
    </row>
    <row r="737" spans="2:7">
      <c r="B737" s="125"/>
      <c r="C737" s="44" t="s">
        <v>23</v>
      </c>
      <c r="G737" s="126"/>
    </row>
    <row r="738" spans="2:7">
      <c r="B738" s="125"/>
      <c r="C738" s="112" t="s">
        <v>339</v>
      </c>
      <c r="G738" s="126"/>
    </row>
    <row r="739" spans="2:7" ht="13.5" thickBot="1">
      <c r="B739" s="140"/>
      <c r="C739" s="131"/>
      <c r="D739" s="131"/>
      <c r="E739" s="141"/>
      <c r="F739" s="131"/>
      <c r="G739" s="135"/>
    </row>
    <row r="741" spans="2:7" ht="13.5" thickBot="1"/>
    <row r="742" spans="2:7" ht="13.5" thickBot="1">
      <c r="B742" s="239" t="s">
        <v>777</v>
      </c>
      <c r="C742" s="240"/>
      <c r="D742" s="240"/>
      <c r="E742" s="240"/>
      <c r="F742" s="240"/>
      <c r="G742" s="241"/>
    </row>
    <row r="743" spans="2:7" ht="13.5" thickBot="1">
      <c r="B743" s="125"/>
      <c r="G743" s="126"/>
    </row>
    <row r="744" spans="2:7">
      <c r="B744" s="125"/>
      <c r="C744" s="127" t="s">
        <v>27</v>
      </c>
      <c r="D744" s="128"/>
      <c r="E744" s="128" t="s">
        <v>74</v>
      </c>
      <c r="F744" s="129">
        <v>24</v>
      </c>
      <c r="G744" s="126"/>
    </row>
    <row r="745" spans="2:7" ht="13.5" thickBot="1">
      <c r="B745" s="125"/>
      <c r="C745" s="130"/>
      <c r="D745" s="131"/>
      <c r="E745" s="131" t="s">
        <v>1</v>
      </c>
      <c r="F745" s="132">
        <v>21</v>
      </c>
      <c r="G745" s="126"/>
    </row>
    <row r="746" spans="2:7" ht="13.5" thickBot="1">
      <c r="B746" s="125"/>
      <c r="G746" s="126"/>
    </row>
    <row r="747" spans="2:7">
      <c r="B747" s="125"/>
      <c r="C747" s="127" t="s">
        <v>4</v>
      </c>
      <c r="D747" s="128"/>
      <c r="E747" s="128" t="s">
        <v>74</v>
      </c>
      <c r="F747" s="133"/>
      <c r="G747" s="126"/>
    </row>
    <row r="748" spans="2:7">
      <c r="B748" s="125"/>
      <c r="C748" s="59" t="s">
        <v>2</v>
      </c>
      <c r="E748" s="45" t="s">
        <v>326</v>
      </c>
      <c r="F748" s="126"/>
      <c r="G748" s="126"/>
    </row>
    <row r="749" spans="2:7" ht="13.5" thickBot="1">
      <c r="B749" s="125"/>
      <c r="C749" s="130" t="s">
        <v>3</v>
      </c>
      <c r="D749" s="131"/>
      <c r="E749" s="134" t="s">
        <v>326</v>
      </c>
      <c r="F749" s="135"/>
      <c r="G749" s="126"/>
    </row>
    <row r="750" spans="2:7" ht="13.5" thickBot="1">
      <c r="B750" s="125"/>
      <c r="G750" s="126"/>
    </row>
    <row r="751" spans="2:7" ht="13.5" thickBot="1">
      <c r="B751" s="125"/>
      <c r="C751" s="136" t="s">
        <v>29</v>
      </c>
      <c r="D751" s="137"/>
      <c r="E751" s="138" t="s">
        <v>318</v>
      </c>
      <c r="F751" s="139"/>
      <c r="G751" s="126"/>
    </row>
    <row r="752" spans="2:7">
      <c r="B752" s="125"/>
      <c r="G752" s="126"/>
    </row>
    <row r="753" spans="2:7">
      <c r="B753" s="125"/>
      <c r="C753" s="45" t="s">
        <v>5</v>
      </c>
      <c r="G753" s="126"/>
    </row>
    <row r="754" spans="2:7">
      <c r="B754" s="125"/>
      <c r="G754" s="126"/>
    </row>
    <row r="755" spans="2:7">
      <c r="B755" s="59">
        <v>1</v>
      </c>
      <c r="C755" s="45" t="s">
        <v>53</v>
      </c>
      <c r="G755" s="126"/>
    </row>
    <row r="756" spans="2:7">
      <c r="B756" s="59">
        <v>2</v>
      </c>
      <c r="C756" s="45" t="s">
        <v>11</v>
      </c>
      <c r="G756" s="126"/>
    </row>
    <row r="757" spans="2:7">
      <c r="B757" s="59">
        <v>3</v>
      </c>
      <c r="C757" s="45" t="s">
        <v>6</v>
      </c>
      <c r="G757" s="126"/>
    </row>
    <row r="758" spans="2:7">
      <c r="B758" s="59">
        <v>4</v>
      </c>
      <c r="C758" s="45" t="s">
        <v>10</v>
      </c>
      <c r="G758" s="126"/>
    </row>
    <row r="759" spans="2:7">
      <c r="B759" s="59">
        <v>5</v>
      </c>
      <c r="C759" s="45" t="s">
        <v>206</v>
      </c>
      <c r="G759" s="126"/>
    </row>
    <row r="760" spans="2:7">
      <c r="B760" s="59">
        <v>6</v>
      </c>
      <c r="C760" s="45" t="s">
        <v>12</v>
      </c>
      <c r="G760" s="126"/>
    </row>
    <row r="761" spans="2:7">
      <c r="B761" s="59">
        <v>7</v>
      </c>
      <c r="C761" s="45" t="s">
        <v>75</v>
      </c>
      <c r="G761" s="126"/>
    </row>
    <row r="762" spans="2:7">
      <c r="B762" s="59">
        <v>8</v>
      </c>
      <c r="C762" s="45" t="s">
        <v>146</v>
      </c>
      <c r="G762" s="126"/>
    </row>
    <row r="763" spans="2:7">
      <c r="B763" s="59">
        <v>9</v>
      </c>
      <c r="C763" s="45" t="s">
        <v>139</v>
      </c>
      <c r="G763" s="126"/>
    </row>
    <row r="764" spans="2:7">
      <c r="B764" s="59">
        <v>10</v>
      </c>
      <c r="C764" s="45" t="s">
        <v>607</v>
      </c>
      <c r="G764" s="126"/>
    </row>
    <row r="765" spans="2:7">
      <c r="B765" s="59">
        <v>11</v>
      </c>
      <c r="C765" s="45" t="s">
        <v>144</v>
      </c>
      <c r="G765" s="126"/>
    </row>
    <row r="766" spans="2:7">
      <c r="B766" s="59">
        <v>12</v>
      </c>
      <c r="C766" s="45" t="s">
        <v>608</v>
      </c>
      <c r="G766" s="126"/>
    </row>
    <row r="767" spans="2:7">
      <c r="B767" s="59">
        <v>13</v>
      </c>
      <c r="C767" s="45" t="s">
        <v>142</v>
      </c>
      <c r="G767" s="126"/>
    </row>
    <row r="768" spans="2:7">
      <c r="B768" s="59">
        <v>14</v>
      </c>
      <c r="C768" s="45" t="s">
        <v>141</v>
      </c>
      <c r="G768" s="126"/>
    </row>
    <row r="769" spans="2:7">
      <c r="B769" s="59">
        <v>15</v>
      </c>
      <c r="C769" s="45" t="s">
        <v>190</v>
      </c>
      <c r="G769" s="126"/>
    </row>
    <row r="770" spans="2:7">
      <c r="B770" s="125"/>
      <c r="G770" s="126"/>
    </row>
    <row r="771" spans="2:7">
      <c r="B771" s="125"/>
      <c r="C771" s="45" t="s">
        <v>778</v>
      </c>
      <c r="G771" s="126"/>
    </row>
    <row r="772" spans="2:7">
      <c r="B772" s="125"/>
      <c r="C772" s="45" t="s">
        <v>622</v>
      </c>
      <c r="G772" s="126"/>
    </row>
    <row r="773" spans="2:7">
      <c r="B773" s="125"/>
      <c r="C773" s="45" t="s">
        <v>779</v>
      </c>
      <c r="G773" s="126"/>
    </row>
    <row r="774" spans="2:7">
      <c r="B774" s="125"/>
      <c r="C774" s="45" t="s">
        <v>780</v>
      </c>
      <c r="G774" s="126"/>
    </row>
    <row r="775" spans="2:7">
      <c r="B775" s="125"/>
      <c r="C775" s="45" t="s">
        <v>633</v>
      </c>
      <c r="G775" s="126"/>
    </row>
    <row r="776" spans="2:7">
      <c r="B776" s="125"/>
      <c r="G776" s="126"/>
    </row>
    <row r="777" spans="2:7">
      <c r="B777" s="125"/>
      <c r="C777" s="44" t="s">
        <v>21</v>
      </c>
      <c r="G777" s="126"/>
    </row>
    <row r="778" spans="2:7">
      <c r="B778" s="125" t="s">
        <v>336</v>
      </c>
      <c r="C778" s="45" t="s">
        <v>11</v>
      </c>
      <c r="G778" s="126"/>
    </row>
    <row r="779" spans="2:7">
      <c r="B779" s="125" t="s">
        <v>336</v>
      </c>
      <c r="C779" s="45" t="s">
        <v>190</v>
      </c>
      <c r="G779" s="126"/>
    </row>
    <row r="780" spans="2:7">
      <c r="B780" s="125"/>
      <c r="G780" s="126"/>
    </row>
    <row r="781" spans="2:7">
      <c r="B781" s="125"/>
      <c r="C781" s="45" t="s">
        <v>771</v>
      </c>
      <c r="G781" s="126"/>
    </row>
    <row r="782" spans="2:7">
      <c r="B782" s="125" t="s">
        <v>336</v>
      </c>
      <c r="C782" s="45" t="s">
        <v>607</v>
      </c>
      <c r="G782" s="126"/>
    </row>
    <row r="783" spans="2:7">
      <c r="B783" s="125"/>
      <c r="G783" s="126"/>
    </row>
    <row r="784" spans="2:7">
      <c r="B784" s="125"/>
      <c r="C784" s="44" t="s">
        <v>22</v>
      </c>
      <c r="G784" s="126"/>
    </row>
    <row r="785" spans="2:7">
      <c r="B785" s="125" t="s">
        <v>352</v>
      </c>
      <c r="C785" s="45" t="s">
        <v>607</v>
      </c>
      <c r="G785" s="126"/>
    </row>
    <row r="786" spans="2:7">
      <c r="B786" s="125"/>
      <c r="G786" s="126"/>
    </row>
    <row r="787" spans="2:7">
      <c r="B787" s="125"/>
      <c r="C787" s="44" t="s">
        <v>24</v>
      </c>
      <c r="G787" s="126"/>
    </row>
    <row r="788" spans="2:7">
      <c r="B788" s="125" t="s">
        <v>336</v>
      </c>
      <c r="C788" s="45" t="s">
        <v>607</v>
      </c>
      <c r="G788" s="126"/>
    </row>
    <row r="789" spans="2:7">
      <c r="B789" s="125"/>
      <c r="G789" s="126"/>
    </row>
    <row r="790" spans="2:7">
      <c r="B790" s="125"/>
      <c r="C790" s="44" t="s">
        <v>23</v>
      </c>
      <c r="G790" s="126"/>
    </row>
    <row r="791" spans="2:7">
      <c r="B791" s="125"/>
      <c r="C791" s="112" t="s">
        <v>339</v>
      </c>
      <c r="G791" s="126"/>
    </row>
    <row r="792" spans="2:7" ht="13.5" thickBot="1">
      <c r="B792" s="140"/>
      <c r="C792" s="131"/>
      <c r="D792" s="131"/>
      <c r="E792" s="141"/>
      <c r="F792" s="131"/>
      <c r="G792" s="135"/>
    </row>
    <row r="794" spans="2:7" ht="13.5" thickBot="1"/>
    <row r="795" spans="2:7" ht="13.5" thickBot="1">
      <c r="B795" s="239" t="s">
        <v>781</v>
      </c>
      <c r="C795" s="240"/>
      <c r="D795" s="240"/>
      <c r="E795" s="240"/>
      <c r="F795" s="240"/>
      <c r="G795" s="241"/>
    </row>
    <row r="796" spans="2:7" ht="13.5" thickBot="1">
      <c r="B796" s="125"/>
      <c r="G796" s="126"/>
    </row>
    <row r="797" spans="2:7">
      <c r="B797" s="125"/>
      <c r="C797" s="127" t="s">
        <v>27</v>
      </c>
      <c r="D797" s="128"/>
      <c r="E797" s="128" t="s">
        <v>1</v>
      </c>
      <c r="F797" s="129">
        <v>37</v>
      </c>
      <c r="G797" s="126"/>
    </row>
    <row r="798" spans="2:7" ht="13.5" thickBot="1">
      <c r="B798" s="125"/>
      <c r="C798" s="130"/>
      <c r="D798" s="131"/>
      <c r="E798" s="131" t="s">
        <v>64</v>
      </c>
      <c r="F798" s="132">
        <v>15</v>
      </c>
      <c r="G798" s="126"/>
    </row>
    <row r="799" spans="2:7" ht="13.5" thickBot="1">
      <c r="B799" s="125"/>
      <c r="G799" s="126"/>
    </row>
    <row r="800" spans="2:7">
      <c r="B800" s="125"/>
      <c r="C800" s="127" t="s">
        <v>4</v>
      </c>
      <c r="D800" s="128"/>
      <c r="E800" s="128" t="s">
        <v>1</v>
      </c>
      <c r="F800" s="133" t="s">
        <v>205</v>
      </c>
      <c r="G800" s="126"/>
    </row>
    <row r="801" spans="2:7">
      <c r="B801" s="125"/>
      <c r="C801" s="59" t="s">
        <v>2</v>
      </c>
      <c r="E801" s="45" t="s">
        <v>404</v>
      </c>
      <c r="F801" s="126"/>
      <c r="G801" s="126"/>
    </row>
    <row r="802" spans="2:7" ht="13.5" thickBot="1">
      <c r="B802" s="125"/>
      <c r="C802" s="130" t="s">
        <v>3</v>
      </c>
      <c r="D802" s="131"/>
      <c r="E802" s="134" t="s">
        <v>344</v>
      </c>
      <c r="F802" s="135"/>
      <c r="G802" s="126"/>
    </row>
    <row r="803" spans="2:7" ht="13.5" thickBot="1">
      <c r="B803" s="125"/>
      <c r="G803" s="126"/>
    </row>
    <row r="804" spans="2:7" ht="13.5" thickBot="1">
      <c r="B804" s="125"/>
      <c r="C804" s="136" t="s">
        <v>29</v>
      </c>
      <c r="D804" s="137"/>
      <c r="E804" s="138" t="s">
        <v>251</v>
      </c>
      <c r="F804" s="139"/>
      <c r="G804" s="126"/>
    </row>
    <row r="805" spans="2:7">
      <c r="B805" s="125"/>
      <c r="G805" s="126"/>
    </row>
    <row r="806" spans="2:7">
      <c r="B806" s="125"/>
      <c r="C806" s="45" t="s">
        <v>5</v>
      </c>
      <c r="G806" s="126"/>
    </row>
    <row r="807" spans="2:7">
      <c r="B807" s="125"/>
      <c r="G807" s="126"/>
    </row>
    <row r="808" spans="2:7">
      <c r="B808" s="59">
        <v>1</v>
      </c>
      <c r="C808" s="45" t="s">
        <v>11</v>
      </c>
      <c r="G808" s="126"/>
    </row>
    <row r="809" spans="2:7">
      <c r="B809" s="59">
        <v>2</v>
      </c>
      <c r="C809" s="45" t="s">
        <v>181</v>
      </c>
      <c r="G809" s="126"/>
    </row>
    <row r="810" spans="2:7">
      <c r="B810" s="59">
        <v>3</v>
      </c>
      <c r="C810" s="45" t="s">
        <v>6</v>
      </c>
      <c r="G810" s="126"/>
    </row>
    <row r="811" spans="2:7">
      <c r="B811" s="59">
        <v>4</v>
      </c>
      <c r="C811" s="45" t="s">
        <v>10</v>
      </c>
      <c r="G811" s="126"/>
    </row>
    <row r="812" spans="2:7">
      <c r="B812" s="59">
        <v>5</v>
      </c>
      <c r="C812" s="45" t="s">
        <v>206</v>
      </c>
      <c r="G812" s="126"/>
    </row>
    <row r="813" spans="2:7">
      <c r="B813" s="59">
        <v>6</v>
      </c>
      <c r="C813" s="45" t="s">
        <v>167</v>
      </c>
      <c r="G813" s="126"/>
    </row>
    <row r="814" spans="2:7">
      <c r="B814" s="59">
        <v>7</v>
      </c>
      <c r="C814" s="45" t="s">
        <v>75</v>
      </c>
      <c r="G814" s="126"/>
    </row>
    <row r="815" spans="2:7">
      <c r="B815" s="59">
        <v>8</v>
      </c>
      <c r="C815" s="45" t="s">
        <v>146</v>
      </c>
      <c r="G815" s="126"/>
    </row>
    <row r="816" spans="2:7">
      <c r="B816" s="59">
        <v>9</v>
      </c>
      <c r="C816" s="45" t="s">
        <v>139</v>
      </c>
      <c r="G816" s="126"/>
    </row>
    <row r="817" spans="2:9">
      <c r="B817" s="59">
        <v>10</v>
      </c>
      <c r="C817" s="45" t="s">
        <v>607</v>
      </c>
      <c r="G817" s="126"/>
    </row>
    <row r="818" spans="2:9">
      <c r="B818" s="59">
        <v>11</v>
      </c>
      <c r="C818" s="45" t="s">
        <v>19</v>
      </c>
      <c r="G818" s="126"/>
    </row>
    <row r="819" spans="2:9">
      <c r="B819" s="59">
        <v>12</v>
      </c>
      <c r="C819" s="45" t="s">
        <v>608</v>
      </c>
      <c r="G819" s="126"/>
    </row>
    <row r="820" spans="2:9">
      <c r="B820" s="59">
        <v>13</v>
      </c>
      <c r="C820" s="45" t="s">
        <v>142</v>
      </c>
      <c r="G820" s="126"/>
    </row>
    <row r="821" spans="2:9">
      <c r="B821" s="59">
        <v>14</v>
      </c>
      <c r="C821" s="45" t="s">
        <v>141</v>
      </c>
      <c r="G821" s="126"/>
    </row>
    <row r="822" spans="2:9">
      <c r="B822" s="59">
        <v>15</v>
      </c>
      <c r="C822" s="45" t="s">
        <v>190</v>
      </c>
      <c r="G822" s="126"/>
    </row>
    <row r="823" spans="2:9">
      <c r="B823" s="125"/>
      <c r="G823" s="126"/>
    </row>
    <row r="824" spans="2:9">
      <c r="B824" s="125"/>
      <c r="C824" s="45" t="s">
        <v>782</v>
      </c>
      <c r="G824" s="126"/>
    </row>
    <row r="825" spans="2:9">
      <c r="B825" s="125"/>
      <c r="C825" s="45" t="s">
        <v>765</v>
      </c>
      <c r="G825" s="126"/>
    </row>
    <row r="826" spans="2:9">
      <c r="B826" s="125"/>
      <c r="C826" s="45" t="s">
        <v>783</v>
      </c>
      <c r="G826" s="126"/>
    </row>
    <row r="827" spans="2:9">
      <c r="B827" s="125"/>
      <c r="C827" s="45" t="s">
        <v>490</v>
      </c>
      <c r="G827" s="126"/>
    </row>
    <row r="828" spans="2:9">
      <c r="B828" s="125"/>
      <c r="G828" s="126"/>
    </row>
    <row r="829" spans="2:9">
      <c r="B829" s="125"/>
      <c r="C829" s="44" t="s">
        <v>21</v>
      </c>
      <c r="G829" s="126"/>
    </row>
    <row r="830" spans="2:9">
      <c r="B830" s="125" t="s">
        <v>335</v>
      </c>
      <c r="C830" s="45" t="s">
        <v>141</v>
      </c>
      <c r="G830" s="126"/>
      <c r="I830" s="45">
        <f>5*5</f>
        <v>25</v>
      </c>
    </row>
    <row r="831" spans="2:9">
      <c r="B831" s="125" t="s">
        <v>336</v>
      </c>
      <c r="C831" s="45" t="s">
        <v>190</v>
      </c>
      <c r="G831" s="126"/>
      <c r="I831" s="45">
        <f>3*2</f>
        <v>6</v>
      </c>
    </row>
    <row r="832" spans="2:9">
      <c r="B832" s="125" t="s">
        <v>336</v>
      </c>
      <c r="C832" s="45" t="s">
        <v>160</v>
      </c>
      <c r="G832" s="126"/>
      <c r="I832" s="45">
        <f>2*3</f>
        <v>6</v>
      </c>
    </row>
    <row r="833" spans="2:9">
      <c r="B833" s="125"/>
      <c r="G833" s="126"/>
      <c r="I833" s="45">
        <f>SUM(I830:I832)</f>
        <v>37</v>
      </c>
    </row>
    <row r="834" spans="2:9">
      <c r="B834" s="125"/>
      <c r="C834" s="45" t="s">
        <v>771</v>
      </c>
      <c r="G834" s="126"/>
    </row>
    <row r="835" spans="2:9">
      <c r="B835" s="125" t="s">
        <v>335</v>
      </c>
      <c r="C835" s="45" t="s">
        <v>607</v>
      </c>
      <c r="G835" s="126"/>
    </row>
    <row r="836" spans="2:9">
      <c r="B836" s="125"/>
      <c r="G836" s="126"/>
    </row>
    <row r="837" spans="2:9">
      <c r="B837" s="125"/>
      <c r="C837" s="44" t="s">
        <v>22</v>
      </c>
      <c r="G837" s="126"/>
    </row>
    <row r="838" spans="2:9">
      <c r="B838" s="125" t="s">
        <v>352</v>
      </c>
      <c r="C838" s="45" t="s">
        <v>607</v>
      </c>
      <c r="G838" s="126"/>
    </row>
    <row r="839" spans="2:9">
      <c r="B839" s="125"/>
      <c r="G839" s="126"/>
    </row>
    <row r="840" spans="2:9">
      <c r="B840" s="125"/>
      <c r="C840" s="44" t="s">
        <v>23</v>
      </c>
      <c r="G840" s="126"/>
    </row>
    <row r="841" spans="2:9">
      <c r="B841" s="125"/>
      <c r="C841" s="112" t="s">
        <v>339</v>
      </c>
      <c r="G841" s="126"/>
    </row>
    <row r="842" spans="2:9" ht="13.5" thickBot="1">
      <c r="B842" s="140"/>
      <c r="C842" s="131"/>
      <c r="D842" s="131"/>
      <c r="E842" s="141"/>
      <c r="F842" s="131"/>
      <c r="G842" s="135"/>
    </row>
    <row r="844" spans="2:9" ht="13.5" thickBot="1"/>
    <row r="845" spans="2:9" ht="13.5" thickBot="1">
      <c r="B845" s="239" t="s">
        <v>784</v>
      </c>
      <c r="C845" s="240"/>
      <c r="D845" s="240"/>
      <c r="E845" s="240"/>
      <c r="F845" s="240"/>
      <c r="G845" s="241"/>
    </row>
    <row r="846" spans="2:9" ht="13.5" thickBot="1">
      <c r="B846" s="125"/>
      <c r="G846" s="126"/>
    </row>
    <row r="847" spans="2:9">
      <c r="B847" s="125"/>
      <c r="C847" s="127" t="s">
        <v>27</v>
      </c>
      <c r="D847" s="128"/>
      <c r="E847" s="128" t="s">
        <v>104</v>
      </c>
      <c r="F847" s="129">
        <v>43</v>
      </c>
      <c r="G847" s="126"/>
    </row>
    <row r="848" spans="2:9" ht="13.5" thickBot="1">
      <c r="B848" s="125"/>
      <c r="C848" s="130"/>
      <c r="D848" s="131"/>
      <c r="E848" s="131" t="s">
        <v>1</v>
      </c>
      <c r="F848" s="132">
        <v>30</v>
      </c>
      <c r="G848" s="126"/>
    </row>
    <row r="849" spans="2:7" ht="13.5" thickBot="1">
      <c r="B849" s="125"/>
      <c r="G849" s="126"/>
    </row>
    <row r="850" spans="2:7">
      <c r="B850" s="125"/>
      <c r="C850" s="127" t="s">
        <v>4</v>
      </c>
      <c r="D850" s="128"/>
      <c r="E850" s="128" t="s">
        <v>104</v>
      </c>
      <c r="F850" s="133"/>
      <c r="G850" s="126"/>
    </row>
    <row r="851" spans="2:7">
      <c r="B851" s="125"/>
      <c r="C851" s="59" t="s">
        <v>2</v>
      </c>
      <c r="E851" s="45" t="s">
        <v>326</v>
      </c>
      <c r="F851" s="126"/>
      <c r="G851" s="126"/>
    </row>
    <row r="852" spans="2:7" ht="13.5" thickBot="1">
      <c r="B852" s="125"/>
      <c r="C852" s="130" t="s">
        <v>3</v>
      </c>
      <c r="D852" s="131"/>
      <c r="E852" s="134" t="s">
        <v>326</v>
      </c>
      <c r="F852" s="135"/>
      <c r="G852" s="126"/>
    </row>
    <row r="853" spans="2:7" ht="13.5" thickBot="1">
      <c r="B853" s="125"/>
      <c r="G853" s="126"/>
    </row>
    <row r="854" spans="2:7" ht="13.5" thickBot="1">
      <c r="B854" s="125"/>
      <c r="C854" s="136" t="s">
        <v>29</v>
      </c>
      <c r="D854" s="137"/>
      <c r="E854" s="138" t="s">
        <v>785</v>
      </c>
      <c r="F854" s="139"/>
      <c r="G854" s="126"/>
    </row>
    <row r="855" spans="2:7">
      <c r="B855" s="125"/>
      <c r="G855" s="126"/>
    </row>
    <row r="856" spans="2:7">
      <c r="B856" s="125"/>
      <c r="C856" s="45" t="s">
        <v>5</v>
      </c>
      <c r="G856" s="126"/>
    </row>
    <row r="857" spans="2:7">
      <c r="B857" s="125"/>
      <c r="G857" s="126"/>
    </row>
    <row r="858" spans="2:7">
      <c r="B858" s="59">
        <v>1</v>
      </c>
      <c r="C858" s="45" t="s">
        <v>53</v>
      </c>
      <c r="G858" s="126"/>
    </row>
    <row r="859" spans="2:7">
      <c r="B859" s="59">
        <v>2</v>
      </c>
      <c r="C859" s="45" t="s">
        <v>11</v>
      </c>
      <c r="G859" s="126"/>
    </row>
    <row r="860" spans="2:7">
      <c r="B860" s="59">
        <v>3</v>
      </c>
      <c r="C860" s="45" t="s">
        <v>6</v>
      </c>
      <c r="G860" s="126"/>
    </row>
    <row r="861" spans="2:7">
      <c r="B861" s="59">
        <v>4</v>
      </c>
      <c r="C861" s="45" t="s">
        <v>10</v>
      </c>
      <c r="G861" s="126"/>
    </row>
    <row r="862" spans="2:7">
      <c r="B862" s="59">
        <v>5</v>
      </c>
      <c r="C862" s="45" t="s">
        <v>207</v>
      </c>
      <c r="G862" s="126"/>
    </row>
    <row r="863" spans="2:7">
      <c r="B863" s="59">
        <v>6</v>
      </c>
      <c r="C863" s="45" t="s">
        <v>146</v>
      </c>
      <c r="G863" s="126"/>
    </row>
    <row r="864" spans="2:7">
      <c r="B864" s="59">
        <v>7</v>
      </c>
      <c r="C864" s="45" t="s">
        <v>75</v>
      </c>
      <c r="G864" s="126"/>
    </row>
    <row r="865" spans="2:7">
      <c r="B865" s="59">
        <v>8</v>
      </c>
      <c r="C865" s="45" t="s">
        <v>33</v>
      </c>
      <c r="G865" s="126"/>
    </row>
    <row r="866" spans="2:7">
      <c r="B866" s="59">
        <v>9</v>
      </c>
      <c r="C866" s="45" t="s">
        <v>139</v>
      </c>
      <c r="G866" s="126"/>
    </row>
    <row r="867" spans="2:7">
      <c r="B867" s="59">
        <v>10</v>
      </c>
      <c r="C867" s="45" t="s">
        <v>607</v>
      </c>
      <c r="G867" s="126"/>
    </row>
    <row r="868" spans="2:7">
      <c r="B868" s="59">
        <v>11</v>
      </c>
      <c r="C868" s="45" t="s">
        <v>19</v>
      </c>
      <c r="G868" s="126"/>
    </row>
    <row r="869" spans="2:7">
      <c r="B869" s="59">
        <v>12</v>
      </c>
      <c r="C869" s="45" t="s">
        <v>608</v>
      </c>
      <c r="G869" s="126"/>
    </row>
    <row r="870" spans="2:7">
      <c r="B870" s="59">
        <v>13</v>
      </c>
      <c r="C870" s="45" t="s">
        <v>142</v>
      </c>
      <c r="G870" s="126"/>
    </row>
    <row r="871" spans="2:7">
      <c r="B871" s="59">
        <v>14</v>
      </c>
      <c r="C871" s="45" t="s">
        <v>141</v>
      </c>
      <c r="G871" s="126"/>
    </row>
    <row r="872" spans="2:7">
      <c r="B872" s="59">
        <v>15</v>
      </c>
      <c r="C872" s="45" t="s">
        <v>190</v>
      </c>
      <c r="G872" s="126"/>
    </row>
    <row r="873" spans="2:7">
      <c r="B873" s="125"/>
      <c r="G873" s="126"/>
    </row>
    <row r="874" spans="2:7">
      <c r="B874" s="125"/>
      <c r="C874" s="45" t="s">
        <v>749</v>
      </c>
      <c r="G874" s="126"/>
    </row>
    <row r="875" spans="2:7">
      <c r="B875" s="125"/>
      <c r="C875" s="45" t="s">
        <v>786</v>
      </c>
      <c r="G875" s="126"/>
    </row>
    <row r="876" spans="2:7">
      <c r="B876" s="125"/>
      <c r="C876" s="45" t="s">
        <v>787</v>
      </c>
      <c r="G876" s="126"/>
    </row>
    <row r="877" spans="2:7">
      <c r="B877" s="125"/>
      <c r="C877" s="45" t="s">
        <v>788</v>
      </c>
      <c r="G877" s="126"/>
    </row>
    <row r="878" spans="2:7">
      <c r="B878" s="125"/>
      <c r="C878" s="45" t="s">
        <v>789</v>
      </c>
      <c r="G878" s="126"/>
    </row>
    <row r="879" spans="2:7">
      <c r="B879" s="125"/>
      <c r="G879" s="126"/>
    </row>
    <row r="880" spans="2:7">
      <c r="B880" s="125"/>
      <c r="C880" s="44" t="s">
        <v>21</v>
      </c>
      <c r="G880" s="126"/>
    </row>
    <row r="881" spans="2:7">
      <c r="B881" s="125" t="s">
        <v>336</v>
      </c>
      <c r="C881" s="45" t="s">
        <v>141</v>
      </c>
      <c r="G881" s="126"/>
    </row>
    <row r="882" spans="2:7">
      <c r="B882" s="125" t="s">
        <v>336</v>
      </c>
      <c r="C882" s="45" t="s">
        <v>207</v>
      </c>
      <c r="G882" s="126"/>
    </row>
    <row r="883" spans="2:7">
      <c r="B883" s="125" t="s">
        <v>336</v>
      </c>
      <c r="C883" s="45" t="s">
        <v>75</v>
      </c>
      <c r="G883" s="126"/>
    </row>
    <row r="884" spans="2:7">
      <c r="B884" s="125" t="s">
        <v>336</v>
      </c>
      <c r="C884" s="45" t="s">
        <v>18</v>
      </c>
      <c r="G884" s="126"/>
    </row>
    <row r="885" spans="2:7">
      <c r="B885" s="125"/>
      <c r="G885" s="126"/>
    </row>
    <row r="886" spans="2:7">
      <c r="B886" s="125"/>
      <c r="C886" s="45" t="s">
        <v>771</v>
      </c>
      <c r="G886" s="126"/>
    </row>
    <row r="887" spans="2:7">
      <c r="B887" s="125" t="s">
        <v>336</v>
      </c>
      <c r="C887" s="45" t="s">
        <v>139</v>
      </c>
      <c r="G887" s="126"/>
    </row>
    <row r="888" spans="2:7">
      <c r="B888" s="125" t="s">
        <v>336</v>
      </c>
      <c r="C888" s="45" t="s">
        <v>190</v>
      </c>
      <c r="G888" s="126"/>
    </row>
    <row r="889" spans="2:7">
      <c r="B889" s="125"/>
      <c r="G889" s="126"/>
    </row>
    <row r="890" spans="2:7">
      <c r="B890" s="125"/>
      <c r="C890" s="44" t="s">
        <v>22</v>
      </c>
      <c r="G890" s="126"/>
    </row>
    <row r="891" spans="2:7">
      <c r="B891" s="125" t="s">
        <v>352</v>
      </c>
      <c r="C891" s="45" t="s">
        <v>607</v>
      </c>
      <c r="G891" s="126"/>
    </row>
    <row r="892" spans="2:7">
      <c r="B892" s="125"/>
      <c r="G892" s="126"/>
    </row>
    <row r="893" spans="2:7">
      <c r="B893" s="125"/>
      <c r="C893" s="44" t="s">
        <v>23</v>
      </c>
      <c r="G893" s="126"/>
    </row>
    <row r="894" spans="2:7">
      <c r="B894" s="125"/>
      <c r="C894" s="112" t="s">
        <v>339</v>
      </c>
      <c r="G894" s="126"/>
    </row>
    <row r="895" spans="2:7" ht="13.5" thickBot="1">
      <c r="B895" s="140"/>
      <c r="C895" s="131"/>
      <c r="D895" s="131"/>
      <c r="E895" s="141"/>
      <c r="F895" s="131"/>
      <c r="G895" s="135"/>
    </row>
    <row r="897" spans="2:7" ht="13.5" thickBot="1"/>
    <row r="898" spans="2:7" ht="13.5" thickBot="1">
      <c r="B898" s="239" t="s">
        <v>790</v>
      </c>
      <c r="C898" s="240"/>
      <c r="D898" s="240"/>
      <c r="E898" s="240"/>
      <c r="F898" s="240"/>
      <c r="G898" s="241"/>
    </row>
    <row r="899" spans="2:7" ht="13.5" thickBot="1">
      <c r="B899" s="125"/>
      <c r="G899" s="126"/>
    </row>
    <row r="900" spans="2:7">
      <c r="B900" s="125"/>
      <c r="C900" s="127" t="s">
        <v>27</v>
      </c>
      <c r="D900" s="128"/>
      <c r="E900" s="128" t="s">
        <v>92</v>
      </c>
      <c r="F900" s="129">
        <v>22</v>
      </c>
      <c r="G900" s="126"/>
    </row>
    <row r="901" spans="2:7" ht="13.5" thickBot="1">
      <c r="B901" s="125"/>
      <c r="C901" s="130"/>
      <c r="D901" s="131"/>
      <c r="E901" s="131" t="s">
        <v>1</v>
      </c>
      <c r="F901" s="132">
        <v>21</v>
      </c>
      <c r="G901" s="126"/>
    </row>
    <row r="902" spans="2:7" ht="13.5" thickBot="1">
      <c r="B902" s="125"/>
      <c r="G902" s="126"/>
    </row>
    <row r="903" spans="2:7">
      <c r="B903" s="125"/>
      <c r="C903" s="127" t="s">
        <v>4</v>
      </c>
      <c r="D903" s="128"/>
      <c r="E903" s="128" t="s">
        <v>92</v>
      </c>
      <c r="F903" s="133"/>
      <c r="G903" s="126"/>
    </row>
    <row r="904" spans="2:7">
      <c r="B904" s="125"/>
      <c r="C904" s="59" t="s">
        <v>2</v>
      </c>
      <c r="E904" s="45" t="s">
        <v>326</v>
      </c>
      <c r="F904" s="126"/>
      <c r="G904" s="126"/>
    </row>
    <row r="905" spans="2:7" ht="13.5" thickBot="1">
      <c r="B905" s="125"/>
      <c r="C905" s="130" t="s">
        <v>3</v>
      </c>
      <c r="D905" s="131"/>
      <c r="E905" s="134" t="s">
        <v>326</v>
      </c>
      <c r="F905" s="135"/>
      <c r="G905" s="126"/>
    </row>
    <row r="906" spans="2:7" ht="13.5" thickBot="1">
      <c r="B906" s="125"/>
      <c r="G906" s="126"/>
    </row>
    <row r="907" spans="2:7" ht="13.5" thickBot="1">
      <c r="B907" s="125"/>
      <c r="C907" s="136" t="s">
        <v>29</v>
      </c>
      <c r="D907" s="137"/>
      <c r="E907" s="138" t="s">
        <v>302</v>
      </c>
      <c r="F907" s="139"/>
      <c r="G907" s="126"/>
    </row>
    <row r="908" spans="2:7">
      <c r="B908" s="125"/>
      <c r="G908" s="126"/>
    </row>
    <row r="909" spans="2:7">
      <c r="B909" s="125"/>
      <c r="C909" s="45" t="s">
        <v>5</v>
      </c>
      <c r="G909" s="126"/>
    </row>
    <row r="910" spans="2:7">
      <c r="B910" s="125"/>
      <c r="G910" s="126"/>
    </row>
    <row r="911" spans="2:7">
      <c r="B911" s="59">
        <v>1</v>
      </c>
      <c r="C911" s="45" t="s">
        <v>53</v>
      </c>
      <c r="G911" s="126"/>
    </row>
    <row r="912" spans="2:7">
      <c r="B912" s="59">
        <v>2</v>
      </c>
      <c r="C912" s="45" t="s">
        <v>11</v>
      </c>
      <c r="G912" s="126"/>
    </row>
    <row r="913" spans="2:7">
      <c r="B913" s="59">
        <v>3</v>
      </c>
      <c r="C913" s="45" t="s">
        <v>6</v>
      </c>
      <c r="G913" s="126"/>
    </row>
    <row r="914" spans="2:7">
      <c r="B914" s="59">
        <v>4</v>
      </c>
      <c r="C914" s="45" t="s">
        <v>10</v>
      </c>
      <c r="G914" s="126"/>
    </row>
    <row r="915" spans="2:7">
      <c r="B915" s="59">
        <v>5</v>
      </c>
      <c r="C915" s="45" t="s">
        <v>207</v>
      </c>
      <c r="G915" s="126"/>
    </row>
    <row r="916" spans="2:7">
      <c r="B916" s="59">
        <v>6</v>
      </c>
      <c r="C916" s="45" t="s">
        <v>146</v>
      </c>
      <c r="G916" s="126"/>
    </row>
    <row r="917" spans="2:7">
      <c r="B917" s="59">
        <v>7</v>
      </c>
      <c r="C917" s="45" t="s">
        <v>75</v>
      </c>
      <c r="G917" s="126"/>
    </row>
    <row r="918" spans="2:7">
      <c r="B918" s="59">
        <v>8</v>
      </c>
      <c r="C918" s="45" t="s">
        <v>33</v>
      </c>
      <c r="G918" s="126"/>
    </row>
    <row r="919" spans="2:7">
      <c r="B919" s="59">
        <v>9</v>
      </c>
      <c r="C919" s="45" t="s">
        <v>139</v>
      </c>
      <c r="G919" s="126"/>
    </row>
    <row r="920" spans="2:7">
      <c r="B920" s="59">
        <v>10</v>
      </c>
      <c r="C920" s="45" t="s">
        <v>208</v>
      </c>
      <c r="G920" s="126"/>
    </row>
    <row r="921" spans="2:7">
      <c r="B921" s="59">
        <v>11</v>
      </c>
      <c r="C921" s="45" t="s">
        <v>19</v>
      </c>
      <c r="G921" s="126"/>
    </row>
    <row r="922" spans="2:7">
      <c r="B922" s="59">
        <v>12</v>
      </c>
      <c r="C922" s="45" t="s">
        <v>608</v>
      </c>
      <c r="G922" s="126"/>
    </row>
    <row r="923" spans="2:7">
      <c r="B923" s="59">
        <v>13</v>
      </c>
      <c r="C923" s="45" t="s">
        <v>142</v>
      </c>
      <c r="G923" s="126"/>
    </row>
    <row r="924" spans="2:7">
      <c r="B924" s="59">
        <v>14</v>
      </c>
      <c r="C924" s="45" t="s">
        <v>141</v>
      </c>
      <c r="G924" s="126"/>
    </row>
    <row r="925" spans="2:7">
      <c r="B925" s="59">
        <v>15</v>
      </c>
      <c r="C925" s="45" t="s">
        <v>144</v>
      </c>
      <c r="G925" s="126"/>
    </row>
    <row r="926" spans="2:7">
      <c r="B926" s="125"/>
      <c r="G926" s="126"/>
    </row>
    <row r="927" spans="2:7">
      <c r="B927" s="125"/>
      <c r="C927" s="45" t="s">
        <v>791</v>
      </c>
      <c r="G927" s="126"/>
    </row>
    <row r="928" spans="2:7">
      <c r="B928" s="125"/>
      <c r="G928" s="126"/>
    </row>
    <row r="929" spans="2:7">
      <c r="B929" s="125"/>
      <c r="C929" s="44" t="s">
        <v>21</v>
      </c>
      <c r="G929" s="126"/>
    </row>
    <row r="930" spans="2:7">
      <c r="B930" s="125" t="s">
        <v>336</v>
      </c>
      <c r="C930" s="45" t="s">
        <v>6</v>
      </c>
      <c r="G930" s="126"/>
    </row>
    <row r="931" spans="2:7">
      <c r="B931" s="125" t="s">
        <v>336</v>
      </c>
      <c r="C931" s="45" t="s">
        <v>146</v>
      </c>
      <c r="G931" s="126"/>
    </row>
    <row r="932" spans="2:7">
      <c r="B932" s="125" t="s">
        <v>336</v>
      </c>
      <c r="C932" s="45" t="s">
        <v>19</v>
      </c>
      <c r="G932" s="126"/>
    </row>
    <row r="933" spans="2:7">
      <c r="B933" s="125"/>
      <c r="G933" s="126"/>
    </row>
    <row r="934" spans="2:7">
      <c r="B934" s="125"/>
      <c r="C934" s="45" t="s">
        <v>771</v>
      </c>
      <c r="G934" s="126"/>
    </row>
    <row r="935" spans="2:7">
      <c r="B935" s="125" t="s">
        <v>335</v>
      </c>
      <c r="C935" s="45" t="s">
        <v>139</v>
      </c>
      <c r="G935" s="126"/>
    </row>
    <row r="936" spans="2:7">
      <c r="B936" s="125"/>
      <c r="G936" s="126"/>
    </row>
    <row r="937" spans="2:7">
      <c r="B937" s="125"/>
      <c r="C937" s="44" t="s">
        <v>22</v>
      </c>
      <c r="G937" s="126"/>
    </row>
    <row r="938" spans="2:7">
      <c r="B938" s="125" t="s">
        <v>352</v>
      </c>
      <c r="C938" s="45" t="s">
        <v>607</v>
      </c>
      <c r="G938" s="126"/>
    </row>
    <row r="939" spans="2:7">
      <c r="B939" s="125"/>
      <c r="G939" s="126"/>
    </row>
    <row r="940" spans="2:7">
      <c r="B940" s="125"/>
      <c r="C940" s="44" t="s">
        <v>23</v>
      </c>
      <c r="G940" s="126"/>
    </row>
    <row r="941" spans="2:7">
      <c r="B941" s="125"/>
      <c r="C941" s="112" t="s">
        <v>339</v>
      </c>
      <c r="G941" s="126"/>
    </row>
    <row r="942" spans="2:7" ht="13.5" thickBot="1">
      <c r="B942" s="140"/>
      <c r="C942" s="131"/>
      <c r="D942" s="131"/>
      <c r="E942" s="141"/>
      <c r="F942" s="131"/>
      <c r="G942" s="135"/>
    </row>
    <row r="944" spans="2:7" ht="13.5" thickBot="1"/>
    <row r="945" spans="2:7" ht="13.5" thickBot="1">
      <c r="B945" s="239" t="s">
        <v>792</v>
      </c>
      <c r="C945" s="240"/>
      <c r="D945" s="240"/>
      <c r="E945" s="240"/>
      <c r="F945" s="240"/>
      <c r="G945" s="241"/>
    </row>
    <row r="946" spans="2:7" ht="13.5" thickBot="1">
      <c r="B946" s="125"/>
      <c r="G946" s="126"/>
    </row>
    <row r="947" spans="2:7">
      <c r="B947" s="125"/>
      <c r="C947" s="127" t="s">
        <v>27</v>
      </c>
      <c r="D947" s="128"/>
      <c r="E947" s="128" t="s">
        <v>1</v>
      </c>
      <c r="F947" s="129">
        <v>29</v>
      </c>
      <c r="G947" s="126"/>
    </row>
    <row r="948" spans="2:7" ht="13.5" thickBot="1">
      <c r="B948" s="125"/>
      <c r="C948" s="130"/>
      <c r="D948" s="131"/>
      <c r="E948" s="131" t="s">
        <v>91</v>
      </c>
      <c r="F948" s="132">
        <v>20</v>
      </c>
      <c r="G948" s="126"/>
    </row>
    <row r="949" spans="2:7" ht="13.5" thickBot="1">
      <c r="B949" s="125"/>
      <c r="G949" s="126"/>
    </row>
    <row r="950" spans="2:7">
      <c r="B950" s="125"/>
      <c r="C950" s="127" t="s">
        <v>4</v>
      </c>
      <c r="D950" s="128"/>
      <c r="E950" s="128" t="s">
        <v>1</v>
      </c>
      <c r="F950" s="133" t="s">
        <v>205</v>
      </c>
      <c r="G950" s="126"/>
    </row>
    <row r="951" spans="2:7">
      <c r="B951" s="125"/>
      <c r="C951" s="59" t="s">
        <v>2</v>
      </c>
      <c r="E951" s="45" t="s">
        <v>404</v>
      </c>
      <c r="F951" s="126"/>
      <c r="G951" s="126"/>
    </row>
    <row r="952" spans="2:7" ht="13.5" thickBot="1">
      <c r="B952" s="125"/>
      <c r="C952" s="130" t="s">
        <v>3</v>
      </c>
      <c r="D952" s="131"/>
      <c r="E952" s="134" t="s">
        <v>344</v>
      </c>
      <c r="F952" s="135"/>
      <c r="G952" s="126"/>
    </row>
    <row r="953" spans="2:7" ht="13.5" thickBot="1">
      <c r="B953" s="125"/>
      <c r="G953" s="126"/>
    </row>
    <row r="954" spans="2:7" ht="13.5" thickBot="1">
      <c r="B954" s="125"/>
      <c r="C954" s="136" t="s">
        <v>29</v>
      </c>
      <c r="D954" s="137"/>
      <c r="E954" s="138" t="s">
        <v>316</v>
      </c>
      <c r="F954" s="139"/>
      <c r="G954" s="126"/>
    </row>
    <row r="955" spans="2:7">
      <c r="B955" s="125"/>
      <c r="G955" s="126"/>
    </row>
    <row r="956" spans="2:7">
      <c r="B956" s="125"/>
      <c r="C956" s="45" t="s">
        <v>5</v>
      </c>
      <c r="G956" s="126"/>
    </row>
    <row r="957" spans="2:7">
      <c r="B957" s="125"/>
      <c r="G957" s="126"/>
    </row>
    <row r="958" spans="2:7">
      <c r="B958" s="59">
        <v>1</v>
      </c>
      <c r="C958" s="45" t="s">
        <v>6</v>
      </c>
      <c r="G958" s="126"/>
    </row>
    <row r="959" spans="2:7">
      <c r="B959" s="59">
        <v>2</v>
      </c>
      <c r="C959" s="45" t="s">
        <v>53</v>
      </c>
      <c r="G959" s="126"/>
    </row>
    <row r="960" spans="2:7">
      <c r="B960" s="59">
        <v>3</v>
      </c>
      <c r="C960" s="45" t="s">
        <v>189</v>
      </c>
      <c r="G960" s="126"/>
    </row>
    <row r="961" spans="2:7">
      <c r="B961" s="59">
        <v>4</v>
      </c>
      <c r="C961" s="45" t="s">
        <v>10</v>
      </c>
      <c r="G961" s="126"/>
    </row>
    <row r="962" spans="2:7">
      <c r="B962" s="59">
        <v>5</v>
      </c>
      <c r="C962" s="45" t="s">
        <v>207</v>
      </c>
      <c r="G962" s="126"/>
    </row>
    <row r="963" spans="2:7">
      <c r="B963" s="59">
        <v>6</v>
      </c>
      <c r="C963" s="45" t="s">
        <v>146</v>
      </c>
      <c r="G963" s="126"/>
    </row>
    <row r="964" spans="2:7">
      <c r="B964" s="59">
        <v>7</v>
      </c>
      <c r="C964" s="45" t="s">
        <v>75</v>
      </c>
      <c r="G964" s="126"/>
    </row>
    <row r="965" spans="2:7">
      <c r="B965" s="59">
        <v>8</v>
      </c>
      <c r="C965" s="45" t="s">
        <v>33</v>
      </c>
      <c r="G965" s="126"/>
    </row>
    <row r="966" spans="2:7">
      <c r="B966" s="59">
        <v>9</v>
      </c>
      <c r="C966" s="45" t="s">
        <v>139</v>
      </c>
      <c r="G966" s="126"/>
    </row>
    <row r="967" spans="2:7">
      <c r="B967" s="59">
        <v>10</v>
      </c>
      <c r="C967" s="45" t="s">
        <v>208</v>
      </c>
      <c r="G967" s="126"/>
    </row>
    <row r="968" spans="2:7">
      <c r="B968" s="59">
        <v>11</v>
      </c>
      <c r="C968" s="45" t="s">
        <v>19</v>
      </c>
      <c r="G968" s="126"/>
    </row>
    <row r="969" spans="2:7">
      <c r="B969" s="59">
        <v>12</v>
      </c>
      <c r="C969" s="45" t="s">
        <v>608</v>
      </c>
      <c r="G969" s="126"/>
    </row>
    <row r="970" spans="2:7">
      <c r="B970" s="59">
        <v>13</v>
      </c>
      <c r="C970" s="45" t="s">
        <v>142</v>
      </c>
      <c r="G970" s="126"/>
    </row>
    <row r="971" spans="2:7">
      <c r="B971" s="59">
        <v>14</v>
      </c>
      <c r="C971" s="45" t="s">
        <v>141</v>
      </c>
      <c r="G971" s="126"/>
    </row>
    <row r="972" spans="2:7">
      <c r="B972" s="59">
        <v>15</v>
      </c>
      <c r="C972" s="45" t="s">
        <v>144</v>
      </c>
      <c r="G972" s="126"/>
    </row>
    <row r="973" spans="2:7">
      <c r="B973" s="125"/>
      <c r="G973" s="126"/>
    </row>
    <row r="974" spans="2:7">
      <c r="B974" s="125"/>
      <c r="C974" s="45" t="s">
        <v>793</v>
      </c>
      <c r="G974" s="126"/>
    </row>
    <row r="975" spans="2:7">
      <c r="B975" s="125"/>
      <c r="C975" s="45" t="s">
        <v>794</v>
      </c>
      <c r="G975" s="126"/>
    </row>
    <row r="976" spans="2:7">
      <c r="B976" s="125"/>
      <c r="C976" s="45" t="s">
        <v>795</v>
      </c>
      <c r="G976" s="126"/>
    </row>
    <row r="977" spans="2:7">
      <c r="B977" s="125"/>
      <c r="G977" s="126"/>
    </row>
    <row r="978" spans="2:7">
      <c r="B978" s="125"/>
      <c r="C978" s="44" t="s">
        <v>21</v>
      </c>
      <c r="G978" s="126"/>
    </row>
    <row r="979" spans="2:7">
      <c r="B979" s="125" t="s">
        <v>338</v>
      </c>
      <c r="C979" s="45" t="s">
        <v>33</v>
      </c>
      <c r="G979" s="126"/>
    </row>
    <row r="980" spans="2:7">
      <c r="B980" s="125" t="s">
        <v>336</v>
      </c>
      <c r="C980" s="45" t="s">
        <v>146</v>
      </c>
      <c r="G980" s="126"/>
    </row>
    <row r="981" spans="2:7">
      <c r="B981" s="125"/>
      <c r="G981" s="126"/>
    </row>
    <row r="982" spans="2:7">
      <c r="B982" s="125"/>
      <c r="C982" s="45" t="s">
        <v>771</v>
      </c>
      <c r="G982" s="126"/>
    </row>
    <row r="983" spans="2:7">
      <c r="B983" s="125" t="s">
        <v>352</v>
      </c>
      <c r="C983" s="45" t="s">
        <v>139</v>
      </c>
      <c r="G983" s="126"/>
    </row>
    <row r="984" spans="2:7">
      <c r="B984" s="125"/>
      <c r="G984" s="126"/>
    </row>
    <row r="985" spans="2:7">
      <c r="B985" s="125"/>
      <c r="C985" s="44" t="s">
        <v>23</v>
      </c>
      <c r="G985" s="126"/>
    </row>
    <row r="986" spans="2:7">
      <c r="B986" s="125" t="s">
        <v>336</v>
      </c>
      <c r="C986" s="112" t="s">
        <v>33</v>
      </c>
      <c r="G986" s="126"/>
    </row>
    <row r="987" spans="2:7" ht="13.5" thickBot="1">
      <c r="B987" s="140"/>
      <c r="C987" s="131"/>
      <c r="D987" s="131"/>
      <c r="E987" s="141"/>
      <c r="F987" s="131"/>
      <c r="G987" s="135"/>
    </row>
    <row r="989" spans="2:7" ht="13.5" thickBot="1"/>
    <row r="990" spans="2:7" ht="13.5" thickBot="1">
      <c r="B990" s="239" t="s">
        <v>796</v>
      </c>
      <c r="C990" s="240"/>
      <c r="D990" s="240"/>
      <c r="E990" s="240"/>
      <c r="F990" s="240"/>
      <c r="G990" s="241"/>
    </row>
    <row r="991" spans="2:7" ht="13.5" thickBot="1">
      <c r="B991" s="125"/>
      <c r="G991" s="126"/>
    </row>
    <row r="992" spans="2:7">
      <c r="B992" s="125"/>
      <c r="C992" s="127" t="s">
        <v>27</v>
      </c>
      <c r="D992" s="128"/>
      <c r="E992" s="128" t="s">
        <v>73</v>
      </c>
      <c r="F992" s="129">
        <v>39</v>
      </c>
      <c r="G992" s="126"/>
    </row>
    <row r="993" spans="2:7" ht="13.5" thickBot="1">
      <c r="B993" s="125"/>
      <c r="C993" s="130"/>
      <c r="D993" s="131"/>
      <c r="E993" s="131" t="s">
        <v>1</v>
      </c>
      <c r="F993" s="132">
        <v>29</v>
      </c>
      <c r="G993" s="126"/>
    </row>
    <row r="994" spans="2:7" ht="13.5" thickBot="1">
      <c r="B994" s="125"/>
      <c r="G994" s="126"/>
    </row>
    <row r="995" spans="2:7">
      <c r="B995" s="125"/>
      <c r="C995" s="127" t="s">
        <v>4</v>
      </c>
      <c r="D995" s="128"/>
      <c r="E995" s="128" t="s">
        <v>73</v>
      </c>
      <c r="F995" s="133"/>
      <c r="G995" s="126"/>
    </row>
    <row r="996" spans="2:7">
      <c r="B996" s="125"/>
      <c r="C996" s="59" t="s">
        <v>2</v>
      </c>
      <c r="E996" s="45" t="s">
        <v>326</v>
      </c>
      <c r="F996" s="126"/>
      <c r="G996" s="126"/>
    </row>
    <row r="997" spans="2:7" ht="13.5" thickBot="1">
      <c r="B997" s="125"/>
      <c r="C997" s="130" t="s">
        <v>3</v>
      </c>
      <c r="D997" s="131"/>
      <c r="E997" s="134" t="s">
        <v>326</v>
      </c>
      <c r="F997" s="135"/>
      <c r="G997" s="126"/>
    </row>
    <row r="998" spans="2:7" ht="13.5" thickBot="1">
      <c r="B998" s="125"/>
      <c r="G998" s="126"/>
    </row>
    <row r="999" spans="2:7" ht="13.5" thickBot="1">
      <c r="B999" s="125"/>
      <c r="C999" s="136" t="s">
        <v>29</v>
      </c>
      <c r="D999" s="137"/>
      <c r="E999" s="138" t="s">
        <v>262</v>
      </c>
      <c r="F999" s="139"/>
      <c r="G999" s="126"/>
    </row>
    <row r="1000" spans="2:7">
      <c r="B1000" s="125"/>
      <c r="G1000" s="126"/>
    </row>
    <row r="1001" spans="2:7">
      <c r="B1001" s="125"/>
      <c r="C1001" s="45" t="s">
        <v>5</v>
      </c>
      <c r="G1001" s="126"/>
    </row>
    <row r="1002" spans="2:7">
      <c r="B1002" s="125"/>
      <c r="G1002" s="126"/>
    </row>
    <row r="1003" spans="2:7">
      <c r="B1003" s="59">
        <v>1</v>
      </c>
      <c r="C1003" s="45" t="s">
        <v>6</v>
      </c>
      <c r="G1003" s="126"/>
    </row>
    <row r="1004" spans="2:7">
      <c r="B1004" s="59">
        <v>2</v>
      </c>
      <c r="C1004" s="45" t="s">
        <v>53</v>
      </c>
      <c r="G1004" s="126"/>
    </row>
    <row r="1005" spans="2:7">
      <c r="B1005" s="59">
        <v>3</v>
      </c>
      <c r="C1005" s="45" t="s">
        <v>189</v>
      </c>
      <c r="G1005" s="126"/>
    </row>
    <row r="1006" spans="2:7">
      <c r="B1006" s="59">
        <v>4</v>
      </c>
      <c r="C1006" s="45" t="s">
        <v>10</v>
      </c>
      <c r="G1006" s="126"/>
    </row>
    <row r="1007" spans="2:7">
      <c r="B1007" s="59">
        <v>5</v>
      </c>
      <c r="C1007" s="45" t="s">
        <v>207</v>
      </c>
      <c r="G1007" s="126"/>
    </row>
    <row r="1008" spans="2:7">
      <c r="B1008" s="59">
        <v>6</v>
      </c>
      <c r="C1008" s="45" t="s">
        <v>12</v>
      </c>
      <c r="G1008" s="126"/>
    </row>
    <row r="1009" spans="2:7">
      <c r="B1009" s="59">
        <v>7</v>
      </c>
      <c r="C1009" s="45" t="s">
        <v>75</v>
      </c>
      <c r="G1009" s="126"/>
    </row>
    <row r="1010" spans="2:7">
      <c r="B1010" s="59">
        <v>8</v>
      </c>
      <c r="C1010" s="45" t="s">
        <v>146</v>
      </c>
      <c r="G1010" s="126"/>
    </row>
    <row r="1011" spans="2:7">
      <c r="B1011" s="59">
        <v>9</v>
      </c>
      <c r="C1011" s="45" t="s">
        <v>139</v>
      </c>
      <c r="G1011" s="126"/>
    </row>
    <row r="1012" spans="2:7">
      <c r="B1012" s="59">
        <v>10</v>
      </c>
      <c r="C1012" s="45" t="s">
        <v>208</v>
      </c>
      <c r="G1012" s="126"/>
    </row>
    <row r="1013" spans="2:7">
      <c r="B1013" s="59">
        <v>11</v>
      </c>
      <c r="C1013" s="45" t="s">
        <v>19</v>
      </c>
      <c r="G1013" s="126"/>
    </row>
    <row r="1014" spans="2:7">
      <c r="B1014" s="59">
        <v>12</v>
      </c>
      <c r="C1014" s="45" t="s">
        <v>608</v>
      </c>
      <c r="G1014" s="126"/>
    </row>
    <row r="1015" spans="2:7">
      <c r="B1015" s="59">
        <v>13</v>
      </c>
      <c r="C1015" s="45" t="s">
        <v>142</v>
      </c>
      <c r="G1015" s="126"/>
    </row>
    <row r="1016" spans="2:7">
      <c r="B1016" s="59">
        <v>14</v>
      </c>
      <c r="C1016" s="45" t="s">
        <v>141</v>
      </c>
      <c r="G1016" s="126"/>
    </row>
    <row r="1017" spans="2:7">
      <c r="B1017" s="59">
        <v>15</v>
      </c>
      <c r="C1017" s="45" t="s">
        <v>144</v>
      </c>
      <c r="G1017" s="126"/>
    </row>
    <row r="1018" spans="2:7">
      <c r="B1018" s="125"/>
      <c r="G1018" s="126"/>
    </row>
    <row r="1019" spans="2:7">
      <c r="B1019" s="125"/>
      <c r="C1019" s="45" t="s">
        <v>793</v>
      </c>
      <c r="G1019" s="126"/>
    </row>
    <row r="1020" spans="2:7">
      <c r="B1020" s="125"/>
      <c r="C1020" s="45" t="s">
        <v>422</v>
      </c>
      <c r="G1020" s="126"/>
    </row>
    <row r="1021" spans="2:7">
      <c r="B1021" s="125"/>
      <c r="C1021" s="45" t="s">
        <v>797</v>
      </c>
      <c r="G1021" s="126"/>
    </row>
    <row r="1022" spans="2:7">
      <c r="B1022" s="125"/>
      <c r="C1022" s="45" t="s">
        <v>798</v>
      </c>
      <c r="G1022" s="126"/>
    </row>
    <row r="1023" spans="2:7">
      <c r="B1023" s="125"/>
      <c r="C1023" s="45" t="s">
        <v>795</v>
      </c>
      <c r="G1023" s="126"/>
    </row>
    <row r="1024" spans="2:7">
      <c r="B1024" s="125"/>
      <c r="G1024" s="126"/>
    </row>
    <row r="1025" spans="2:7">
      <c r="B1025" s="125"/>
      <c r="C1025" s="44" t="s">
        <v>21</v>
      </c>
      <c r="G1025" s="126"/>
    </row>
    <row r="1026" spans="2:7">
      <c r="B1026" s="125" t="s">
        <v>336</v>
      </c>
      <c r="C1026" s="45" t="s">
        <v>15</v>
      </c>
      <c r="G1026" s="126"/>
    </row>
    <row r="1027" spans="2:7">
      <c r="B1027" s="125" t="s">
        <v>336</v>
      </c>
      <c r="C1027" s="45" t="s">
        <v>799</v>
      </c>
      <c r="G1027" s="126"/>
    </row>
    <row r="1028" spans="2:7">
      <c r="B1028" s="125" t="s">
        <v>336</v>
      </c>
      <c r="C1028" s="45" t="s">
        <v>160</v>
      </c>
      <c r="G1028" s="126"/>
    </row>
    <row r="1029" spans="2:7">
      <c r="B1029" s="125"/>
      <c r="G1029" s="126"/>
    </row>
    <row r="1030" spans="2:7">
      <c r="B1030" s="125"/>
      <c r="C1030" s="45" t="s">
        <v>771</v>
      </c>
      <c r="G1030" s="126"/>
    </row>
    <row r="1031" spans="2:7">
      <c r="B1031" s="125" t="s">
        <v>336</v>
      </c>
      <c r="C1031" s="45" t="s">
        <v>208</v>
      </c>
      <c r="G1031" s="126"/>
    </row>
    <row r="1032" spans="2:7">
      <c r="B1032" s="125"/>
      <c r="G1032" s="126"/>
    </row>
    <row r="1033" spans="2:7">
      <c r="B1033" s="125"/>
      <c r="C1033" s="45" t="s">
        <v>658</v>
      </c>
      <c r="G1033" s="126"/>
    </row>
    <row r="1034" spans="2:7">
      <c r="B1034" s="125" t="s">
        <v>338</v>
      </c>
      <c r="C1034" s="45" t="s">
        <v>208</v>
      </c>
      <c r="G1034" s="126"/>
    </row>
    <row r="1035" spans="2:7">
      <c r="B1035" s="125"/>
      <c r="G1035" s="126"/>
    </row>
    <row r="1036" spans="2:7">
      <c r="B1036" s="125"/>
      <c r="C1036" s="44" t="s">
        <v>23</v>
      </c>
      <c r="G1036" s="126"/>
    </row>
    <row r="1037" spans="2:7">
      <c r="B1037" s="125" t="s">
        <v>336</v>
      </c>
      <c r="C1037" s="112" t="s">
        <v>6</v>
      </c>
      <c r="G1037" s="126"/>
    </row>
    <row r="1038" spans="2:7" ht="13.5" thickBot="1">
      <c r="B1038" s="140"/>
      <c r="C1038" s="131"/>
      <c r="D1038" s="131"/>
      <c r="E1038" s="141"/>
      <c r="F1038" s="131"/>
      <c r="G1038" s="135"/>
    </row>
    <row r="1040" spans="2:7" ht="13.5" thickBot="1"/>
    <row r="1041" spans="2:7" ht="13.5" thickBot="1">
      <c r="B1041" s="239" t="s">
        <v>800</v>
      </c>
      <c r="C1041" s="240"/>
      <c r="D1041" s="240"/>
      <c r="E1041" s="240"/>
      <c r="F1041" s="240"/>
      <c r="G1041" s="241"/>
    </row>
    <row r="1042" spans="2:7" ht="13.5" thickBot="1">
      <c r="B1042" s="125"/>
      <c r="G1042" s="126"/>
    </row>
    <row r="1043" spans="2:7">
      <c r="B1043" s="125"/>
      <c r="C1043" s="127" t="s">
        <v>27</v>
      </c>
      <c r="D1043" s="128"/>
      <c r="E1043" s="128" t="s">
        <v>1</v>
      </c>
      <c r="F1043" s="129">
        <v>35</v>
      </c>
      <c r="G1043" s="126"/>
    </row>
    <row r="1044" spans="2:7" ht="13.5" thickBot="1">
      <c r="B1044" s="125"/>
      <c r="C1044" s="130"/>
      <c r="D1044" s="131"/>
      <c r="E1044" s="131" t="s">
        <v>94</v>
      </c>
      <c r="F1044" s="132">
        <v>10</v>
      </c>
      <c r="G1044" s="126"/>
    </row>
    <row r="1045" spans="2:7" ht="13.5" thickBot="1">
      <c r="B1045" s="125"/>
      <c r="G1045" s="126"/>
    </row>
    <row r="1046" spans="2:7">
      <c r="B1046" s="125"/>
      <c r="C1046" s="127" t="s">
        <v>4</v>
      </c>
      <c r="D1046" s="128"/>
      <c r="E1046" s="128" t="s">
        <v>1</v>
      </c>
      <c r="F1046" s="133" t="s">
        <v>205</v>
      </c>
      <c r="G1046" s="126"/>
    </row>
    <row r="1047" spans="2:7">
      <c r="B1047" s="125"/>
      <c r="C1047" s="59" t="s">
        <v>2</v>
      </c>
      <c r="E1047" s="45" t="s">
        <v>326</v>
      </c>
      <c r="F1047" s="126"/>
      <c r="G1047" s="126"/>
    </row>
    <row r="1048" spans="2:7" ht="13.5" thickBot="1">
      <c r="B1048" s="125"/>
      <c r="C1048" s="130" t="s">
        <v>3</v>
      </c>
      <c r="D1048" s="131"/>
      <c r="E1048" s="134" t="s">
        <v>326</v>
      </c>
      <c r="F1048" s="135"/>
      <c r="G1048" s="126"/>
    </row>
    <row r="1049" spans="2:7" ht="13.5" thickBot="1">
      <c r="B1049" s="125"/>
      <c r="G1049" s="126"/>
    </row>
    <row r="1050" spans="2:7" ht="13.5" thickBot="1">
      <c r="B1050" s="125"/>
      <c r="C1050" s="136" t="s">
        <v>29</v>
      </c>
      <c r="D1050" s="137"/>
      <c r="E1050" s="138" t="s">
        <v>319</v>
      </c>
      <c r="F1050" s="139"/>
      <c r="G1050" s="126"/>
    </row>
    <row r="1051" spans="2:7">
      <c r="B1051" s="125"/>
      <c r="G1051" s="126"/>
    </row>
    <row r="1052" spans="2:7">
      <c r="B1052" s="125"/>
      <c r="C1052" s="45" t="s">
        <v>5</v>
      </c>
      <c r="G1052" s="126"/>
    </row>
    <row r="1053" spans="2:7">
      <c r="B1053" s="125"/>
      <c r="G1053" s="126"/>
    </row>
    <row r="1054" spans="2:7">
      <c r="B1054" s="59">
        <v>1</v>
      </c>
      <c r="C1054" s="45" t="s">
        <v>53</v>
      </c>
      <c r="G1054" s="126"/>
    </row>
    <row r="1055" spans="2:7">
      <c r="B1055" s="59">
        <v>2</v>
      </c>
      <c r="C1055" s="45" t="s">
        <v>11</v>
      </c>
      <c r="G1055" s="126"/>
    </row>
    <row r="1056" spans="2:7">
      <c r="B1056" s="59">
        <v>3</v>
      </c>
      <c r="C1056" s="45" t="s">
        <v>6</v>
      </c>
      <c r="G1056" s="126"/>
    </row>
    <row r="1057" spans="2:7">
      <c r="B1057" s="59">
        <v>4</v>
      </c>
      <c r="C1057" s="45" t="s">
        <v>10</v>
      </c>
      <c r="G1057" s="126"/>
    </row>
    <row r="1058" spans="2:7">
      <c r="B1058" s="59">
        <v>5</v>
      </c>
      <c r="C1058" s="45" t="s">
        <v>207</v>
      </c>
      <c r="G1058" s="126"/>
    </row>
    <row r="1059" spans="2:7">
      <c r="B1059" s="59">
        <v>6</v>
      </c>
      <c r="C1059" s="45" t="s">
        <v>146</v>
      </c>
      <c r="G1059" s="126"/>
    </row>
    <row r="1060" spans="2:7">
      <c r="B1060" s="59">
        <v>7</v>
      </c>
      <c r="C1060" s="45" t="s">
        <v>75</v>
      </c>
      <c r="G1060" s="126"/>
    </row>
    <row r="1061" spans="2:7">
      <c r="B1061" s="59">
        <v>8</v>
      </c>
      <c r="C1061" s="45" t="s">
        <v>33</v>
      </c>
      <c r="G1061" s="126"/>
    </row>
    <row r="1062" spans="2:7">
      <c r="B1062" s="59">
        <v>9</v>
      </c>
      <c r="C1062" s="45" t="s">
        <v>139</v>
      </c>
      <c r="G1062" s="126"/>
    </row>
    <row r="1063" spans="2:7">
      <c r="B1063" s="59">
        <v>10</v>
      </c>
      <c r="C1063" s="45" t="s">
        <v>208</v>
      </c>
      <c r="G1063" s="126"/>
    </row>
    <row r="1064" spans="2:7">
      <c r="B1064" s="59">
        <v>11</v>
      </c>
      <c r="C1064" s="45" t="s">
        <v>19</v>
      </c>
      <c r="G1064" s="126"/>
    </row>
    <row r="1065" spans="2:7">
      <c r="B1065" s="59">
        <v>12</v>
      </c>
      <c r="C1065" s="45" t="s">
        <v>608</v>
      </c>
      <c r="G1065" s="126"/>
    </row>
    <row r="1066" spans="2:7">
      <c r="B1066" s="59">
        <v>13</v>
      </c>
      <c r="C1066" s="45" t="s">
        <v>142</v>
      </c>
      <c r="G1066" s="126"/>
    </row>
    <row r="1067" spans="2:7">
      <c r="B1067" s="59">
        <v>14</v>
      </c>
      <c r="C1067" s="45" t="s">
        <v>144</v>
      </c>
      <c r="G1067" s="126"/>
    </row>
    <row r="1068" spans="2:7">
      <c r="B1068" s="59">
        <v>15</v>
      </c>
      <c r="C1068" s="45" t="s">
        <v>18</v>
      </c>
      <c r="G1068" s="126"/>
    </row>
    <row r="1069" spans="2:7">
      <c r="B1069" s="125"/>
      <c r="G1069" s="126"/>
    </row>
    <row r="1070" spans="2:7">
      <c r="B1070" s="125"/>
      <c r="C1070" s="45" t="s">
        <v>801</v>
      </c>
      <c r="G1070" s="126"/>
    </row>
    <row r="1071" spans="2:7">
      <c r="B1071" s="125"/>
      <c r="C1071" s="45" t="s">
        <v>802</v>
      </c>
      <c r="G1071" s="126"/>
    </row>
    <row r="1072" spans="2:7">
      <c r="B1072" s="125"/>
      <c r="C1072" s="45" t="s">
        <v>798</v>
      </c>
      <c r="G1072" s="126"/>
    </row>
    <row r="1073" spans="2:7">
      <c r="B1073" s="125"/>
      <c r="G1073" s="126"/>
    </row>
    <row r="1074" spans="2:7">
      <c r="B1074" s="125"/>
      <c r="C1074" s="44" t="s">
        <v>21</v>
      </c>
      <c r="G1074" s="126"/>
    </row>
    <row r="1075" spans="2:7">
      <c r="B1075" s="125" t="s">
        <v>336</v>
      </c>
      <c r="C1075" s="45" t="s">
        <v>207</v>
      </c>
      <c r="G1075" s="126"/>
    </row>
    <row r="1076" spans="2:7">
      <c r="B1076" s="125" t="s">
        <v>336</v>
      </c>
      <c r="C1076" s="45" t="s">
        <v>144</v>
      </c>
      <c r="G1076" s="126"/>
    </row>
    <row r="1077" spans="2:7">
      <c r="B1077" s="125" t="s">
        <v>336</v>
      </c>
      <c r="C1077" s="45" t="s">
        <v>139</v>
      </c>
      <c r="G1077" s="126"/>
    </row>
    <row r="1078" spans="2:7">
      <c r="B1078" s="125" t="s">
        <v>336</v>
      </c>
      <c r="C1078" s="45" t="s">
        <v>142</v>
      </c>
      <c r="G1078" s="126"/>
    </row>
    <row r="1079" spans="2:7">
      <c r="B1079" s="125"/>
      <c r="G1079" s="126"/>
    </row>
    <row r="1080" spans="2:7">
      <c r="B1080" s="125"/>
      <c r="C1080" s="45" t="s">
        <v>771</v>
      </c>
      <c r="G1080" s="126"/>
    </row>
    <row r="1081" spans="2:7">
      <c r="B1081" s="125" t="s">
        <v>352</v>
      </c>
      <c r="C1081" s="45" t="s">
        <v>208</v>
      </c>
      <c r="G1081" s="126"/>
    </row>
    <row r="1082" spans="2:7">
      <c r="B1082" s="125" t="s">
        <v>336</v>
      </c>
      <c r="C1082" s="45" t="s">
        <v>139</v>
      </c>
      <c r="G1082" s="126"/>
    </row>
    <row r="1083" spans="2:7">
      <c r="B1083" s="125"/>
      <c r="G1083" s="126"/>
    </row>
    <row r="1084" spans="2:7">
      <c r="B1084" s="125"/>
      <c r="C1084" s="45" t="s">
        <v>658</v>
      </c>
      <c r="G1084" s="126"/>
    </row>
    <row r="1085" spans="2:7">
      <c r="B1085" s="125" t="s">
        <v>352</v>
      </c>
      <c r="C1085" s="45" t="s">
        <v>208</v>
      </c>
      <c r="G1085" s="126"/>
    </row>
    <row r="1086" spans="2:7">
      <c r="B1086" s="125"/>
      <c r="G1086" s="126"/>
    </row>
    <row r="1087" spans="2:7">
      <c r="B1087" s="125"/>
      <c r="C1087" s="45" t="s">
        <v>803</v>
      </c>
      <c r="G1087" s="126"/>
    </row>
    <row r="1088" spans="2:7">
      <c r="B1088" s="125" t="s">
        <v>336</v>
      </c>
      <c r="C1088" s="45" t="s">
        <v>18</v>
      </c>
      <c r="G1088" s="126"/>
    </row>
    <row r="1089" spans="2:7">
      <c r="B1089" s="125"/>
      <c r="G1089" s="126"/>
    </row>
    <row r="1090" spans="2:7">
      <c r="B1090" s="125"/>
      <c r="C1090" s="44" t="s">
        <v>23</v>
      </c>
      <c r="G1090" s="126"/>
    </row>
    <row r="1091" spans="2:7">
      <c r="B1091" s="125"/>
      <c r="C1091" s="112" t="s">
        <v>339</v>
      </c>
      <c r="G1091" s="126"/>
    </row>
    <row r="1092" spans="2:7" ht="13.5" thickBot="1">
      <c r="B1092" s="140"/>
      <c r="C1092" s="131"/>
      <c r="D1092" s="131"/>
      <c r="E1092" s="141"/>
      <c r="F1092" s="131"/>
      <c r="G1092" s="135"/>
    </row>
    <row r="1094" spans="2:7" ht="13.5" thickBot="1"/>
    <row r="1095" spans="2:7" ht="13.5" thickBot="1">
      <c r="B1095" s="239" t="s">
        <v>804</v>
      </c>
      <c r="C1095" s="240"/>
      <c r="D1095" s="240"/>
      <c r="E1095" s="240"/>
      <c r="F1095" s="240"/>
      <c r="G1095" s="241"/>
    </row>
    <row r="1096" spans="2:7" ht="13.5" thickBot="1">
      <c r="B1096" s="125"/>
      <c r="G1096" s="126"/>
    </row>
    <row r="1097" spans="2:7">
      <c r="B1097" s="125"/>
      <c r="C1097" s="127" t="s">
        <v>27</v>
      </c>
      <c r="D1097" s="128"/>
      <c r="E1097" s="128" t="s">
        <v>805</v>
      </c>
      <c r="F1097" s="129">
        <v>13</v>
      </c>
      <c r="G1097" s="126"/>
    </row>
    <row r="1098" spans="2:7" ht="13.5" thickBot="1">
      <c r="B1098" s="125"/>
      <c r="C1098" s="130"/>
      <c r="D1098" s="131"/>
      <c r="E1098" s="131" t="s">
        <v>1</v>
      </c>
      <c r="F1098" s="132">
        <v>15</v>
      </c>
      <c r="G1098" s="126"/>
    </row>
    <row r="1099" spans="2:7" ht="13.5" thickBot="1">
      <c r="B1099" s="125"/>
      <c r="G1099" s="126"/>
    </row>
    <row r="1100" spans="2:7">
      <c r="B1100" s="125"/>
      <c r="C1100" s="127" t="s">
        <v>4</v>
      </c>
      <c r="D1100" s="128"/>
      <c r="E1100" s="128" t="s">
        <v>805</v>
      </c>
      <c r="F1100" s="133"/>
      <c r="G1100" s="126"/>
    </row>
    <row r="1101" spans="2:7">
      <c r="B1101" s="125"/>
      <c r="C1101" s="59" t="s">
        <v>2</v>
      </c>
      <c r="E1101" s="45" t="s">
        <v>326</v>
      </c>
      <c r="F1101" s="126"/>
      <c r="G1101" s="126"/>
    </row>
    <row r="1102" spans="2:7" ht="13.5" thickBot="1">
      <c r="B1102" s="125"/>
      <c r="C1102" s="130" t="s">
        <v>3</v>
      </c>
      <c r="D1102" s="131"/>
      <c r="E1102" s="134" t="s">
        <v>344</v>
      </c>
      <c r="F1102" s="135"/>
      <c r="G1102" s="126"/>
    </row>
    <row r="1103" spans="2:7" ht="13.5" thickBot="1">
      <c r="B1103" s="125"/>
      <c r="G1103" s="126"/>
    </row>
    <row r="1104" spans="2:7" ht="13.5" thickBot="1">
      <c r="B1104" s="125"/>
      <c r="C1104" s="136" t="s">
        <v>29</v>
      </c>
      <c r="D1104" s="137"/>
      <c r="E1104" s="138" t="s">
        <v>315</v>
      </c>
      <c r="F1104" s="139"/>
      <c r="G1104" s="126"/>
    </row>
    <row r="1105" spans="2:7">
      <c r="B1105" s="125"/>
      <c r="G1105" s="126"/>
    </row>
    <row r="1106" spans="2:7">
      <c r="B1106" s="125"/>
      <c r="C1106" s="45" t="s">
        <v>5</v>
      </c>
      <c r="G1106" s="126"/>
    </row>
    <row r="1107" spans="2:7">
      <c r="B1107" s="125"/>
      <c r="G1107" s="126"/>
    </row>
    <row r="1108" spans="2:7">
      <c r="B1108" s="59">
        <v>1</v>
      </c>
      <c r="C1108" s="45" t="s">
        <v>53</v>
      </c>
      <c r="G1108" s="126"/>
    </row>
    <row r="1109" spans="2:7">
      <c r="B1109" s="59">
        <v>2</v>
      </c>
      <c r="C1109" s="45" t="s">
        <v>11</v>
      </c>
      <c r="G1109" s="126"/>
    </row>
    <row r="1110" spans="2:7">
      <c r="B1110" s="59">
        <v>3</v>
      </c>
      <c r="C1110" s="45" t="s">
        <v>6</v>
      </c>
      <c r="G1110" s="126"/>
    </row>
    <row r="1111" spans="2:7">
      <c r="B1111" s="59">
        <v>4</v>
      </c>
      <c r="C1111" s="45" t="s">
        <v>10</v>
      </c>
      <c r="G1111" s="126"/>
    </row>
    <row r="1112" spans="2:7">
      <c r="B1112" s="59">
        <v>5</v>
      </c>
      <c r="C1112" s="45" t="s">
        <v>207</v>
      </c>
      <c r="G1112" s="126"/>
    </row>
    <row r="1113" spans="2:7">
      <c r="B1113" s="59">
        <v>6</v>
      </c>
      <c r="C1113" s="45" t="s">
        <v>12</v>
      </c>
      <c r="G1113" s="126"/>
    </row>
    <row r="1114" spans="2:7">
      <c r="B1114" s="59">
        <v>7</v>
      </c>
      <c r="C1114" s="45" t="s">
        <v>75</v>
      </c>
      <c r="G1114" s="126"/>
    </row>
    <row r="1115" spans="2:7">
      <c r="B1115" s="59">
        <v>8</v>
      </c>
      <c r="C1115" s="45" t="s">
        <v>33</v>
      </c>
      <c r="G1115" s="126"/>
    </row>
    <row r="1116" spans="2:7">
      <c r="B1116" s="59">
        <v>9</v>
      </c>
      <c r="C1116" s="45" t="s">
        <v>139</v>
      </c>
      <c r="G1116" s="126"/>
    </row>
    <row r="1117" spans="2:7">
      <c r="B1117" s="59">
        <v>10</v>
      </c>
      <c r="C1117" s="45" t="s">
        <v>208</v>
      </c>
      <c r="G1117" s="126"/>
    </row>
    <row r="1118" spans="2:7">
      <c r="B1118" s="59">
        <v>11</v>
      </c>
      <c r="C1118" s="45" t="s">
        <v>19</v>
      </c>
      <c r="G1118" s="126"/>
    </row>
    <row r="1119" spans="2:7">
      <c r="B1119" s="59">
        <v>12</v>
      </c>
      <c r="C1119" s="45" t="s">
        <v>608</v>
      </c>
      <c r="G1119" s="126"/>
    </row>
    <row r="1120" spans="2:7">
      <c r="B1120" s="59">
        <v>13</v>
      </c>
      <c r="C1120" s="45" t="s">
        <v>142</v>
      </c>
      <c r="G1120" s="126"/>
    </row>
    <row r="1121" spans="2:7">
      <c r="B1121" s="59">
        <v>14</v>
      </c>
      <c r="C1121" s="45" t="s">
        <v>144</v>
      </c>
      <c r="G1121" s="126"/>
    </row>
    <row r="1122" spans="2:7">
      <c r="B1122" s="59">
        <v>15</v>
      </c>
      <c r="C1122" s="45" t="s">
        <v>18</v>
      </c>
      <c r="G1122" s="126"/>
    </row>
    <row r="1123" spans="2:7">
      <c r="B1123" s="125"/>
      <c r="G1123" s="126"/>
    </row>
    <row r="1124" spans="2:7">
      <c r="B1124" s="125"/>
      <c r="C1124" s="45" t="s">
        <v>806</v>
      </c>
      <c r="G1124" s="126"/>
    </row>
    <row r="1125" spans="2:7">
      <c r="B1125" s="125"/>
      <c r="C1125" s="45" t="s">
        <v>802</v>
      </c>
      <c r="G1125" s="126"/>
    </row>
    <row r="1126" spans="2:7">
      <c r="B1126" s="125"/>
      <c r="C1126" s="45" t="s">
        <v>807</v>
      </c>
      <c r="G1126" s="126"/>
    </row>
    <row r="1127" spans="2:7">
      <c r="B1127" s="125"/>
      <c r="G1127" s="126"/>
    </row>
    <row r="1128" spans="2:7">
      <c r="B1128" s="125"/>
      <c r="C1128" s="44" t="s">
        <v>21</v>
      </c>
      <c r="G1128" s="126"/>
    </row>
    <row r="1129" spans="2:7">
      <c r="B1129" s="125" t="s">
        <v>352</v>
      </c>
      <c r="C1129" s="45" t="s">
        <v>142</v>
      </c>
      <c r="G1129" s="126"/>
    </row>
    <row r="1130" spans="2:7">
      <c r="B1130" s="125"/>
      <c r="G1130" s="126"/>
    </row>
    <row r="1131" spans="2:7">
      <c r="B1131" s="125"/>
      <c r="C1131" s="45" t="s">
        <v>771</v>
      </c>
      <c r="G1131" s="126"/>
    </row>
    <row r="1132" spans="2:7">
      <c r="B1132" s="125" t="s">
        <v>336</v>
      </c>
      <c r="C1132" s="45" t="s">
        <v>607</v>
      </c>
      <c r="G1132" s="126"/>
    </row>
    <row r="1133" spans="2:7">
      <c r="B1133" s="125"/>
      <c r="G1133" s="126"/>
    </row>
    <row r="1134" spans="2:7">
      <c r="B1134" s="125"/>
      <c r="C1134" s="45" t="s">
        <v>658</v>
      </c>
      <c r="G1134" s="126"/>
    </row>
    <row r="1135" spans="2:7">
      <c r="B1135" s="125" t="s">
        <v>336</v>
      </c>
      <c r="C1135" s="45" t="s">
        <v>607</v>
      </c>
      <c r="G1135" s="126"/>
    </row>
    <row r="1136" spans="2:7">
      <c r="B1136" s="125"/>
      <c r="G1136" s="126"/>
    </row>
    <row r="1137" spans="2:7">
      <c r="B1137" s="125"/>
      <c r="C1137" s="44" t="s">
        <v>23</v>
      </c>
      <c r="G1137" s="126"/>
    </row>
    <row r="1138" spans="2:7">
      <c r="B1138" s="125"/>
      <c r="C1138" s="112" t="s">
        <v>339</v>
      </c>
      <c r="G1138" s="126"/>
    </row>
    <row r="1139" spans="2:7" ht="13.5" thickBot="1">
      <c r="B1139" s="140"/>
      <c r="C1139" s="131"/>
      <c r="D1139" s="131"/>
      <c r="E1139" s="141"/>
      <c r="F1139" s="131"/>
      <c r="G1139" s="135"/>
    </row>
    <row r="1141" spans="2:7" ht="13.5" thickBot="1"/>
    <row r="1142" spans="2:7" ht="13.5" thickBot="1">
      <c r="B1142" s="239" t="s">
        <v>808</v>
      </c>
      <c r="C1142" s="240"/>
      <c r="D1142" s="240"/>
      <c r="E1142" s="240"/>
      <c r="F1142" s="240"/>
      <c r="G1142" s="241"/>
    </row>
    <row r="1143" spans="2:7" ht="13.5" thickBot="1">
      <c r="B1143" s="125"/>
      <c r="G1143" s="126"/>
    </row>
    <row r="1144" spans="2:7">
      <c r="B1144" s="125"/>
      <c r="C1144" s="127" t="s">
        <v>27</v>
      </c>
      <c r="D1144" s="128"/>
      <c r="E1144" s="128" t="s">
        <v>1</v>
      </c>
      <c r="F1144" s="129">
        <v>17</v>
      </c>
      <c r="G1144" s="126"/>
    </row>
    <row r="1145" spans="2:7" ht="13.5" thickBot="1">
      <c r="B1145" s="125"/>
      <c r="C1145" s="130"/>
      <c r="D1145" s="131"/>
      <c r="E1145" s="131" t="s">
        <v>58</v>
      </c>
      <c r="F1145" s="132">
        <v>22</v>
      </c>
      <c r="G1145" s="126"/>
    </row>
    <row r="1146" spans="2:7" ht="13.5" thickBot="1">
      <c r="B1146" s="125"/>
      <c r="G1146" s="126"/>
    </row>
    <row r="1147" spans="2:7">
      <c r="B1147" s="125"/>
      <c r="C1147" s="127" t="s">
        <v>4</v>
      </c>
      <c r="D1147" s="128"/>
      <c r="E1147" s="128" t="s">
        <v>1</v>
      </c>
      <c r="F1147" s="133" t="s">
        <v>205</v>
      </c>
      <c r="G1147" s="126"/>
    </row>
    <row r="1148" spans="2:7">
      <c r="B1148" s="125"/>
      <c r="C1148" s="59" t="s">
        <v>2</v>
      </c>
      <c r="E1148" s="45" t="s">
        <v>326</v>
      </c>
      <c r="F1148" s="126"/>
      <c r="G1148" s="126"/>
    </row>
    <row r="1149" spans="2:7" ht="13.5" thickBot="1">
      <c r="B1149" s="125"/>
      <c r="C1149" s="130" t="s">
        <v>3</v>
      </c>
      <c r="D1149" s="131"/>
      <c r="E1149" s="134" t="s">
        <v>326</v>
      </c>
      <c r="F1149" s="135"/>
      <c r="G1149" s="126"/>
    </row>
    <row r="1150" spans="2:7" ht="13.5" thickBot="1">
      <c r="B1150" s="125"/>
      <c r="G1150" s="126"/>
    </row>
    <row r="1151" spans="2:7" ht="13.5" thickBot="1">
      <c r="B1151" s="125"/>
      <c r="C1151" s="136" t="s">
        <v>29</v>
      </c>
      <c r="D1151" s="137"/>
      <c r="E1151" s="138" t="s">
        <v>317</v>
      </c>
      <c r="F1151" s="139"/>
      <c r="G1151" s="126"/>
    </row>
    <row r="1152" spans="2:7">
      <c r="B1152" s="125"/>
      <c r="G1152" s="126"/>
    </row>
    <row r="1153" spans="2:7">
      <c r="B1153" s="125"/>
      <c r="C1153" s="45" t="s">
        <v>5</v>
      </c>
      <c r="G1153" s="126"/>
    </row>
    <row r="1154" spans="2:7">
      <c r="B1154" s="125"/>
      <c r="G1154" s="126"/>
    </row>
    <row r="1155" spans="2:7">
      <c r="B1155" s="59">
        <v>1</v>
      </c>
      <c r="C1155" s="45" t="s">
        <v>53</v>
      </c>
      <c r="G1155" s="126"/>
    </row>
    <row r="1156" spans="2:7">
      <c r="B1156" s="59">
        <v>2</v>
      </c>
      <c r="C1156" s="45" t="s">
        <v>11</v>
      </c>
      <c r="G1156" s="126"/>
    </row>
    <row r="1157" spans="2:7">
      <c r="B1157" s="59">
        <v>3</v>
      </c>
      <c r="C1157" s="45" t="s">
        <v>6</v>
      </c>
      <c r="G1157" s="126"/>
    </row>
    <row r="1158" spans="2:7">
      <c r="B1158" s="59">
        <v>4</v>
      </c>
      <c r="C1158" s="45" t="s">
        <v>206</v>
      </c>
      <c r="G1158" s="126"/>
    </row>
    <row r="1159" spans="2:7">
      <c r="B1159" s="59">
        <v>5</v>
      </c>
      <c r="C1159" s="45" t="s">
        <v>207</v>
      </c>
      <c r="G1159" s="126"/>
    </row>
    <row r="1160" spans="2:7">
      <c r="B1160" s="59">
        <v>6</v>
      </c>
      <c r="C1160" s="45" t="s">
        <v>12</v>
      </c>
      <c r="G1160" s="126"/>
    </row>
    <row r="1161" spans="2:7">
      <c r="B1161" s="59">
        <v>7</v>
      </c>
      <c r="C1161" s="45" t="s">
        <v>75</v>
      </c>
      <c r="G1161" s="126"/>
    </row>
    <row r="1162" spans="2:7">
      <c r="B1162" s="59">
        <v>8</v>
      </c>
      <c r="C1162" s="45" t="s">
        <v>33</v>
      </c>
      <c r="G1162" s="126"/>
    </row>
    <row r="1163" spans="2:7">
      <c r="B1163" s="59">
        <v>9</v>
      </c>
      <c r="C1163" s="45" t="s">
        <v>139</v>
      </c>
      <c r="G1163" s="126"/>
    </row>
    <row r="1164" spans="2:7">
      <c r="B1164" s="59">
        <v>10</v>
      </c>
      <c r="C1164" s="45" t="s">
        <v>208</v>
      </c>
      <c r="G1164" s="126"/>
    </row>
    <row r="1165" spans="2:7">
      <c r="B1165" s="59">
        <v>11</v>
      </c>
      <c r="C1165" s="45" t="s">
        <v>19</v>
      </c>
      <c r="G1165" s="126"/>
    </row>
    <row r="1166" spans="2:7">
      <c r="B1166" s="59">
        <v>12</v>
      </c>
      <c r="C1166" s="45" t="s">
        <v>608</v>
      </c>
      <c r="G1166" s="126"/>
    </row>
    <row r="1167" spans="2:7">
      <c r="B1167" s="59">
        <v>13</v>
      </c>
      <c r="C1167" s="45" t="s">
        <v>142</v>
      </c>
      <c r="G1167" s="126"/>
    </row>
    <row r="1168" spans="2:7">
      <c r="B1168" s="59">
        <v>14</v>
      </c>
      <c r="C1168" s="45" t="s">
        <v>144</v>
      </c>
      <c r="G1168" s="126"/>
    </row>
    <row r="1169" spans="2:7">
      <c r="B1169" s="59">
        <v>15</v>
      </c>
      <c r="C1169" s="45" t="s">
        <v>18</v>
      </c>
      <c r="G1169" s="126"/>
    </row>
    <row r="1170" spans="2:7">
      <c r="B1170" s="125"/>
      <c r="G1170" s="126"/>
    </row>
    <row r="1171" spans="2:7">
      <c r="B1171" s="125"/>
      <c r="C1171" s="45" t="s">
        <v>809</v>
      </c>
      <c r="G1171" s="126"/>
    </row>
    <row r="1172" spans="2:7">
      <c r="B1172" s="125"/>
      <c r="C1172" s="45" t="s">
        <v>810</v>
      </c>
      <c r="G1172" s="126"/>
    </row>
    <row r="1173" spans="2:7">
      <c r="B1173" s="125"/>
      <c r="C1173" s="45" t="s">
        <v>422</v>
      </c>
      <c r="G1173" s="126"/>
    </row>
    <row r="1174" spans="2:7">
      <c r="B1174" s="125"/>
      <c r="C1174" s="45" t="s">
        <v>807</v>
      </c>
      <c r="G1174" s="126"/>
    </row>
    <row r="1175" spans="2:7">
      <c r="B1175" s="125"/>
      <c r="C1175" s="45" t="s">
        <v>727</v>
      </c>
      <c r="G1175" s="126"/>
    </row>
    <row r="1176" spans="2:7">
      <c r="B1176" s="125"/>
      <c r="G1176" s="126"/>
    </row>
    <row r="1177" spans="2:7">
      <c r="B1177" s="125"/>
      <c r="C1177" s="44" t="s">
        <v>21</v>
      </c>
      <c r="G1177" s="126"/>
    </row>
    <row r="1178" spans="2:7">
      <c r="B1178" s="125" t="s">
        <v>336</v>
      </c>
      <c r="C1178" s="45" t="s">
        <v>142</v>
      </c>
      <c r="G1178" s="126"/>
    </row>
    <row r="1179" spans="2:7">
      <c r="B1179" s="125" t="s">
        <v>336</v>
      </c>
      <c r="C1179" s="45" t="s">
        <v>75</v>
      </c>
      <c r="G1179" s="126"/>
    </row>
    <row r="1180" spans="2:7">
      <c r="B1180" s="125" t="s">
        <v>336</v>
      </c>
      <c r="C1180" s="45" t="s">
        <v>144</v>
      </c>
      <c r="G1180" s="126"/>
    </row>
    <row r="1181" spans="2:7">
      <c r="B1181" s="125"/>
      <c r="G1181" s="126"/>
    </row>
    <row r="1182" spans="2:7">
      <c r="B1182" s="125"/>
      <c r="C1182" s="45" t="s">
        <v>771</v>
      </c>
      <c r="G1182" s="126"/>
    </row>
    <row r="1183" spans="2:7">
      <c r="B1183" s="125" t="s">
        <v>336</v>
      </c>
      <c r="C1183" s="45" t="s">
        <v>607</v>
      </c>
      <c r="G1183" s="126"/>
    </row>
    <row r="1184" spans="2:7">
      <c r="B1184" s="125"/>
      <c r="G1184" s="126"/>
    </row>
    <row r="1185" spans="2:7">
      <c r="B1185" s="125"/>
      <c r="C1185" s="44" t="s">
        <v>23</v>
      </c>
      <c r="G1185" s="126"/>
    </row>
    <row r="1186" spans="2:7">
      <c r="B1186" s="125" t="s">
        <v>336</v>
      </c>
      <c r="C1186" s="112" t="s">
        <v>207</v>
      </c>
      <c r="G1186" s="126"/>
    </row>
    <row r="1187" spans="2:7">
      <c r="B1187" s="125" t="s">
        <v>336</v>
      </c>
      <c r="C1187" s="112" t="s">
        <v>33</v>
      </c>
      <c r="G1187" s="126"/>
    </row>
    <row r="1188" spans="2:7" ht="13.5" thickBot="1">
      <c r="B1188" s="140"/>
      <c r="C1188" s="131"/>
      <c r="D1188" s="131"/>
      <c r="E1188" s="141"/>
      <c r="F1188" s="131"/>
      <c r="G1188" s="135"/>
    </row>
    <row r="1190" spans="2:7" ht="13.5" thickBot="1"/>
    <row r="1191" spans="2:7" ht="13.5" thickBot="1">
      <c r="B1191" s="239" t="s">
        <v>811</v>
      </c>
      <c r="C1191" s="240"/>
      <c r="D1191" s="240"/>
      <c r="E1191" s="240"/>
      <c r="F1191" s="240"/>
      <c r="G1191" s="241"/>
    </row>
    <row r="1192" spans="2:7" ht="13.5" thickBot="1">
      <c r="B1192" s="125"/>
      <c r="G1192" s="126"/>
    </row>
    <row r="1193" spans="2:7">
      <c r="B1193" s="125"/>
      <c r="C1193" s="127" t="s">
        <v>27</v>
      </c>
      <c r="D1193" s="128"/>
      <c r="E1193" s="128" t="s">
        <v>51</v>
      </c>
      <c r="F1193" s="129">
        <v>27</v>
      </c>
      <c r="G1193" s="126"/>
    </row>
    <row r="1194" spans="2:7" ht="13.5" thickBot="1">
      <c r="B1194" s="125"/>
      <c r="C1194" s="130"/>
      <c r="D1194" s="131"/>
      <c r="E1194" s="131" t="s">
        <v>1</v>
      </c>
      <c r="F1194" s="132">
        <v>37</v>
      </c>
      <c r="G1194" s="126"/>
    </row>
    <row r="1195" spans="2:7" ht="13.5" thickBot="1">
      <c r="B1195" s="125"/>
      <c r="G1195" s="126"/>
    </row>
    <row r="1196" spans="2:7">
      <c r="B1196" s="125"/>
      <c r="C1196" s="127" t="s">
        <v>4</v>
      </c>
      <c r="D1196" s="128"/>
      <c r="E1196" s="128" t="s">
        <v>51</v>
      </c>
      <c r="F1196" s="133"/>
      <c r="G1196" s="126"/>
    </row>
    <row r="1197" spans="2:7">
      <c r="B1197" s="125"/>
      <c r="C1197" s="59" t="s">
        <v>2</v>
      </c>
      <c r="E1197" s="45" t="s">
        <v>326</v>
      </c>
      <c r="F1197" s="126"/>
      <c r="G1197" s="126"/>
    </row>
    <row r="1198" spans="2:7" ht="13.5" thickBot="1">
      <c r="B1198" s="125"/>
      <c r="C1198" s="130" t="s">
        <v>3</v>
      </c>
      <c r="D1198" s="131"/>
      <c r="E1198" s="134" t="s">
        <v>326</v>
      </c>
      <c r="F1198" s="135"/>
      <c r="G1198" s="126"/>
    </row>
    <row r="1199" spans="2:7" ht="13.5" thickBot="1">
      <c r="B1199" s="125"/>
      <c r="G1199" s="126"/>
    </row>
    <row r="1200" spans="2:7" ht="13.5" thickBot="1">
      <c r="B1200" s="125"/>
      <c r="C1200" s="136" t="s">
        <v>29</v>
      </c>
      <c r="D1200" s="137"/>
      <c r="E1200" s="138" t="s">
        <v>320</v>
      </c>
      <c r="F1200" s="139"/>
      <c r="G1200" s="126"/>
    </row>
    <row r="1201" spans="2:7">
      <c r="B1201" s="125"/>
      <c r="G1201" s="126"/>
    </row>
    <row r="1202" spans="2:7">
      <c r="B1202" s="125"/>
      <c r="C1202" s="45" t="s">
        <v>5</v>
      </c>
      <c r="G1202" s="126"/>
    </row>
    <row r="1203" spans="2:7">
      <c r="B1203" s="125"/>
      <c r="G1203" s="126"/>
    </row>
    <row r="1204" spans="2:7">
      <c r="B1204" s="59">
        <v>1</v>
      </c>
      <c r="C1204" s="45" t="s">
        <v>53</v>
      </c>
      <c r="G1204" s="126"/>
    </row>
    <row r="1205" spans="2:7">
      <c r="B1205" s="59">
        <v>2</v>
      </c>
      <c r="C1205" s="45" t="s">
        <v>11</v>
      </c>
      <c r="G1205" s="126"/>
    </row>
    <row r="1206" spans="2:7">
      <c r="B1206" s="59">
        <v>3</v>
      </c>
      <c r="C1206" s="45" t="s">
        <v>6</v>
      </c>
      <c r="G1206" s="126"/>
    </row>
    <row r="1207" spans="2:7">
      <c r="B1207" s="59">
        <v>4</v>
      </c>
      <c r="C1207" s="45" t="s">
        <v>206</v>
      </c>
      <c r="G1207" s="126"/>
    </row>
    <row r="1208" spans="2:7">
      <c r="B1208" s="59">
        <v>5</v>
      </c>
      <c r="C1208" s="45" t="s">
        <v>207</v>
      </c>
      <c r="G1208" s="126"/>
    </row>
    <row r="1209" spans="2:7">
      <c r="B1209" s="59">
        <v>6</v>
      </c>
      <c r="C1209" s="45" t="s">
        <v>12</v>
      </c>
      <c r="G1209" s="126"/>
    </row>
    <row r="1210" spans="2:7">
      <c r="B1210" s="59">
        <v>7</v>
      </c>
      <c r="C1210" s="45" t="s">
        <v>75</v>
      </c>
      <c r="G1210" s="126"/>
    </row>
    <row r="1211" spans="2:7">
      <c r="B1211" s="59">
        <v>8</v>
      </c>
      <c r="C1211" s="45" t="s">
        <v>33</v>
      </c>
      <c r="G1211" s="126"/>
    </row>
    <row r="1212" spans="2:7">
      <c r="B1212" s="59">
        <v>9</v>
      </c>
      <c r="C1212" s="45" t="s">
        <v>139</v>
      </c>
      <c r="G1212" s="126"/>
    </row>
    <row r="1213" spans="2:7">
      <c r="B1213" s="59">
        <v>10</v>
      </c>
      <c r="C1213" s="45" t="s">
        <v>607</v>
      </c>
      <c r="G1213" s="126"/>
    </row>
    <row r="1214" spans="2:7">
      <c r="B1214" s="59">
        <v>11</v>
      </c>
      <c r="C1214" s="45" t="s">
        <v>19</v>
      </c>
      <c r="G1214" s="126"/>
    </row>
    <row r="1215" spans="2:7">
      <c r="B1215" s="59">
        <v>12</v>
      </c>
      <c r="C1215" s="45" t="s">
        <v>608</v>
      </c>
      <c r="G1215" s="126"/>
    </row>
    <row r="1216" spans="2:7">
      <c r="B1216" s="59">
        <v>13</v>
      </c>
      <c r="C1216" s="45" t="s">
        <v>142</v>
      </c>
      <c r="G1216" s="126"/>
    </row>
    <row r="1217" spans="2:7">
      <c r="B1217" s="59">
        <v>14</v>
      </c>
      <c r="C1217" s="45" t="s">
        <v>144</v>
      </c>
      <c r="G1217" s="126"/>
    </row>
    <row r="1218" spans="2:7">
      <c r="B1218" s="59">
        <v>15</v>
      </c>
      <c r="C1218" s="45" t="s">
        <v>18</v>
      </c>
      <c r="G1218" s="126"/>
    </row>
    <row r="1219" spans="2:7">
      <c r="B1219" s="125"/>
      <c r="G1219" s="126"/>
    </row>
    <row r="1220" spans="2:7">
      <c r="B1220" s="125"/>
      <c r="C1220" s="45" t="s">
        <v>812</v>
      </c>
      <c r="G1220" s="126"/>
    </row>
    <row r="1221" spans="2:7">
      <c r="B1221" s="125"/>
      <c r="C1221" s="45" t="s">
        <v>810</v>
      </c>
      <c r="G1221" s="126"/>
    </row>
    <row r="1222" spans="2:7">
      <c r="B1222" s="125"/>
      <c r="C1222" s="45" t="s">
        <v>813</v>
      </c>
      <c r="G1222" s="126"/>
    </row>
    <row r="1223" spans="2:7">
      <c r="B1223" s="125"/>
      <c r="C1223" s="45" t="s">
        <v>814</v>
      </c>
      <c r="G1223" s="126"/>
    </row>
    <row r="1224" spans="2:7">
      <c r="B1224" s="125"/>
      <c r="C1224" s="45" t="s">
        <v>815</v>
      </c>
      <c r="G1224" s="126"/>
    </row>
    <row r="1225" spans="2:7">
      <c r="B1225" s="125"/>
      <c r="C1225" s="45" t="s">
        <v>727</v>
      </c>
      <c r="G1225" s="126"/>
    </row>
    <row r="1226" spans="2:7">
      <c r="B1226" s="125"/>
      <c r="G1226" s="126"/>
    </row>
    <row r="1227" spans="2:7">
      <c r="B1227" s="125"/>
      <c r="C1227" s="44" t="s">
        <v>21</v>
      </c>
      <c r="G1227" s="126"/>
    </row>
    <row r="1228" spans="2:7">
      <c r="B1228" s="125" t="s">
        <v>352</v>
      </c>
      <c r="C1228" s="45" t="s">
        <v>33</v>
      </c>
      <c r="G1228" s="126"/>
    </row>
    <row r="1229" spans="2:7">
      <c r="B1229" s="125" t="s">
        <v>336</v>
      </c>
      <c r="C1229" s="45" t="s">
        <v>12</v>
      </c>
      <c r="G1229" s="126"/>
    </row>
    <row r="1230" spans="2:7">
      <c r="B1230" s="125" t="s">
        <v>336</v>
      </c>
      <c r="C1230" s="45" t="s">
        <v>144</v>
      </c>
      <c r="G1230" s="126"/>
    </row>
    <row r="1231" spans="2:7">
      <c r="B1231" s="125" t="s">
        <v>336</v>
      </c>
      <c r="C1231" s="45" t="s">
        <v>816</v>
      </c>
      <c r="G1231" s="126"/>
    </row>
    <row r="1232" spans="2:7">
      <c r="B1232" s="125"/>
      <c r="G1232" s="126"/>
    </row>
    <row r="1233" spans="2:7">
      <c r="B1233" s="125"/>
      <c r="C1233" s="45" t="s">
        <v>771</v>
      </c>
      <c r="G1233" s="126"/>
    </row>
    <row r="1234" spans="2:7">
      <c r="B1234" s="125" t="s">
        <v>335</v>
      </c>
      <c r="C1234" s="45" t="s">
        <v>607</v>
      </c>
      <c r="G1234" s="126"/>
    </row>
    <row r="1235" spans="2:7">
      <c r="B1235" s="125"/>
      <c r="G1235" s="126"/>
    </row>
    <row r="1236" spans="2:7">
      <c r="B1236" s="125"/>
      <c r="C1236" s="44" t="s">
        <v>22</v>
      </c>
      <c r="G1236" s="126"/>
    </row>
    <row r="1237" spans="2:7">
      <c r="B1237" s="125" t="s">
        <v>352</v>
      </c>
      <c r="C1237" s="45" t="s">
        <v>607</v>
      </c>
      <c r="G1237" s="126"/>
    </row>
    <row r="1238" spans="2:7">
      <c r="B1238" s="125"/>
      <c r="G1238" s="126"/>
    </row>
    <row r="1239" spans="2:7">
      <c r="B1239" s="125"/>
      <c r="C1239" s="44" t="s">
        <v>23</v>
      </c>
      <c r="G1239" s="126"/>
    </row>
    <row r="1240" spans="2:7">
      <c r="B1240" s="125" t="s">
        <v>336</v>
      </c>
      <c r="C1240" s="112" t="s">
        <v>6</v>
      </c>
      <c r="G1240" s="126"/>
    </row>
    <row r="1241" spans="2:7">
      <c r="B1241" s="125" t="s">
        <v>336</v>
      </c>
      <c r="C1241" s="112" t="s">
        <v>18</v>
      </c>
      <c r="G1241" s="126"/>
    </row>
    <row r="1242" spans="2:7" ht="13.5" thickBot="1">
      <c r="B1242" s="140"/>
      <c r="C1242" s="131"/>
      <c r="D1242" s="131"/>
      <c r="E1242" s="141"/>
      <c r="F1242" s="131"/>
      <c r="G1242" s="135"/>
    </row>
    <row r="1244" spans="2:7" ht="13.5" thickBot="1"/>
    <row r="1245" spans="2:7" ht="13.5" thickBot="1">
      <c r="B1245" s="239" t="s">
        <v>817</v>
      </c>
      <c r="C1245" s="240"/>
      <c r="D1245" s="240"/>
      <c r="E1245" s="240"/>
      <c r="F1245" s="240"/>
      <c r="G1245" s="241"/>
    </row>
    <row r="1246" spans="2:7" ht="13.5" thickBot="1">
      <c r="B1246" s="125"/>
      <c r="G1246" s="126"/>
    </row>
    <row r="1247" spans="2:7">
      <c r="B1247" s="125"/>
      <c r="C1247" s="127" t="s">
        <v>27</v>
      </c>
      <c r="D1247" s="128"/>
      <c r="E1247" s="128" t="s">
        <v>1</v>
      </c>
      <c r="F1247" s="129">
        <v>26</v>
      </c>
      <c r="G1247" s="126"/>
    </row>
    <row r="1248" spans="2:7" ht="13.5" thickBot="1">
      <c r="B1248" s="125"/>
      <c r="C1248" s="130"/>
      <c r="D1248" s="131"/>
      <c r="E1248" s="131" t="s">
        <v>37</v>
      </c>
      <c r="F1248" s="132">
        <v>47</v>
      </c>
      <c r="G1248" s="126"/>
    </row>
    <row r="1249" spans="2:7" ht="13.5" thickBot="1">
      <c r="B1249" s="125"/>
      <c r="G1249" s="126"/>
    </row>
    <row r="1250" spans="2:7">
      <c r="B1250" s="125"/>
      <c r="C1250" s="127" t="s">
        <v>4</v>
      </c>
      <c r="D1250" s="128"/>
      <c r="E1250" s="128" t="s">
        <v>1</v>
      </c>
      <c r="F1250" s="133" t="s">
        <v>205</v>
      </c>
      <c r="G1250" s="126"/>
    </row>
    <row r="1251" spans="2:7">
      <c r="B1251" s="125"/>
      <c r="C1251" s="59" t="s">
        <v>2</v>
      </c>
      <c r="E1251" s="45" t="s">
        <v>326</v>
      </c>
      <c r="F1251" s="126"/>
      <c r="G1251" s="126"/>
    </row>
    <row r="1252" spans="2:7" ht="13.5" thickBot="1">
      <c r="B1252" s="125"/>
      <c r="C1252" s="130" t="s">
        <v>3</v>
      </c>
      <c r="D1252" s="131"/>
      <c r="E1252" s="134" t="s">
        <v>326</v>
      </c>
      <c r="F1252" s="135"/>
      <c r="G1252" s="126"/>
    </row>
    <row r="1253" spans="2:7" ht="13.5" thickBot="1">
      <c r="B1253" s="125"/>
      <c r="G1253" s="126"/>
    </row>
    <row r="1254" spans="2:7" ht="13.5" thickBot="1">
      <c r="B1254" s="125"/>
      <c r="C1254" s="136" t="s">
        <v>29</v>
      </c>
      <c r="D1254" s="137"/>
      <c r="E1254" s="138" t="s">
        <v>275</v>
      </c>
      <c r="F1254" s="139"/>
      <c r="G1254" s="126"/>
    </row>
    <row r="1255" spans="2:7">
      <c r="B1255" s="125"/>
      <c r="G1255" s="126"/>
    </row>
    <row r="1256" spans="2:7">
      <c r="B1256" s="125"/>
      <c r="C1256" s="45" t="s">
        <v>5</v>
      </c>
      <c r="G1256" s="126"/>
    </row>
    <row r="1257" spans="2:7">
      <c r="B1257" s="125"/>
      <c r="G1257" s="126"/>
    </row>
    <row r="1258" spans="2:7">
      <c r="B1258" s="59">
        <v>1</v>
      </c>
      <c r="C1258" s="45" t="s">
        <v>53</v>
      </c>
      <c r="G1258" s="126"/>
    </row>
    <row r="1259" spans="2:7">
      <c r="B1259" s="59">
        <v>2</v>
      </c>
      <c r="C1259" s="45" t="s">
        <v>11</v>
      </c>
      <c r="G1259" s="126"/>
    </row>
    <row r="1260" spans="2:7">
      <c r="B1260" s="59">
        <v>3</v>
      </c>
      <c r="C1260" s="45" t="s">
        <v>189</v>
      </c>
      <c r="G1260" s="126"/>
    </row>
    <row r="1261" spans="2:7">
      <c r="B1261" s="59">
        <v>4</v>
      </c>
      <c r="C1261" s="45" t="s">
        <v>10</v>
      </c>
      <c r="G1261" s="126"/>
    </row>
    <row r="1262" spans="2:7">
      <c r="B1262" s="59">
        <v>5</v>
      </c>
      <c r="C1262" s="45" t="s">
        <v>207</v>
      </c>
      <c r="G1262" s="126"/>
    </row>
    <row r="1263" spans="2:7">
      <c r="B1263" s="59">
        <v>6</v>
      </c>
      <c r="C1263" s="45" t="s">
        <v>12</v>
      </c>
      <c r="G1263" s="126"/>
    </row>
    <row r="1264" spans="2:7">
      <c r="B1264" s="59">
        <v>7</v>
      </c>
      <c r="C1264" s="45" t="s">
        <v>75</v>
      </c>
      <c r="G1264" s="126"/>
    </row>
    <row r="1265" spans="2:7">
      <c r="B1265" s="59">
        <v>8</v>
      </c>
      <c r="C1265" s="45" t="s">
        <v>33</v>
      </c>
      <c r="G1265" s="126"/>
    </row>
    <row r="1266" spans="2:7">
      <c r="B1266" s="59">
        <v>9</v>
      </c>
      <c r="C1266" s="45" t="s">
        <v>139</v>
      </c>
      <c r="G1266" s="126"/>
    </row>
    <row r="1267" spans="2:7">
      <c r="B1267" s="59">
        <v>10</v>
      </c>
      <c r="C1267" s="45" t="s">
        <v>607</v>
      </c>
      <c r="G1267" s="126"/>
    </row>
    <row r="1268" spans="2:7">
      <c r="B1268" s="59">
        <v>11</v>
      </c>
      <c r="C1268" s="45" t="s">
        <v>19</v>
      </c>
      <c r="G1268" s="126"/>
    </row>
    <row r="1269" spans="2:7">
      <c r="B1269" s="59">
        <v>12</v>
      </c>
      <c r="C1269" s="45" t="s">
        <v>608</v>
      </c>
      <c r="G1269" s="126"/>
    </row>
    <row r="1270" spans="2:7">
      <c r="B1270" s="59">
        <v>13</v>
      </c>
      <c r="C1270" s="45" t="s">
        <v>18</v>
      </c>
      <c r="G1270" s="126"/>
    </row>
    <row r="1271" spans="2:7">
      <c r="B1271" s="59">
        <v>14</v>
      </c>
      <c r="C1271" s="45" t="s">
        <v>144</v>
      </c>
      <c r="G1271" s="126"/>
    </row>
    <row r="1272" spans="2:7">
      <c r="B1272" s="59">
        <v>15</v>
      </c>
      <c r="C1272" s="45" t="s">
        <v>190</v>
      </c>
      <c r="G1272" s="126"/>
    </row>
    <row r="1273" spans="2:7">
      <c r="B1273" s="125"/>
      <c r="G1273" s="126"/>
    </row>
    <row r="1274" spans="2:7">
      <c r="B1274" s="125"/>
      <c r="C1274" s="45" t="s">
        <v>806</v>
      </c>
      <c r="G1274" s="126"/>
    </row>
    <row r="1275" spans="2:7">
      <c r="B1275" s="125"/>
      <c r="C1275" s="45" t="s">
        <v>726</v>
      </c>
      <c r="G1275" s="126"/>
    </row>
    <row r="1276" spans="2:7">
      <c r="B1276" s="125"/>
      <c r="C1276" s="45" t="s">
        <v>818</v>
      </c>
      <c r="G1276" s="126"/>
    </row>
    <row r="1277" spans="2:7">
      <c r="B1277" s="125"/>
      <c r="G1277" s="126"/>
    </row>
    <row r="1278" spans="2:7">
      <c r="B1278" s="125"/>
      <c r="C1278" s="44" t="s">
        <v>21</v>
      </c>
      <c r="G1278" s="126"/>
    </row>
    <row r="1279" spans="2:7">
      <c r="B1279" s="125" t="s">
        <v>336</v>
      </c>
      <c r="C1279" s="45" t="s">
        <v>33</v>
      </c>
      <c r="G1279" s="126"/>
    </row>
    <row r="1280" spans="2:7">
      <c r="B1280" s="125" t="s">
        <v>335</v>
      </c>
      <c r="C1280" s="45" t="s">
        <v>19</v>
      </c>
      <c r="G1280" s="126"/>
    </row>
    <row r="1281" spans="2:7">
      <c r="B1281" s="125"/>
      <c r="G1281" s="126"/>
    </row>
    <row r="1282" spans="2:7">
      <c r="B1282" s="125"/>
      <c r="C1282" s="45" t="s">
        <v>771</v>
      </c>
      <c r="G1282" s="126"/>
    </row>
    <row r="1283" spans="2:7">
      <c r="B1283" s="125" t="s">
        <v>335</v>
      </c>
      <c r="C1283" s="45" t="s">
        <v>607</v>
      </c>
      <c r="G1283" s="126"/>
    </row>
    <row r="1284" spans="2:7">
      <c r="B1284" s="125"/>
      <c r="G1284" s="126"/>
    </row>
    <row r="1285" spans="2:7">
      <c r="B1285" s="125"/>
      <c r="C1285" s="44" t="s">
        <v>23</v>
      </c>
      <c r="G1285" s="126"/>
    </row>
    <row r="1286" spans="2:7">
      <c r="B1286" s="125" t="s">
        <v>336</v>
      </c>
      <c r="C1286" s="45" t="s">
        <v>33</v>
      </c>
      <c r="G1286" s="126"/>
    </row>
    <row r="1287" spans="2:7">
      <c r="B1287" s="125" t="s">
        <v>336</v>
      </c>
      <c r="C1287" s="45" t="s">
        <v>13</v>
      </c>
      <c r="G1287" s="126"/>
    </row>
    <row r="1288" spans="2:7" ht="13.5" thickBot="1">
      <c r="B1288" s="140"/>
      <c r="C1288" s="131"/>
      <c r="D1288" s="131"/>
      <c r="E1288" s="141"/>
      <c r="F1288" s="131"/>
      <c r="G1288" s="135"/>
    </row>
  </sheetData>
  <mergeCells count="27">
    <mergeCell ref="B202:G202"/>
    <mergeCell ref="B2:G2"/>
    <mergeCell ref="M5:N5"/>
    <mergeCell ref="B53:G53"/>
    <mergeCell ref="B100:G100"/>
    <mergeCell ref="B148:G148"/>
    <mergeCell ref="B795:G795"/>
    <mergeCell ref="B249:G249"/>
    <mergeCell ref="B297:G297"/>
    <mergeCell ref="B347:G347"/>
    <mergeCell ref="B398:G398"/>
    <mergeCell ref="B453:G453"/>
    <mergeCell ref="B502:G502"/>
    <mergeCell ref="B555:G555"/>
    <mergeCell ref="B601:G601"/>
    <mergeCell ref="B643:G643"/>
    <mergeCell ref="B693:G693"/>
    <mergeCell ref="B742:G742"/>
    <mergeCell ref="B1142:G1142"/>
    <mergeCell ref="B1191:G1191"/>
    <mergeCell ref="B1245:G1245"/>
    <mergeCell ref="B845:G845"/>
    <mergeCell ref="B898:G898"/>
    <mergeCell ref="B945:G945"/>
    <mergeCell ref="B990:G990"/>
    <mergeCell ref="B1041:G1041"/>
    <mergeCell ref="B1095:G1095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1310"/>
  <sheetViews>
    <sheetView topLeftCell="A707" workbookViewId="0">
      <selection activeCell="E707" sqref="E707"/>
    </sheetView>
  </sheetViews>
  <sheetFormatPr baseColWidth="10" defaultColWidth="11.42578125" defaultRowHeight="12.75"/>
  <cols>
    <col min="1" max="2" width="5.5703125" style="124" customWidth="1"/>
    <col min="3" max="3" width="24.28515625" style="45" customWidth="1"/>
    <col min="4" max="4" width="10.140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9" t="s">
        <v>819</v>
      </c>
      <c r="C2" s="240"/>
      <c r="D2" s="240"/>
      <c r="E2" s="240"/>
      <c r="F2" s="240"/>
      <c r="G2" s="241"/>
    </row>
    <row r="3" spans="2:7" ht="13.5" thickBot="1">
      <c r="B3" s="125"/>
      <c r="G3" s="126"/>
    </row>
    <row r="4" spans="2:7">
      <c r="B4" s="125"/>
      <c r="C4" s="127" t="s">
        <v>27</v>
      </c>
      <c r="D4" s="128"/>
      <c r="E4" s="128" t="s">
        <v>73</v>
      </c>
      <c r="F4" s="129">
        <v>8</v>
      </c>
      <c r="G4" s="126"/>
    </row>
    <row r="5" spans="2:7" ht="13.5" thickBot="1">
      <c r="B5" s="125"/>
      <c r="C5" s="130"/>
      <c r="D5" s="131"/>
      <c r="E5" s="131" t="s">
        <v>1</v>
      </c>
      <c r="F5" s="132">
        <v>25</v>
      </c>
      <c r="G5" s="126"/>
    </row>
    <row r="6" spans="2:7" ht="13.5" thickBot="1">
      <c r="B6" s="125"/>
      <c r="G6" s="126"/>
    </row>
    <row r="7" spans="2:7">
      <c r="B7" s="125"/>
      <c r="C7" s="127" t="s">
        <v>4</v>
      </c>
      <c r="D7" s="128"/>
      <c r="E7" s="128" t="s">
        <v>73</v>
      </c>
      <c r="F7" s="133"/>
      <c r="G7" s="126"/>
    </row>
    <row r="8" spans="2:7">
      <c r="B8" s="125"/>
      <c r="C8" s="59" t="s">
        <v>2</v>
      </c>
      <c r="E8" s="45" t="s">
        <v>404</v>
      </c>
      <c r="F8" s="126"/>
      <c r="G8" s="126"/>
    </row>
    <row r="9" spans="2:7" ht="13.5" thickBot="1">
      <c r="B9" s="125"/>
      <c r="C9" s="130" t="s">
        <v>3</v>
      </c>
      <c r="D9" s="131"/>
      <c r="E9" s="134" t="s">
        <v>326</v>
      </c>
      <c r="F9" s="135"/>
      <c r="G9" s="126"/>
    </row>
    <row r="10" spans="2:7" ht="13.5" thickBot="1">
      <c r="B10" s="125"/>
      <c r="G10" s="126"/>
    </row>
    <row r="11" spans="2:7" ht="13.5" thickBot="1">
      <c r="B11" s="125"/>
      <c r="C11" s="136" t="s">
        <v>29</v>
      </c>
      <c r="D11" s="137"/>
      <c r="E11" s="138" t="s">
        <v>315</v>
      </c>
      <c r="F11" s="139"/>
      <c r="G11" s="126"/>
    </row>
    <row r="12" spans="2:7">
      <c r="B12" s="125"/>
      <c r="G12" s="126"/>
    </row>
    <row r="13" spans="2:7">
      <c r="B13" s="125"/>
      <c r="C13" s="45" t="s">
        <v>5</v>
      </c>
      <c r="G13" s="126"/>
    </row>
    <row r="14" spans="2:7">
      <c r="B14" s="125"/>
      <c r="G14" s="126"/>
    </row>
    <row r="15" spans="2:7">
      <c r="B15" s="59">
        <v>1</v>
      </c>
      <c r="C15" s="45" t="s">
        <v>182</v>
      </c>
      <c r="G15" s="126"/>
    </row>
    <row r="16" spans="2:7">
      <c r="B16" s="59">
        <v>2</v>
      </c>
      <c r="C16" s="45" t="s">
        <v>211</v>
      </c>
      <c r="G16" s="126"/>
    </row>
    <row r="17" spans="2:7">
      <c r="B17" s="59">
        <v>3</v>
      </c>
      <c r="C17" s="45" t="s">
        <v>31</v>
      </c>
      <c r="G17" s="126"/>
    </row>
    <row r="18" spans="2:7">
      <c r="B18" s="59">
        <v>4</v>
      </c>
      <c r="C18" s="45" t="s">
        <v>10</v>
      </c>
      <c r="G18" s="126"/>
    </row>
    <row r="19" spans="2:7">
      <c r="B19" s="59">
        <v>5</v>
      </c>
      <c r="C19" s="45" t="s">
        <v>207</v>
      </c>
      <c r="G19" s="126"/>
    </row>
    <row r="20" spans="2:7">
      <c r="B20" s="59">
        <v>6</v>
      </c>
      <c r="C20" s="45" t="s">
        <v>9</v>
      </c>
      <c r="G20" s="126"/>
    </row>
    <row r="21" spans="2:7">
      <c r="B21" s="59">
        <v>7</v>
      </c>
      <c r="C21" s="45" t="s">
        <v>34</v>
      </c>
      <c r="G21" s="126"/>
    </row>
    <row r="22" spans="2:7">
      <c r="B22" s="59">
        <v>8</v>
      </c>
      <c r="C22" s="45" t="s">
        <v>33</v>
      </c>
      <c r="G22" s="126"/>
    </row>
    <row r="23" spans="2:7">
      <c r="B23" s="59">
        <v>9</v>
      </c>
      <c r="C23" s="45" t="s">
        <v>820</v>
      </c>
      <c r="G23" s="126"/>
    </row>
    <row r="24" spans="2:7">
      <c r="B24" s="59">
        <v>10</v>
      </c>
      <c r="C24" s="45" t="s">
        <v>607</v>
      </c>
      <c r="G24" s="126"/>
    </row>
    <row r="25" spans="2:7">
      <c r="B25" s="59">
        <v>11</v>
      </c>
      <c r="C25" s="45" t="s">
        <v>42</v>
      </c>
      <c r="G25" s="126"/>
    </row>
    <row r="26" spans="2:7">
      <c r="B26" s="59">
        <v>12</v>
      </c>
      <c r="C26" s="45" t="s">
        <v>608</v>
      </c>
      <c r="G26" s="126"/>
    </row>
    <row r="27" spans="2:7">
      <c r="B27" s="59">
        <v>13</v>
      </c>
      <c r="C27" s="45" t="s">
        <v>18</v>
      </c>
      <c r="G27" s="126"/>
    </row>
    <row r="28" spans="2:7">
      <c r="B28" s="59">
        <v>14</v>
      </c>
      <c r="C28" s="45" t="s">
        <v>144</v>
      </c>
      <c r="G28" s="126"/>
    </row>
    <row r="29" spans="2:7">
      <c r="B29" s="59">
        <v>15</v>
      </c>
      <c r="C29" s="45" t="s">
        <v>212</v>
      </c>
      <c r="G29" s="126"/>
    </row>
    <row r="30" spans="2:7">
      <c r="B30" s="125"/>
      <c r="G30" s="126"/>
    </row>
    <row r="31" spans="2:7">
      <c r="B31" s="125"/>
      <c r="C31" s="45" t="s">
        <v>821</v>
      </c>
      <c r="G31" s="126"/>
    </row>
    <row r="32" spans="2:7">
      <c r="B32" s="125"/>
      <c r="C32" s="45" t="s">
        <v>653</v>
      </c>
      <c r="G32" s="126"/>
    </row>
    <row r="33" spans="2:7">
      <c r="B33" s="125"/>
      <c r="C33" s="45" t="s">
        <v>822</v>
      </c>
      <c r="G33" s="126"/>
    </row>
    <row r="34" spans="2:7">
      <c r="B34" s="125"/>
      <c r="C34" s="45" t="s">
        <v>823</v>
      </c>
      <c r="G34" s="126"/>
    </row>
    <row r="35" spans="2:7">
      <c r="B35" s="125"/>
      <c r="C35" s="45" t="s">
        <v>824</v>
      </c>
      <c r="G35" s="126"/>
    </row>
    <row r="36" spans="2:7">
      <c r="B36" s="125"/>
      <c r="C36" s="45" t="s">
        <v>709</v>
      </c>
      <c r="G36" s="126"/>
    </row>
    <row r="37" spans="2:7">
      <c r="B37" s="125"/>
      <c r="C37" s="45" t="s">
        <v>825</v>
      </c>
      <c r="G37" s="126"/>
    </row>
    <row r="38" spans="2:7">
      <c r="B38" s="125"/>
      <c r="G38" s="126"/>
    </row>
    <row r="39" spans="2:7">
      <c r="B39" s="125"/>
      <c r="C39" s="124" t="s">
        <v>21</v>
      </c>
      <c r="G39" s="126"/>
    </row>
    <row r="40" spans="2:7">
      <c r="B40" s="125" t="s">
        <v>336</v>
      </c>
      <c r="C40" s="45" t="s">
        <v>212</v>
      </c>
      <c r="G40" s="126"/>
    </row>
    <row r="41" spans="2:7">
      <c r="B41" s="125" t="s">
        <v>336</v>
      </c>
      <c r="C41" s="45" t="s">
        <v>139</v>
      </c>
      <c r="G41" s="126"/>
    </row>
    <row r="42" spans="2:7">
      <c r="B42" s="125" t="s">
        <v>336</v>
      </c>
      <c r="C42" s="45" t="s">
        <v>144</v>
      </c>
      <c r="G42" s="126"/>
    </row>
    <row r="43" spans="2:7">
      <c r="B43" s="125"/>
      <c r="G43" s="126"/>
    </row>
    <row r="44" spans="2:7">
      <c r="B44" s="125"/>
      <c r="C44" s="44" t="s">
        <v>337</v>
      </c>
      <c r="G44" s="126"/>
    </row>
    <row r="45" spans="2:7">
      <c r="B45" s="125" t="s">
        <v>352</v>
      </c>
      <c r="C45" s="45" t="s">
        <v>607</v>
      </c>
      <c r="G45" s="126"/>
    </row>
    <row r="46" spans="2:7">
      <c r="B46" s="125"/>
      <c r="G46" s="126"/>
    </row>
    <row r="47" spans="2:7">
      <c r="B47" s="125"/>
      <c r="C47" s="44" t="s">
        <v>22</v>
      </c>
      <c r="G47" s="126"/>
    </row>
    <row r="48" spans="2:7">
      <c r="B48" s="125" t="s">
        <v>352</v>
      </c>
      <c r="C48" s="45" t="s">
        <v>607</v>
      </c>
      <c r="G48" s="126"/>
    </row>
    <row r="49" spans="2:7">
      <c r="B49" s="125"/>
      <c r="G49" s="126"/>
    </row>
    <row r="50" spans="2:7">
      <c r="B50" s="125"/>
      <c r="C50" s="44" t="s">
        <v>23</v>
      </c>
      <c r="G50" s="126"/>
    </row>
    <row r="51" spans="2:7">
      <c r="B51" s="125" t="s">
        <v>336</v>
      </c>
      <c r="C51" s="112" t="s">
        <v>207</v>
      </c>
      <c r="G51" s="126"/>
    </row>
    <row r="52" spans="2:7" ht="13.5" thickBot="1">
      <c r="B52" s="140"/>
      <c r="C52" s="131"/>
      <c r="D52" s="131"/>
      <c r="E52" s="141"/>
      <c r="F52" s="131"/>
      <c r="G52" s="135"/>
    </row>
    <row r="54" spans="2:7" ht="13.5" thickBot="1"/>
    <row r="55" spans="2:7" ht="13.5" thickBot="1">
      <c r="B55" s="239" t="s">
        <v>826</v>
      </c>
      <c r="C55" s="240"/>
      <c r="D55" s="240"/>
      <c r="E55" s="240"/>
      <c r="F55" s="240"/>
      <c r="G55" s="241"/>
    </row>
    <row r="56" spans="2:7" ht="13.5" thickBot="1">
      <c r="B56" s="125"/>
      <c r="G56" s="126"/>
    </row>
    <row r="57" spans="2:7">
      <c r="B57" s="125"/>
      <c r="C57" s="127" t="s">
        <v>27</v>
      </c>
      <c r="D57" s="128"/>
      <c r="E57" s="128" t="s">
        <v>1</v>
      </c>
      <c r="F57" s="129">
        <v>23</v>
      </c>
      <c r="G57" s="126"/>
    </row>
    <row r="58" spans="2:7" ht="13.5" thickBot="1">
      <c r="B58" s="125"/>
      <c r="C58" s="130"/>
      <c r="D58" s="131"/>
      <c r="E58" s="131" t="s">
        <v>62</v>
      </c>
      <c r="F58" s="132">
        <v>37</v>
      </c>
      <c r="G58" s="126"/>
    </row>
    <row r="59" spans="2:7" ht="13.5" thickBot="1">
      <c r="B59" s="125"/>
      <c r="G59" s="126"/>
    </row>
    <row r="60" spans="2:7">
      <c r="B60" s="125"/>
      <c r="C60" s="127" t="s">
        <v>4</v>
      </c>
      <c r="D60" s="128"/>
      <c r="E60" s="128" t="s">
        <v>1</v>
      </c>
      <c r="F60" s="133" t="s">
        <v>205</v>
      </c>
      <c r="G60" s="126"/>
    </row>
    <row r="61" spans="2:7">
      <c r="B61" s="125"/>
      <c r="C61" s="59" t="s">
        <v>2</v>
      </c>
      <c r="E61" s="45" t="s">
        <v>326</v>
      </c>
      <c r="F61" s="126"/>
      <c r="G61" s="126"/>
    </row>
    <row r="62" spans="2:7" ht="13.5" thickBot="1">
      <c r="B62" s="125"/>
      <c r="C62" s="130" t="s">
        <v>3</v>
      </c>
      <c r="D62" s="131"/>
      <c r="E62" s="134" t="s">
        <v>326</v>
      </c>
      <c r="F62" s="135"/>
      <c r="G62" s="126"/>
    </row>
    <row r="63" spans="2:7" ht="13.5" thickBot="1">
      <c r="B63" s="125"/>
      <c r="G63" s="126"/>
    </row>
    <row r="64" spans="2:7" ht="13.5" thickBot="1">
      <c r="B64" s="125"/>
      <c r="C64" s="136" t="s">
        <v>29</v>
      </c>
      <c r="D64" s="137"/>
      <c r="E64" s="138" t="s">
        <v>213</v>
      </c>
      <c r="F64" s="139"/>
      <c r="G64" s="126"/>
    </row>
    <row r="65" spans="2:7">
      <c r="B65" s="125"/>
      <c r="G65" s="126"/>
    </row>
    <row r="66" spans="2:7">
      <c r="B66" s="125"/>
      <c r="C66" s="45" t="s">
        <v>5</v>
      </c>
      <c r="G66" s="126"/>
    </row>
    <row r="67" spans="2:7">
      <c r="B67" s="125"/>
      <c r="G67" s="126"/>
    </row>
    <row r="68" spans="2:7">
      <c r="B68" s="59">
        <v>1</v>
      </c>
      <c r="C68" s="45" t="s">
        <v>182</v>
      </c>
      <c r="G68" s="126"/>
    </row>
    <row r="69" spans="2:7">
      <c r="B69" s="59">
        <v>2</v>
      </c>
      <c r="C69" s="45" t="s">
        <v>211</v>
      </c>
      <c r="G69" s="126"/>
    </row>
    <row r="70" spans="2:7">
      <c r="B70" s="59">
        <v>3</v>
      </c>
      <c r="C70" s="45" t="s">
        <v>31</v>
      </c>
      <c r="G70" s="126"/>
    </row>
    <row r="71" spans="2:7">
      <c r="B71" s="59">
        <v>4</v>
      </c>
      <c r="C71" s="45" t="s">
        <v>12</v>
      </c>
      <c r="G71" s="126"/>
    </row>
    <row r="72" spans="2:7">
      <c r="B72" s="59">
        <v>5</v>
      </c>
      <c r="C72" s="45" t="s">
        <v>207</v>
      </c>
      <c r="G72" s="126"/>
    </row>
    <row r="73" spans="2:7">
      <c r="B73" s="59">
        <v>6</v>
      </c>
      <c r="C73" s="45" t="s">
        <v>9</v>
      </c>
      <c r="G73" s="126"/>
    </row>
    <row r="74" spans="2:7">
      <c r="B74" s="59">
        <v>7</v>
      </c>
      <c r="C74" s="45" t="s">
        <v>34</v>
      </c>
      <c r="G74" s="126"/>
    </row>
    <row r="75" spans="2:7">
      <c r="B75" s="59">
        <v>8</v>
      </c>
      <c r="C75" s="45" t="s">
        <v>33</v>
      </c>
      <c r="G75" s="126"/>
    </row>
    <row r="76" spans="2:7">
      <c r="B76" s="59">
        <v>9</v>
      </c>
      <c r="C76" s="45" t="s">
        <v>820</v>
      </c>
      <c r="G76" s="126"/>
    </row>
    <row r="77" spans="2:7">
      <c r="B77" s="59">
        <v>10</v>
      </c>
      <c r="C77" s="45" t="s">
        <v>607</v>
      </c>
      <c r="G77" s="126"/>
    </row>
    <row r="78" spans="2:7">
      <c r="B78" s="59">
        <v>11</v>
      </c>
      <c r="C78" s="45" t="s">
        <v>42</v>
      </c>
      <c r="G78" s="126"/>
    </row>
    <row r="79" spans="2:7">
      <c r="B79" s="59">
        <v>12</v>
      </c>
      <c r="C79" s="45" t="s">
        <v>608</v>
      </c>
      <c r="G79" s="126"/>
    </row>
    <row r="80" spans="2:7">
      <c r="B80" s="59">
        <v>13</v>
      </c>
      <c r="C80" s="45" t="s">
        <v>18</v>
      </c>
      <c r="G80" s="126"/>
    </row>
    <row r="81" spans="2:7">
      <c r="B81" s="59">
        <v>14</v>
      </c>
      <c r="C81" s="45" t="s">
        <v>144</v>
      </c>
      <c r="G81" s="126"/>
    </row>
    <row r="82" spans="2:7">
      <c r="B82" s="59">
        <v>15</v>
      </c>
      <c r="C82" s="45" t="s">
        <v>212</v>
      </c>
      <c r="G82" s="126"/>
    </row>
    <row r="83" spans="2:7">
      <c r="B83" s="125"/>
      <c r="G83" s="126"/>
    </row>
    <row r="84" spans="2:7">
      <c r="B84" s="125"/>
      <c r="C84" s="45" t="s">
        <v>742</v>
      </c>
      <c r="G84" s="126"/>
    </row>
    <row r="85" spans="2:7">
      <c r="B85" s="125"/>
      <c r="C85" s="45" t="s">
        <v>827</v>
      </c>
      <c r="G85" s="126"/>
    </row>
    <row r="86" spans="2:7">
      <c r="B86" s="125"/>
      <c r="C86" s="45" t="s">
        <v>653</v>
      </c>
      <c r="G86" s="126"/>
    </row>
    <row r="87" spans="2:7">
      <c r="B87" s="125"/>
      <c r="C87" s="45" t="s">
        <v>823</v>
      </c>
      <c r="G87" s="126"/>
    </row>
    <row r="88" spans="2:7">
      <c r="B88" s="125"/>
      <c r="C88" s="45" t="s">
        <v>825</v>
      </c>
      <c r="G88" s="126"/>
    </row>
    <row r="89" spans="2:7">
      <c r="B89" s="125"/>
      <c r="C89" s="45" t="s">
        <v>828</v>
      </c>
      <c r="G89" s="126"/>
    </row>
    <row r="90" spans="2:7">
      <c r="B90" s="125"/>
      <c r="G90" s="126"/>
    </row>
    <row r="91" spans="2:7">
      <c r="B91" s="125"/>
      <c r="C91" s="124" t="s">
        <v>21</v>
      </c>
      <c r="G91" s="126"/>
    </row>
    <row r="92" spans="2:7">
      <c r="B92" s="125" t="s">
        <v>336</v>
      </c>
      <c r="C92" s="45" t="s">
        <v>9</v>
      </c>
      <c r="G92" s="126"/>
    </row>
    <row r="93" spans="2:7">
      <c r="B93" s="125" t="s">
        <v>336</v>
      </c>
      <c r="C93" s="45" t="s">
        <v>33</v>
      </c>
      <c r="G93" s="126"/>
    </row>
    <row r="94" spans="2:7">
      <c r="B94" s="125" t="s">
        <v>336</v>
      </c>
      <c r="C94" s="45" t="s">
        <v>607</v>
      </c>
      <c r="G94" s="126"/>
    </row>
    <row r="95" spans="2:7">
      <c r="B95" s="125"/>
      <c r="G95" s="126"/>
    </row>
    <row r="96" spans="2:7">
      <c r="B96" s="125"/>
      <c r="C96" s="44" t="s">
        <v>337</v>
      </c>
      <c r="G96" s="126"/>
    </row>
    <row r="97" spans="2:7">
      <c r="B97" s="125" t="s">
        <v>336</v>
      </c>
      <c r="C97" s="45" t="s">
        <v>607</v>
      </c>
      <c r="G97" s="126"/>
    </row>
    <row r="98" spans="2:7">
      <c r="B98" s="125"/>
      <c r="G98" s="126"/>
    </row>
    <row r="99" spans="2:7">
      <c r="B99" s="125"/>
      <c r="C99" s="44" t="s">
        <v>22</v>
      </c>
      <c r="G99" s="126"/>
    </row>
    <row r="100" spans="2:7">
      <c r="B100" s="125" t="s">
        <v>352</v>
      </c>
      <c r="C100" s="45" t="s">
        <v>607</v>
      </c>
      <c r="G100" s="126"/>
    </row>
    <row r="101" spans="2:7">
      <c r="B101" s="125"/>
      <c r="G101" s="126"/>
    </row>
    <row r="102" spans="2:7">
      <c r="B102" s="125"/>
      <c r="C102" s="44" t="s">
        <v>23</v>
      </c>
      <c r="G102" s="126"/>
    </row>
    <row r="103" spans="2:7">
      <c r="B103" s="125"/>
      <c r="C103" s="112" t="s">
        <v>339</v>
      </c>
      <c r="G103" s="126"/>
    </row>
    <row r="104" spans="2:7" ht="13.5" thickBot="1">
      <c r="B104" s="140"/>
      <c r="C104" s="131"/>
      <c r="D104" s="131"/>
      <c r="E104" s="141"/>
      <c r="F104" s="131"/>
      <c r="G104" s="135"/>
    </row>
    <row r="106" spans="2:7" ht="13.5" thickBot="1"/>
    <row r="107" spans="2:7" ht="13.5" thickBot="1">
      <c r="B107" s="239" t="s">
        <v>829</v>
      </c>
      <c r="C107" s="240"/>
      <c r="D107" s="240"/>
      <c r="E107" s="240"/>
      <c r="F107" s="240"/>
      <c r="G107" s="241"/>
    </row>
    <row r="108" spans="2:7" ht="13.5" thickBot="1">
      <c r="B108" s="125"/>
      <c r="G108" s="126"/>
    </row>
    <row r="109" spans="2:7">
      <c r="B109" s="125"/>
      <c r="C109" s="127" t="s">
        <v>27</v>
      </c>
      <c r="D109" s="128"/>
      <c r="E109" s="128" t="s">
        <v>102</v>
      </c>
      <c r="F109" s="129">
        <v>20</v>
      </c>
      <c r="G109" s="126"/>
    </row>
    <row r="110" spans="2:7" ht="13.5" thickBot="1">
      <c r="B110" s="125"/>
      <c r="C110" s="130"/>
      <c r="D110" s="131"/>
      <c r="E110" s="131" t="s">
        <v>1</v>
      </c>
      <c r="F110" s="132">
        <v>25</v>
      </c>
      <c r="G110" s="126"/>
    </row>
    <row r="111" spans="2:7" ht="13.5" thickBot="1">
      <c r="B111" s="125"/>
      <c r="G111" s="126"/>
    </row>
    <row r="112" spans="2:7">
      <c r="B112" s="125"/>
      <c r="C112" s="127" t="s">
        <v>4</v>
      </c>
      <c r="D112" s="128"/>
      <c r="E112" s="128" t="s">
        <v>102</v>
      </c>
      <c r="F112" s="133"/>
      <c r="G112" s="126"/>
    </row>
    <row r="113" spans="2:7">
      <c r="B113" s="125"/>
      <c r="C113" s="59" t="s">
        <v>2</v>
      </c>
      <c r="E113" s="45" t="s">
        <v>404</v>
      </c>
      <c r="F113" s="126"/>
      <c r="G113" s="126"/>
    </row>
    <row r="114" spans="2:7" ht="13.5" thickBot="1">
      <c r="B114" s="125"/>
      <c r="C114" s="130" t="s">
        <v>3</v>
      </c>
      <c r="D114" s="131"/>
      <c r="E114" s="134" t="s">
        <v>757</v>
      </c>
      <c r="F114" s="135"/>
      <c r="G114" s="126"/>
    </row>
    <row r="115" spans="2:7" ht="13.5" thickBot="1">
      <c r="B115" s="125"/>
      <c r="G115" s="126"/>
    </row>
    <row r="116" spans="2:7" ht="13.5" thickBot="1">
      <c r="B116" s="125"/>
      <c r="C116" s="136" t="s">
        <v>29</v>
      </c>
      <c r="D116" s="137"/>
      <c r="E116" s="138" t="s">
        <v>299</v>
      </c>
      <c r="F116" s="139"/>
      <c r="G116" s="126"/>
    </row>
    <row r="117" spans="2:7">
      <c r="B117" s="125"/>
      <c r="G117" s="126"/>
    </row>
    <row r="118" spans="2:7">
      <c r="B118" s="125"/>
      <c r="C118" s="45" t="s">
        <v>5</v>
      </c>
      <c r="G118" s="126"/>
    </row>
    <row r="119" spans="2:7">
      <c r="B119" s="125"/>
      <c r="G119" s="126"/>
    </row>
    <row r="120" spans="2:7">
      <c r="B120" s="59">
        <v>1</v>
      </c>
      <c r="C120" s="45" t="s">
        <v>182</v>
      </c>
      <c r="G120" s="126"/>
    </row>
    <row r="121" spans="2:7">
      <c r="B121" s="59">
        <v>2</v>
      </c>
      <c r="C121" s="45" t="s">
        <v>211</v>
      </c>
      <c r="G121" s="126"/>
    </row>
    <row r="122" spans="2:7">
      <c r="B122" s="59">
        <v>3</v>
      </c>
      <c r="C122" s="45" t="s">
        <v>160</v>
      </c>
      <c r="G122" s="126"/>
    </row>
    <row r="123" spans="2:7">
      <c r="B123" s="59">
        <v>4</v>
      </c>
      <c r="C123" s="45" t="s">
        <v>12</v>
      </c>
      <c r="G123" s="126"/>
    </row>
    <row r="124" spans="2:7">
      <c r="B124" s="59">
        <v>5</v>
      </c>
      <c r="C124" s="45" t="s">
        <v>207</v>
      </c>
      <c r="G124" s="126"/>
    </row>
    <row r="125" spans="2:7">
      <c r="B125" s="59">
        <v>6</v>
      </c>
      <c r="C125" s="45" t="s">
        <v>9</v>
      </c>
      <c r="G125" s="126"/>
    </row>
    <row r="126" spans="2:7">
      <c r="B126" s="59">
        <v>7</v>
      </c>
      <c r="C126" s="45" t="s">
        <v>34</v>
      </c>
      <c r="G126" s="126"/>
    </row>
    <row r="127" spans="2:7">
      <c r="B127" s="59">
        <v>8</v>
      </c>
      <c r="C127" s="45" t="s">
        <v>33</v>
      </c>
      <c r="G127" s="126"/>
    </row>
    <row r="128" spans="2:7">
      <c r="B128" s="59">
        <v>9</v>
      </c>
      <c r="C128" s="45" t="s">
        <v>820</v>
      </c>
      <c r="G128" s="126"/>
    </row>
    <row r="129" spans="2:7">
      <c r="B129" s="59">
        <v>10</v>
      </c>
      <c r="C129" s="45" t="s">
        <v>607</v>
      </c>
      <c r="G129" s="126"/>
    </row>
    <row r="130" spans="2:7">
      <c r="B130" s="59">
        <v>11</v>
      </c>
      <c r="C130" s="45" t="s">
        <v>214</v>
      </c>
      <c r="G130" s="126"/>
    </row>
    <row r="131" spans="2:7">
      <c r="B131" s="59">
        <v>12</v>
      </c>
      <c r="C131" s="45" t="s">
        <v>608</v>
      </c>
      <c r="G131" s="126"/>
    </row>
    <row r="132" spans="2:7">
      <c r="B132" s="59">
        <v>13</v>
      </c>
      <c r="C132" s="45" t="s">
        <v>18</v>
      </c>
      <c r="G132" s="126"/>
    </row>
    <row r="133" spans="2:7">
      <c r="B133" s="59">
        <v>14</v>
      </c>
      <c r="C133" s="45" t="s">
        <v>19</v>
      </c>
      <c r="G133" s="126"/>
    </row>
    <row r="134" spans="2:7">
      <c r="B134" s="59">
        <v>15</v>
      </c>
      <c r="C134" s="45" t="s">
        <v>144</v>
      </c>
      <c r="G134" s="126"/>
    </row>
    <row r="135" spans="2:7">
      <c r="B135" s="125"/>
      <c r="G135" s="126"/>
    </row>
    <row r="136" spans="2:7">
      <c r="B136" s="125"/>
      <c r="C136" s="45" t="s">
        <v>830</v>
      </c>
      <c r="G136" s="126"/>
    </row>
    <row r="137" spans="2:7">
      <c r="B137" s="125"/>
      <c r="C137" s="45" t="s">
        <v>827</v>
      </c>
      <c r="G137" s="126"/>
    </row>
    <row r="138" spans="2:7">
      <c r="B138" s="125"/>
      <c r="C138" s="45" t="s">
        <v>831</v>
      </c>
      <c r="G138" s="126"/>
    </row>
    <row r="139" spans="2:7">
      <c r="B139" s="125"/>
      <c r="C139" s="45" t="s">
        <v>832</v>
      </c>
      <c r="G139" s="126"/>
    </row>
    <row r="140" spans="2:7">
      <c r="B140" s="125"/>
      <c r="C140" s="45" t="s">
        <v>833</v>
      </c>
      <c r="G140" s="126"/>
    </row>
    <row r="141" spans="2:7">
      <c r="B141" s="125"/>
      <c r="C141" s="45" t="s">
        <v>834</v>
      </c>
      <c r="G141" s="126"/>
    </row>
    <row r="142" spans="2:7">
      <c r="B142" s="125"/>
      <c r="G142" s="126"/>
    </row>
    <row r="143" spans="2:7">
      <c r="B143" s="125"/>
      <c r="C143" s="124" t="s">
        <v>21</v>
      </c>
      <c r="G143" s="126"/>
    </row>
    <row r="144" spans="2:7">
      <c r="B144" s="125" t="s">
        <v>336</v>
      </c>
      <c r="C144" s="45" t="s">
        <v>214</v>
      </c>
      <c r="G144" s="126"/>
    </row>
    <row r="145" spans="2:7">
      <c r="B145" s="125" t="s">
        <v>336</v>
      </c>
      <c r="C145" s="45" t="s">
        <v>144</v>
      </c>
      <c r="G145" s="126"/>
    </row>
    <row r="146" spans="2:7">
      <c r="B146" s="125" t="s">
        <v>336</v>
      </c>
      <c r="C146" s="45" t="s">
        <v>53</v>
      </c>
      <c r="G146" s="126"/>
    </row>
    <row r="147" spans="2:7">
      <c r="B147" s="125"/>
      <c r="G147" s="126"/>
    </row>
    <row r="148" spans="2:7">
      <c r="B148" s="125"/>
      <c r="C148" s="44" t="s">
        <v>337</v>
      </c>
      <c r="G148" s="126"/>
    </row>
    <row r="149" spans="2:7">
      <c r="B149" s="125" t="s">
        <v>352</v>
      </c>
      <c r="C149" s="45" t="s">
        <v>607</v>
      </c>
      <c r="G149" s="126"/>
    </row>
    <row r="150" spans="2:7">
      <c r="B150" s="125"/>
      <c r="G150" s="126"/>
    </row>
    <row r="151" spans="2:7">
      <c r="B151" s="125"/>
      <c r="C151" s="44" t="s">
        <v>22</v>
      </c>
      <c r="G151" s="126"/>
    </row>
    <row r="152" spans="2:7">
      <c r="B152" s="125" t="s">
        <v>352</v>
      </c>
      <c r="C152" s="45" t="s">
        <v>607</v>
      </c>
      <c r="G152" s="126"/>
    </row>
    <row r="153" spans="2:7">
      <c r="B153" s="125"/>
      <c r="G153" s="126"/>
    </row>
    <row r="154" spans="2:7">
      <c r="B154" s="125"/>
      <c r="C154" s="44" t="s">
        <v>23</v>
      </c>
      <c r="G154" s="126"/>
    </row>
    <row r="155" spans="2:7">
      <c r="B155" s="125"/>
      <c r="C155" s="112" t="s">
        <v>339</v>
      </c>
      <c r="G155" s="126"/>
    </row>
    <row r="156" spans="2:7" ht="13.5" thickBot="1">
      <c r="B156" s="140"/>
      <c r="C156" s="131"/>
      <c r="D156" s="131"/>
      <c r="E156" s="141"/>
      <c r="F156" s="131"/>
      <c r="G156" s="135"/>
    </row>
    <row r="158" spans="2:7" ht="13.5" thickBot="1"/>
    <row r="159" spans="2:7" ht="13.5" thickBot="1">
      <c r="B159" s="239" t="s">
        <v>835</v>
      </c>
      <c r="C159" s="240"/>
      <c r="D159" s="240"/>
      <c r="E159" s="240"/>
      <c r="F159" s="240"/>
      <c r="G159" s="241"/>
    </row>
    <row r="160" spans="2:7" ht="13.5" thickBot="1">
      <c r="B160" s="125"/>
      <c r="G160" s="126"/>
    </row>
    <row r="161" spans="2:7">
      <c r="B161" s="125"/>
      <c r="C161" s="127" t="s">
        <v>27</v>
      </c>
      <c r="D161" s="128"/>
      <c r="E161" s="128" t="s">
        <v>51</v>
      </c>
      <c r="F161" s="129">
        <v>27</v>
      </c>
      <c r="G161" s="126"/>
    </row>
    <row r="162" spans="2:7" ht="13.5" thickBot="1">
      <c r="B162" s="125"/>
      <c r="C162" s="130"/>
      <c r="D162" s="131"/>
      <c r="E162" s="131" t="s">
        <v>1</v>
      </c>
      <c r="F162" s="132">
        <v>20</v>
      </c>
      <c r="G162" s="126"/>
    </row>
    <row r="163" spans="2:7" ht="13.5" thickBot="1">
      <c r="B163" s="125"/>
      <c r="G163" s="126"/>
    </row>
    <row r="164" spans="2:7">
      <c r="B164" s="125"/>
      <c r="C164" s="127" t="s">
        <v>4</v>
      </c>
      <c r="D164" s="128"/>
      <c r="E164" s="128" t="s">
        <v>170</v>
      </c>
      <c r="F164" s="133" t="s">
        <v>569</v>
      </c>
      <c r="G164" s="126"/>
    </row>
    <row r="165" spans="2:7">
      <c r="B165" s="125"/>
      <c r="C165" s="59" t="s">
        <v>2</v>
      </c>
      <c r="E165" s="45" t="s">
        <v>404</v>
      </c>
      <c r="F165" s="126"/>
      <c r="G165" s="126"/>
    </row>
    <row r="166" spans="2:7" ht="13.5" thickBot="1">
      <c r="B166" s="125"/>
      <c r="C166" s="130" t="s">
        <v>3</v>
      </c>
      <c r="D166" s="131"/>
      <c r="E166" s="134" t="s">
        <v>344</v>
      </c>
      <c r="F166" s="135"/>
      <c r="G166" s="126"/>
    </row>
    <row r="167" spans="2:7" ht="13.5" thickBot="1">
      <c r="B167" s="125"/>
      <c r="G167" s="126"/>
    </row>
    <row r="168" spans="2:7" ht="13.5" thickBot="1">
      <c r="B168" s="125"/>
      <c r="C168" s="136" t="s">
        <v>29</v>
      </c>
      <c r="D168" s="137"/>
      <c r="E168" s="138" t="s">
        <v>215</v>
      </c>
      <c r="F168" s="139"/>
      <c r="G168" s="126"/>
    </row>
    <row r="169" spans="2:7">
      <c r="B169" s="125"/>
      <c r="G169" s="126"/>
    </row>
    <row r="170" spans="2:7">
      <c r="B170" s="125"/>
      <c r="C170" s="45" t="s">
        <v>5</v>
      </c>
      <c r="G170" s="126"/>
    </row>
    <row r="171" spans="2:7">
      <c r="B171" s="125"/>
      <c r="G171" s="126"/>
    </row>
    <row r="172" spans="2:7">
      <c r="B172" s="59">
        <v>1</v>
      </c>
      <c r="C172" s="45" t="s">
        <v>182</v>
      </c>
      <c r="G172" s="126"/>
    </row>
    <row r="173" spans="2:7">
      <c r="B173" s="59">
        <v>2</v>
      </c>
      <c r="C173" s="45" t="s">
        <v>211</v>
      </c>
      <c r="G173" s="126"/>
    </row>
    <row r="174" spans="2:7">
      <c r="B174" s="59">
        <v>3</v>
      </c>
      <c r="C174" s="45" t="s">
        <v>160</v>
      </c>
      <c r="G174" s="126"/>
    </row>
    <row r="175" spans="2:7">
      <c r="B175" s="59">
        <v>4</v>
      </c>
      <c r="C175" s="45" t="s">
        <v>10</v>
      </c>
      <c r="G175" s="126"/>
    </row>
    <row r="176" spans="2:7">
      <c r="B176" s="59">
        <v>5</v>
      </c>
      <c r="C176" s="45" t="s">
        <v>207</v>
      </c>
      <c r="G176" s="126"/>
    </row>
    <row r="177" spans="2:7">
      <c r="B177" s="59">
        <v>6</v>
      </c>
      <c r="C177" s="45" t="s">
        <v>12</v>
      </c>
      <c r="G177" s="126"/>
    </row>
    <row r="178" spans="2:7">
      <c r="B178" s="59">
        <v>7</v>
      </c>
      <c r="C178" s="45" t="s">
        <v>34</v>
      </c>
      <c r="G178" s="126"/>
    </row>
    <row r="179" spans="2:7">
      <c r="B179" s="59">
        <v>8</v>
      </c>
      <c r="C179" s="45" t="s">
        <v>33</v>
      </c>
      <c r="G179" s="126"/>
    </row>
    <row r="180" spans="2:7">
      <c r="B180" s="59">
        <v>9</v>
      </c>
      <c r="C180" s="45" t="s">
        <v>820</v>
      </c>
      <c r="G180" s="126"/>
    </row>
    <row r="181" spans="2:7">
      <c r="B181" s="59">
        <v>10</v>
      </c>
      <c r="C181" s="45" t="s">
        <v>607</v>
      </c>
      <c r="G181" s="126"/>
    </row>
    <row r="182" spans="2:7">
      <c r="B182" s="59">
        <v>11</v>
      </c>
      <c r="C182" s="45" t="s">
        <v>214</v>
      </c>
      <c r="G182" s="126"/>
    </row>
    <row r="183" spans="2:7">
      <c r="B183" s="59">
        <v>12</v>
      </c>
      <c r="C183" s="45" t="s">
        <v>608</v>
      </c>
      <c r="G183" s="126"/>
    </row>
    <row r="184" spans="2:7">
      <c r="B184" s="59">
        <v>13</v>
      </c>
      <c r="C184" s="45" t="s">
        <v>18</v>
      </c>
      <c r="G184" s="126"/>
    </row>
    <row r="185" spans="2:7">
      <c r="B185" s="59">
        <v>14</v>
      </c>
      <c r="C185" s="45" t="s">
        <v>19</v>
      </c>
      <c r="G185" s="126"/>
    </row>
    <row r="186" spans="2:7">
      <c r="B186" s="59">
        <v>15</v>
      </c>
      <c r="C186" s="45" t="s">
        <v>144</v>
      </c>
      <c r="G186" s="126"/>
    </row>
    <row r="187" spans="2:7">
      <c r="B187" s="125"/>
      <c r="G187" s="126"/>
    </row>
    <row r="188" spans="2:7">
      <c r="B188" s="125"/>
      <c r="C188" s="45" t="s">
        <v>714</v>
      </c>
      <c r="G188" s="126"/>
    </row>
    <row r="189" spans="2:7">
      <c r="B189" s="125"/>
      <c r="C189" s="45" t="s">
        <v>836</v>
      </c>
      <c r="G189" s="126"/>
    </row>
    <row r="190" spans="2:7">
      <c r="B190" s="125"/>
      <c r="C190" s="45" t="s">
        <v>831</v>
      </c>
      <c r="G190" s="126"/>
    </row>
    <row r="191" spans="2:7">
      <c r="B191" s="125"/>
      <c r="C191" s="45" t="s">
        <v>837</v>
      </c>
      <c r="G191" s="126"/>
    </row>
    <row r="192" spans="2:7">
      <c r="B192" s="125"/>
      <c r="C192" s="45" t="s">
        <v>833</v>
      </c>
      <c r="G192" s="126"/>
    </row>
    <row r="193" spans="2:9">
      <c r="B193" s="125"/>
      <c r="C193" s="45" t="s">
        <v>838</v>
      </c>
      <c r="G193" s="126"/>
    </row>
    <row r="194" spans="2:9">
      <c r="B194" s="125"/>
      <c r="G194" s="126"/>
    </row>
    <row r="195" spans="2:9">
      <c r="B195" s="125"/>
      <c r="C195" s="124" t="s">
        <v>21</v>
      </c>
      <c r="G195" s="126"/>
    </row>
    <row r="196" spans="2:9">
      <c r="B196" s="125" t="s">
        <v>336</v>
      </c>
      <c r="C196" s="45" t="s">
        <v>607</v>
      </c>
      <c r="G196" s="126"/>
    </row>
    <row r="197" spans="2:9">
      <c r="B197" s="125" t="s">
        <v>336</v>
      </c>
      <c r="C197" s="45" t="s">
        <v>214</v>
      </c>
      <c r="G197" s="126"/>
    </row>
    <row r="198" spans="2:9">
      <c r="B198" s="125"/>
      <c r="G198" s="126"/>
      <c r="I198" s="45">
        <v>25</v>
      </c>
    </row>
    <row r="199" spans="2:9">
      <c r="B199" s="125"/>
      <c r="C199" s="44" t="s">
        <v>337</v>
      </c>
      <c r="G199" s="126"/>
      <c r="I199" s="45">
        <v>8</v>
      </c>
    </row>
    <row r="200" spans="2:9">
      <c r="B200" s="125" t="s">
        <v>352</v>
      </c>
      <c r="C200" s="45" t="s">
        <v>607</v>
      </c>
      <c r="G200" s="126"/>
      <c r="I200" s="45">
        <v>12</v>
      </c>
    </row>
    <row r="201" spans="2:9">
      <c r="B201" s="125"/>
      <c r="G201" s="126"/>
      <c r="I201" s="45">
        <v>3</v>
      </c>
    </row>
    <row r="202" spans="2:9">
      <c r="B202" s="125"/>
      <c r="C202" s="44" t="s">
        <v>22</v>
      </c>
      <c r="G202" s="126"/>
      <c r="I202" s="45">
        <f>SUM(I198:I201)</f>
        <v>48</v>
      </c>
    </row>
    <row r="203" spans="2:9">
      <c r="B203" s="125" t="s">
        <v>352</v>
      </c>
      <c r="C203" s="45" t="s">
        <v>607</v>
      </c>
      <c r="G203" s="126"/>
    </row>
    <row r="204" spans="2:9">
      <c r="B204" s="125"/>
      <c r="G204" s="126"/>
    </row>
    <row r="205" spans="2:9">
      <c r="B205" s="125"/>
      <c r="C205" s="44" t="s">
        <v>23</v>
      </c>
      <c r="G205" s="126"/>
    </row>
    <row r="206" spans="2:9">
      <c r="B206" s="125" t="s">
        <v>336</v>
      </c>
      <c r="C206" s="112" t="s">
        <v>139</v>
      </c>
      <c r="G206" s="126"/>
    </row>
    <row r="207" spans="2:9" ht="13.5" thickBot="1">
      <c r="B207" s="140"/>
      <c r="C207" s="131"/>
      <c r="D207" s="131"/>
      <c r="E207" s="141"/>
      <c r="F207" s="131"/>
      <c r="G207" s="135"/>
    </row>
    <row r="209" spans="2:7" ht="13.5" thickBot="1"/>
    <row r="210" spans="2:7" ht="13.5" thickBot="1">
      <c r="B210" s="239" t="s">
        <v>839</v>
      </c>
      <c r="C210" s="240"/>
      <c r="D210" s="240"/>
      <c r="E210" s="240"/>
      <c r="F210" s="240"/>
      <c r="G210" s="241"/>
    </row>
    <row r="211" spans="2:7" ht="13.5" thickBot="1">
      <c r="B211" s="125"/>
      <c r="G211" s="126"/>
    </row>
    <row r="212" spans="2:7">
      <c r="B212" s="125"/>
      <c r="C212" s="127" t="s">
        <v>27</v>
      </c>
      <c r="D212" s="128"/>
      <c r="E212" s="128" t="s">
        <v>1</v>
      </c>
      <c r="F212" s="129">
        <v>26</v>
      </c>
      <c r="G212" s="126"/>
    </row>
    <row r="213" spans="2:7" ht="13.5" thickBot="1">
      <c r="B213" s="125"/>
      <c r="C213" s="130"/>
      <c r="D213" s="131"/>
      <c r="E213" s="131" t="s">
        <v>67</v>
      </c>
      <c r="F213" s="132">
        <v>24</v>
      </c>
      <c r="G213" s="126"/>
    </row>
    <row r="214" spans="2:7" ht="13.5" thickBot="1">
      <c r="B214" s="125"/>
      <c r="G214" s="126"/>
    </row>
    <row r="215" spans="2:7">
      <c r="B215" s="125"/>
      <c r="C215" s="127" t="s">
        <v>4</v>
      </c>
      <c r="D215" s="128"/>
      <c r="E215" s="128" t="s">
        <v>1</v>
      </c>
      <c r="F215" s="133" t="s">
        <v>569</v>
      </c>
      <c r="G215" s="126"/>
    </row>
    <row r="216" spans="2:7">
      <c r="B216" s="125"/>
      <c r="C216" s="59" t="s">
        <v>2</v>
      </c>
      <c r="E216" s="45" t="s">
        <v>326</v>
      </c>
      <c r="F216" s="126"/>
      <c r="G216" s="126"/>
    </row>
    <row r="217" spans="2:7" ht="13.5" thickBot="1">
      <c r="B217" s="125"/>
      <c r="C217" s="130" t="s">
        <v>3</v>
      </c>
      <c r="D217" s="131"/>
      <c r="E217" s="134" t="s">
        <v>840</v>
      </c>
      <c r="F217" s="135"/>
      <c r="G217" s="126"/>
    </row>
    <row r="218" spans="2:7" ht="13.5" thickBot="1">
      <c r="B218" s="125"/>
      <c r="G218" s="126"/>
    </row>
    <row r="219" spans="2:7" ht="13.5" thickBot="1">
      <c r="B219" s="125"/>
      <c r="C219" s="136" t="s">
        <v>29</v>
      </c>
      <c r="D219" s="137"/>
      <c r="E219" s="138" t="s">
        <v>213</v>
      </c>
      <c r="F219" s="139"/>
      <c r="G219" s="126"/>
    </row>
    <row r="220" spans="2:7">
      <c r="B220" s="125"/>
      <c r="G220" s="126"/>
    </row>
    <row r="221" spans="2:7">
      <c r="B221" s="125"/>
      <c r="C221" s="45" t="s">
        <v>5</v>
      </c>
      <c r="G221" s="126"/>
    </row>
    <row r="222" spans="2:7">
      <c r="B222" s="125"/>
      <c r="G222" s="126"/>
    </row>
    <row r="223" spans="2:7">
      <c r="B223" s="59">
        <v>1</v>
      </c>
      <c r="C223" s="45" t="s">
        <v>182</v>
      </c>
      <c r="G223" s="126"/>
    </row>
    <row r="224" spans="2:7">
      <c r="B224" s="59">
        <v>2</v>
      </c>
      <c r="C224" s="45" t="s">
        <v>53</v>
      </c>
      <c r="G224" s="126"/>
    </row>
    <row r="225" spans="2:7">
      <c r="B225" s="59">
        <v>3</v>
      </c>
      <c r="C225" s="45" t="s">
        <v>160</v>
      </c>
      <c r="G225" s="126"/>
    </row>
    <row r="226" spans="2:7">
      <c r="B226" s="59">
        <v>4</v>
      </c>
      <c r="C226" s="45" t="s">
        <v>10</v>
      </c>
      <c r="G226" s="126"/>
    </row>
    <row r="227" spans="2:7">
      <c r="B227" s="59">
        <v>5</v>
      </c>
      <c r="C227" s="45" t="s">
        <v>207</v>
      </c>
      <c r="G227" s="126"/>
    </row>
    <row r="228" spans="2:7">
      <c r="B228" s="59">
        <v>6</v>
      </c>
      <c r="C228" s="45" t="s">
        <v>13</v>
      </c>
      <c r="G228" s="126"/>
    </row>
    <row r="229" spans="2:7">
      <c r="B229" s="59">
        <v>7</v>
      </c>
      <c r="C229" s="45" t="s">
        <v>34</v>
      </c>
      <c r="G229" s="126"/>
    </row>
    <row r="230" spans="2:7">
      <c r="B230" s="59">
        <v>8</v>
      </c>
      <c r="C230" s="45" t="s">
        <v>33</v>
      </c>
      <c r="G230" s="126"/>
    </row>
    <row r="231" spans="2:7">
      <c r="B231" s="59">
        <v>9</v>
      </c>
      <c r="C231" s="45" t="s">
        <v>820</v>
      </c>
      <c r="G231" s="126"/>
    </row>
    <row r="232" spans="2:7">
      <c r="B232" s="59">
        <v>10</v>
      </c>
      <c r="C232" s="45" t="s">
        <v>607</v>
      </c>
      <c r="G232" s="126"/>
    </row>
    <row r="233" spans="2:7">
      <c r="B233" s="59">
        <v>11</v>
      </c>
      <c r="C233" s="45" t="s">
        <v>214</v>
      </c>
      <c r="G233" s="126"/>
    </row>
    <row r="234" spans="2:7">
      <c r="B234" s="59">
        <v>12</v>
      </c>
      <c r="C234" s="45" t="s">
        <v>608</v>
      </c>
      <c r="G234" s="126"/>
    </row>
    <row r="235" spans="2:7">
      <c r="B235" s="59">
        <v>13</v>
      </c>
      <c r="C235" s="45" t="s">
        <v>18</v>
      </c>
      <c r="G235" s="126"/>
    </row>
    <row r="236" spans="2:7">
      <c r="B236" s="59">
        <v>14</v>
      </c>
      <c r="C236" s="45" t="s">
        <v>19</v>
      </c>
      <c r="G236" s="126"/>
    </row>
    <row r="237" spans="2:7">
      <c r="B237" s="59">
        <v>15</v>
      </c>
      <c r="C237" s="45" t="s">
        <v>144</v>
      </c>
      <c r="G237" s="126"/>
    </row>
    <row r="238" spans="2:7">
      <c r="B238" s="125"/>
      <c r="G238" s="126"/>
    </row>
    <row r="239" spans="2:7">
      <c r="B239" s="125"/>
      <c r="C239" s="45" t="s">
        <v>714</v>
      </c>
      <c r="G239" s="126"/>
    </row>
    <row r="240" spans="2:7">
      <c r="B240" s="125"/>
      <c r="C240" s="45" t="s">
        <v>831</v>
      </c>
      <c r="G240" s="126"/>
    </row>
    <row r="241" spans="1:7">
      <c r="B241" s="125"/>
      <c r="C241" s="45" t="s">
        <v>834</v>
      </c>
      <c r="G241" s="126"/>
    </row>
    <row r="242" spans="1:7">
      <c r="B242" s="125"/>
      <c r="C242" s="45" t="s">
        <v>822</v>
      </c>
      <c r="G242" s="126"/>
    </row>
    <row r="243" spans="1:7">
      <c r="A243" s="124" t="s">
        <v>841</v>
      </c>
      <c r="B243" s="125"/>
      <c r="C243" s="45" t="s">
        <v>842</v>
      </c>
      <c r="G243" s="126"/>
    </row>
    <row r="244" spans="1:7">
      <c r="B244" s="125"/>
      <c r="G244" s="126"/>
    </row>
    <row r="245" spans="1:7">
      <c r="B245" s="125"/>
      <c r="C245" s="124" t="s">
        <v>21</v>
      </c>
      <c r="G245" s="126"/>
    </row>
    <row r="246" spans="1:7">
      <c r="B246" s="125" t="s">
        <v>336</v>
      </c>
      <c r="C246" s="45" t="s">
        <v>139</v>
      </c>
      <c r="G246" s="126"/>
    </row>
    <row r="247" spans="1:7">
      <c r="B247" s="125" t="s">
        <v>336</v>
      </c>
      <c r="C247" s="45" t="s">
        <v>19</v>
      </c>
      <c r="G247" s="126"/>
    </row>
    <row r="248" spans="1:7">
      <c r="B248" s="125" t="s">
        <v>336</v>
      </c>
      <c r="C248" s="45" t="s">
        <v>53</v>
      </c>
      <c r="G248" s="126"/>
    </row>
    <row r="249" spans="1:7">
      <c r="B249" s="125" t="s">
        <v>336</v>
      </c>
      <c r="C249" s="45" t="s">
        <v>33</v>
      </c>
      <c r="G249" s="126"/>
    </row>
    <row r="250" spans="1:7">
      <c r="B250" s="125"/>
      <c r="G250" s="126"/>
    </row>
    <row r="251" spans="1:7">
      <c r="B251" s="125"/>
      <c r="C251" s="44" t="s">
        <v>337</v>
      </c>
      <c r="G251" s="126"/>
    </row>
    <row r="252" spans="1:7">
      <c r="B252" s="125" t="s">
        <v>335</v>
      </c>
      <c r="C252" s="45" t="s">
        <v>607</v>
      </c>
      <c r="G252" s="126"/>
    </row>
    <row r="253" spans="1:7">
      <c r="B253" s="125"/>
      <c r="G253" s="126"/>
    </row>
    <row r="254" spans="1:7">
      <c r="B254" s="125"/>
      <c r="C254" s="44" t="s">
        <v>23</v>
      </c>
      <c r="G254" s="126"/>
    </row>
    <row r="255" spans="1:7">
      <c r="B255" s="125" t="s">
        <v>336</v>
      </c>
      <c r="C255" s="112" t="s">
        <v>214</v>
      </c>
      <c r="G255" s="126"/>
    </row>
    <row r="256" spans="1:7">
      <c r="B256" s="125" t="s">
        <v>336</v>
      </c>
      <c r="C256" s="112" t="s">
        <v>182</v>
      </c>
      <c r="G256" s="126"/>
    </row>
    <row r="257" spans="2:7" ht="13.5" thickBot="1">
      <c r="B257" s="140"/>
      <c r="C257" s="131"/>
      <c r="D257" s="131"/>
      <c r="E257" s="141"/>
      <c r="F257" s="131"/>
      <c r="G257" s="135"/>
    </row>
    <row r="259" spans="2:7" ht="13.5" thickBot="1"/>
    <row r="260" spans="2:7" ht="13.5" thickBot="1">
      <c r="B260" s="239" t="s">
        <v>843</v>
      </c>
      <c r="C260" s="240"/>
      <c r="D260" s="240"/>
      <c r="E260" s="240"/>
      <c r="F260" s="240"/>
      <c r="G260" s="241"/>
    </row>
    <row r="261" spans="2:7" ht="13.5" thickBot="1">
      <c r="B261" s="125"/>
      <c r="G261" s="126"/>
    </row>
    <row r="262" spans="2:7">
      <c r="B262" s="125"/>
      <c r="C262" s="127" t="s">
        <v>27</v>
      </c>
      <c r="D262" s="128"/>
      <c r="E262" s="128" t="s">
        <v>58</v>
      </c>
      <c r="F262" s="129">
        <v>31</v>
      </c>
      <c r="G262" s="126"/>
    </row>
    <row r="263" spans="2:7" ht="13.5" thickBot="1">
      <c r="B263" s="125"/>
      <c r="C263" s="130"/>
      <c r="D263" s="131"/>
      <c r="E263" s="131" t="s">
        <v>1</v>
      </c>
      <c r="F263" s="132">
        <v>27</v>
      </c>
      <c r="G263" s="126"/>
    </row>
    <row r="264" spans="2:7" ht="13.5" thickBot="1">
      <c r="B264" s="125"/>
      <c r="G264" s="126"/>
    </row>
    <row r="265" spans="2:7">
      <c r="B265" s="125"/>
      <c r="C265" s="127" t="s">
        <v>4</v>
      </c>
      <c r="D265" s="128"/>
      <c r="E265" s="128" t="s">
        <v>58</v>
      </c>
      <c r="F265" s="133" t="s">
        <v>569</v>
      </c>
      <c r="G265" s="126"/>
    </row>
    <row r="266" spans="2:7">
      <c r="B266" s="125"/>
      <c r="C266" s="59" t="s">
        <v>2</v>
      </c>
      <c r="E266" s="45" t="s">
        <v>404</v>
      </c>
      <c r="F266" s="126"/>
      <c r="G266" s="126"/>
    </row>
    <row r="267" spans="2:7" ht="13.5" thickBot="1">
      <c r="B267" s="125"/>
      <c r="C267" s="130" t="s">
        <v>3</v>
      </c>
      <c r="D267" s="131"/>
      <c r="E267" s="134" t="s">
        <v>344</v>
      </c>
      <c r="F267" s="135"/>
      <c r="G267" s="126"/>
    </row>
    <row r="268" spans="2:7" ht="13.5" thickBot="1">
      <c r="B268" s="125"/>
      <c r="G268" s="126"/>
    </row>
    <row r="269" spans="2:7" ht="13.5" thickBot="1">
      <c r="B269" s="125"/>
      <c r="C269" s="136" t="s">
        <v>29</v>
      </c>
      <c r="D269" s="137"/>
      <c r="E269" s="138" t="s">
        <v>317</v>
      </c>
      <c r="F269" s="139"/>
      <c r="G269" s="126"/>
    </row>
    <row r="270" spans="2:7">
      <c r="B270" s="125"/>
      <c r="G270" s="126"/>
    </row>
    <row r="271" spans="2:7">
      <c r="B271" s="125"/>
      <c r="C271" s="45" t="s">
        <v>5</v>
      </c>
      <c r="G271" s="126"/>
    </row>
    <row r="272" spans="2:7">
      <c r="B272" s="125"/>
      <c r="G272" s="126"/>
    </row>
    <row r="273" spans="2:7">
      <c r="B273" s="59">
        <v>1</v>
      </c>
      <c r="C273" s="45" t="s">
        <v>182</v>
      </c>
      <c r="G273" s="126"/>
    </row>
    <row r="274" spans="2:7">
      <c r="B274" s="59">
        <v>2</v>
      </c>
      <c r="C274" s="45" t="s">
        <v>11</v>
      </c>
      <c r="G274" s="126"/>
    </row>
    <row r="275" spans="2:7">
      <c r="B275" s="59">
        <v>3</v>
      </c>
      <c r="C275" s="45" t="s">
        <v>160</v>
      </c>
      <c r="G275" s="126"/>
    </row>
    <row r="276" spans="2:7">
      <c r="B276" s="59">
        <v>4</v>
      </c>
      <c r="C276" s="45" t="s">
        <v>10</v>
      </c>
      <c r="G276" s="126"/>
    </row>
    <row r="277" spans="2:7">
      <c r="B277" s="59">
        <v>5</v>
      </c>
      <c r="C277" s="45" t="s">
        <v>207</v>
      </c>
      <c r="G277" s="126"/>
    </row>
    <row r="278" spans="2:7">
      <c r="B278" s="59">
        <v>6</v>
      </c>
      <c r="C278" s="45" t="s">
        <v>12</v>
      </c>
      <c r="G278" s="126"/>
    </row>
    <row r="279" spans="2:7">
      <c r="B279" s="59">
        <v>7</v>
      </c>
      <c r="C279" s="45" t="s">
        <v>34</v>
      </c>
      <c r="G279" s="126"/>
    </row>
    <row r="280" spans="2:7">
      <c r="B280" s="59">
        <v>8</v>
      </c>
      <c r="C280" s="45" t="s">
        <v>33</v>
      </c>
      <c r="G280" s="126"/>
    </row>
    <row r="281" spans="2:7">
      <c r="B281" s="59">
        <v>9</v>
      </c>
      <c r="C281" s="45" t="s">
        <v>139</v>
      </c>
      <c r="G281" s="126"/>
    </row>
    <row r="282" spans="2:7">
      <c r="B282" s="59">
        <v>10</v>
      </c>
      <c r="C282" s="45" t="s">
        <v>607</v>
      </c>
      <c r="G282" s="126"/>
    </row>
    <row r="283" spans="2:7">
      <c r="B283" s="59">
        <v>11</v>
      </c>
      <c r="C283" s="45" t="s">
        <v>212</v>
      </c>
      <c r="G283" s="126"/>
    </row>
    <row r="284" spans="2:7">
      <c r="B284" s="59">
        <v>12</v>
      </c>
      <c r="C284" s="45" t="s">
        <v>608</v>
      </c>
      <c r="G284" s="126"/>
    </row>
    <row r="285" spans="2:7">
      <c r="B285" s="59">
        <v>13</v>
      </c>
      <c r="C285" s="45" t="s">
        <v>18</v>
      </c>
      <c r="G285" s="126"/>
    </row>
    <row r="286" spans="2:7">
      <c r="B286" s="59">
        <v>14</v>
      </c>
      <c r="C286" s="45" t="s">
        <v>19</v>
      </c>
      <c r="G286" s="126"/>
    </row>
    <row r="287" spans="2:7">
      <c r="B287" s="59">
        <v>15</v>
      </c>
      <c r="C287" s="45" t="s">
        <v>144</v>
      </c>
      <c r="G287" s="126"/>
    </row>
    <row r="288" spans="2:7">
      <c r="B288" s="125"/>
      <c r="G288" s="126"/>
    </row>
    <row r="289" spans="2:7">
      <c r="B289" s="125"/>
      <c r="C289" s="45" t="s">
        <v>844</v>
      </c>
      <c r="G289" s="126"/>
    </row>
    <row r="290" spans="2:7">
      <c r="B290" s="125"/>
      <c r="C290" s="45" t="s">
        <v>845</v>
      </c>
      <c r="G290" s="126"/>
    </row>
    <row r="291" spans="2:7">
      <c r="B291" s="125"/>
      <c r="C291" s="45" t="s">
        <v>846</v>
      </c>
      <c r="G291" s="126"/>
    </row>
    <row r="292" spans="2:7">
      <c r="B292" s="125"/>
      <c r="C292" s="45" t="s">
        <v>847</v>
      </c>
      <c r="G292" s="126"/>
    </row>
    <row r="293" spans="2:7">
      <c r="B293" s="125"/>
      <c r="G293" s="126"/>
    </row>
    <row r="294" spans="2:7">
      <c r="B294" s="125"/>
      <c r="C294" s="124" t="s">
        <v>21</v>
      </c>
      <c r="G294" s="126"/>
    </row>
    <row r="295" spans="2:7">
      <c r="B295" s="125" t="s">
        <v>336</v>
      </c>
      <c r="C295" s="45" t="s">
        <v>15</v>
      </c>
      <c r="G295" s="126"/>
    </row>
    <row r="296" spans="2:7">
      <c r="B296" s="125" t="s">
        <v>336</v>
      </c>
      <c r="C296" s="45" t="s">
        <v>212</v>
      </c>
      <c r="G296" s="126"/>
    </row>
    <row r="297" spans="2:7">
      <c r="B297" s="125" t="s">
        <v>336</v>
      </c>
      <c r="C297" s="45" t="s">
        <v>33</v>
      </c>
      <c r="G297" s="126"/>
    </row>
    <row r="298" spans="2:7">
      <c r="B298" s="125"/>
      <c r="G298" s="126"/>
    </row>
    <row r="299" spans="2:7">
      <c r="B299" s="125"/>
      <c r="C299" s="44" t="s">
        <v>22</v>
      </c>
      <c r="G299" s="126"/>
    </row>
    <row r="300" spans="2:7">
      <c r="B300" s="125" t="s">
        <v>352</v>
      </c>
      <c r="C300" s="45" t="s">
        <v>607</v>
      </c>
      <c r="G300" s="126"/>
    </row>
    <row r="301" spans="2:7">
      <c r="B301" s="125"/>
      <c r="G301" s="126"/>
    </row>
    <row r="302" spans="2:7">
      <c r="B302" s="125"/>
      <c r="C302" s="44" t="s">
        <v>337</v>
      </c>
      <c r="G302" s="126"/>
    </row>
    <row r="303" spans="2:7">
      <c r="B303" s="125" t="s">
        <v>335</v>
      </c>
      <c r="C303" s="45" t="s">
        <v>607</v>
      </c>
      <c r="G303" s="126"/>
    </row>
    <row r="304" spans="2:7">
      <c r="B304" s="125"/>
      <c r="G304" s="126"/>
    </row>
    <row r="305" spans="2:7">
      <c r="B305" s="125"/>
      <c r="C305" s="44" t="s">
        <v>23</v>
      </c>
      <c r="G305" s="126"/>
    </row>
    <row r="306" spans="2:7">
      <c r="B306" s="125" t="s">
        <v>336</v>
      </c>
      <c r="C306" s="112" t="s">
        <v>33</v>
      </c>
      <c r="G306" s="126"/>
    </row>
    <row r="307" spans="2:7" ht="13.5" thickBot="1">
      <c r="B307" s="140"/>
      <c r="C307" s="131"/>
      <c r="D307" s="131"/>
      <c r="E307" s="141"/>
      <c r="F307" s="131"/>
      <c r="G307" s="135"/>
    </row>
    <row r="309" spans="2:7" ht="13.5" thickBot="1"/>
    <row r="310" spans="2:7" ht="13.5" thickBot="1">
      <c r="B310" s="239" t="s">
        <v>848</v>
      </c>
      <c r="C310" s="240"/>
      <c r="D310" s="240"/>
      <c r="E310" s="240"/>
      <c r="F310" s="240"/>
      <c r="G310" s="241"/>
    </row>
    <row r="311" spans="2:7" ht="13.5" thickBot="1">
      <c r="B311" s="125"/>
      <c r="G311" s="126"/>
    </row>
    <row r="312" spans="2:7">
      <c r="B312" s="125"/>
      <c r="C312" s="127" t="s">
        <v>27</v>
      </c>
      <c r="D312" s="128"/>
      <c r="E312" s="128" t="s">
        <v>1</v>
      </c>
      <c r="F312" s="129">
        <v>21</v>
      </c>
      <c r="G312" s="126"/>
    </row>
    <row r="313" spans="2:7" ht="13.5" thickBot="1">
      <c r="B313" s="125"/>
      <c r="C313" s="130"/>
      <c r="D313" s="131"/>
      <c r="E313" s="131" t="s">
        <v>76</v>
      </c>
      <c r="F313" s="132">
        <v>28</v>
      </c>
      <c r="G313" s="126"/>
    </row>
    <row r="314" spans="2:7" ht="13.5" thickBot="1">
      <c r="B314" s="125"/>
      <c r="G314" s="126"/>
    </row>
    <row r="315" spans="2:7">
      <c r="B315" s="125"/>
      <c r="C315" s="127" t="s">
        <v>4</v>
      </c>
      <c r="D315" s="128"/>
      <c r="E315" s="128" t="s">
        <v>1</v>
      </c>
      <c r="F315" s="133" t="s">
        <v>205</v>
      </c>
      <c r="G315" s="126"/>
    </row>
    <row r="316" spans="2:7">
      <c r="B316" s="125"/>
      <c r="C316" s="59" t="s">
        <v>2</v>
      </c>
      <c r="E316" s="45" t="s">
        <v>326</v>
      </c>
      <c r="F316" s="126"/>
      <c r="G316" s="126"/>
    </row>
    <row r="317" spans="2:7" ht="13.5" thickBot="1">
      <c r="B317" s="125"/>
      <c r="C317" s="130" t="s">
        <v>3</v>
      </c>
      <c r="D317" s="131"/>
      <c r="E317" s="134" t="s">
        <v>326</v>
      </c>
      <c r="F317" s="135"/>
      <c r="G317" s="126"/>
    </row>
    <row r="318" spans="2:7" ht="13.5" thickBot="1">
      <c r="B318" s="125"/>
      <c r="G318" s="126"/>
    </row>
    <row r="319" spans="2:7" ht="13.5" thickBot="1">
      <c r="B319" s="125"/>
      <c r="C319" s="136" t="s">
        <v>29</v>
      </c>
      <c r="D319" s="137"/>
      <c r="E319" s="138" t="s">
        <v>216</v>
      </c>
      <c r="F319" s="139"/>
      <c r="G319" s="126"/>
    </row>
    <row r="320" spans="2:7">
      <c r="B320" s="125"/>
      <c r="G320" s="126"/>
    </row>
    <row r="321" spans="2:7">
      <c r="B321" s="125"/>
      <c r="C321" s="45" t="s">
        <v>5</v>
      </c>
      <c r="G321" s="126"/>
    </row>
    <row r="322" spans="2:7">
      <c r="B322" s="125"/>
      <c r="G322" s="126"/>
    </row>
    <row r="323" spans="2:7">
      <c r="B323" s="59">
        <v>1</v>
      </c>
      <c r="C323" s="45" t="s">
        <v>182</v>
      </c>
      <c r="G323" s="126"/>
    </row>
    <row r="324" spans="2:7">
      <c r="B324" s="59">
        <v>2</v>
      </c>
      <c r="C324" s="45" t="s">
        <v>11</v>
      </c>
      <c r="G324" s="126"/>
    </row>
    <row r="325" spans="2:7">
      <c r="B325" s="59">
        <v>3</v>
      </c>
      <c r="C325" s="45" t="s">
        <v>31</v>
      </c>
      <c r="G325" s="126"/>
    </row>
    <row r="326" spans="2:7">
      <c r="B326" s="59">
        <v>4</v>
      </c>
      <c r="C326" s="45" t="s">
        <v>10</v>
      </c>
      <c r="G326" s="126"/>
    </row>
    <row r="327" spans="2:7">
      <c r="B327" s="59">
        <v>5</v>
      </c>
      <c r="C327" s="45" t="s">
        <v>207</v>
      </c>
      <c r="G327" s="126"/>
    </row>
    <row r="328" spans="2:7">
      <c r="B328" s="59">
        <v>6</v>
      </c>
      <c r="C328" s="45" t="s">
        <v>218</v>
      </c>
      <c r="G328" s="126"/>
    </row>
    <row r="329" spans="2:7">
      <c r="B329" s="59">
        <v>7</v>
      </c>
      <c r="C329" s="45" t="s">
        <v>34</v>
      </c>
      <c r="G329" s="126"/>
    </row>
    <row r="330" spans="2:7">
      <c r="B330" s="59">
        <v>8</v>
      </c>
      <c r="C330" s="45" t="s">
        <v>33</v>
      </c>
      <c r="G330" s="126"/>
    </row>
    <row r="331" spans="2:7">
      <c r="B331" s="59">
        <v>9</v>
      </c>
      <c r="C331" s="45" t="s">
        <v>139</v>
      </c>
      <c r="G331" s="126"/>
    </row>
    <row r="332" spans="2:7">
      <c r="B332" s="59">
        <v>10</v>
      </c>
      <c r="C332" s="45" t="s">
        <v>607</v>
      </c>
      <c r="G332" s="126"/>
    </row>
    <row r="333" spans="2:7">
      <c r="B333" s="59">
        <v>11</v>
      </c>
      <c r="C333" s="45" t="s">
        <v>217</v>
      </c>
      <c r="G333" s="126"/>
    </row>
    <row r="334" spans="2:7">
      <c r="B334" s="59">
        <v>12</v>
      </c>
      <c r="C334" s="45" t="s">
        <v>608</v>
      </c>
      <c r="G334" s="126"/>
    </row>
    <row r="335" spans="2:7">
      <c r="B335" s="59">
        <v>13</v>
      </c>
      <c r="C335" s="45" t="s">
        <v>18</v>
      </c>
      <c r="G335" s="126"/>
    </row>
    <row r="336" spans="2:7">
      <c r="B336" s="59">
        <v>14</v>
      </c>
      <c r="C336" s="45" t="s">
        <v>19</v>
      </c>
      <c r="G336" s="126"/>
    </row>
    <row r="337" spans="2:7">
      <c r="B337" s="59">
        <v>15</v>
      </c>
      <c r="C337" s="45" t="s">
        <v>144</v>
      </c>
      <c r="G337" s="126"/>
    </row>
    <row r="338" spans="2:7">
      <c r="B338" s="125"/>
      <c r="G338" s="126"/>
    </row>
    <row r="339" spans="2:7">
      <c r="B339" s="125"/>
      <c r="C339" s="45" t="s">
        <v>849</v>
      </c>
      <c r="G339" s="126"/>
    </row>
    <row r="340" spans="2:7">
      <c r="B340" s="125"/>
      <c r="C340" s="45" t="s">
        <v>653</v>
      </c>
      <c r="G340" s="126"/>
    </row>
    <row r="341" spans="2:7">
      <c r="B341" s="125"/>
      <c r="C341" s="45" t="s">
        <v>822</v>
      </c>
      <c r="G341" s="126"/>
    </row>
    <row r="342" spans="2:7">
      <c r="B342" s="125"/>
      <c r="G342" s="126"/>
    </row>
    <row r="343" spans="2:7">
      <c r="B343" s="125"/>
      <c r="C343" s="124" t="s">
        <v>21</v>
      </c>
      <c r="G343" s="126"/>
    </row>
    <row r="344" spans="2:7">
      <c r="B344" s="125" t="s">
        <v>336</v>
      </c>
      <c r="C344" s="45" t="s">
        <v>217</v>
      </c>
      <c r="G344" s="126"/>
    </row>
    <row r="345" spans="2:7">
      <c r="B345" s="125" t="s">
        <v>336</v>
      </c>
      <c r="C345" s="45" t="s">
        <v>18</v>
      </c>
      <c r="G345" s="126"/>
    </row>
    <row r="346" spans="2:7">
      <c r="B346" s="125" t="s">
        <v>336</v>
      </c>
      <c r="C346" s="45" t="s">
        <v>207</v>
      </c>
      <c r="G346" s="126"/>
    </row>
    <row r="347" spans="2:7">
      <c r="B347" s="125"/>
      <c r="G347" s="126"/>
    </row>
    <row r="348" spans="2:7">
      <c r="B348" s="125"/>
      <c r="C348" s="44" t="s">
        <v>337</v>
      </c>
      <c r="G348" s="126"/>
    </row>
    <row r="349" spans="2:7">
      <c r="B349" s="125" t="s">
        <v>335</v>
      </c>
      <c r="C349" s="45" t="s">
        <v>607</v>
      </c>
      <c r="G349" s="126"/>
    </row>
    <row r="350" spans="2:7">
      <c r="B350" s="125"/>
      <c r="G350" s="126"/>
    </row>
    <row r="351" spans="2:7">
      <c r="B351" s="125"/>
      <c r="C351" s="44" t="s">
        <v>23</v>
      </c>
      <c r="G351" s="126"/>
    </row>
    <row r="352" spans="2:7">
      <c r="B352" s="125"/>
      <c r="C352" s="112" t="s">
        <v>339</v>
      </c>
      <c r="G352" s="126"/>
    </row>
    <row r="353" spans="2:7" ht="13.5" thickBot="1">
      <c r="B353" s="140"/>
      <c r="C353" s="131"/>
      <c r="D353" s="131"/>
      <c r="E353" s="141"/>
      <c r="F353" s="131"/>
      <c r="G353" s="135"/>
    </row>
    <row r="355" spans="2:7" ht="13.5" thickBot="1"/>
    <row r="356" spans="2:7" ht="13.5" thickBot="1">
      <c r="B356" s="239" t="s">
        <v>850</v>
      </c>
      <c r="C356" s="240"/>
      <c r="D356" s="240"/>
      <c r="E356" s="240"/>
      <c r="F356" s="240"/>
      <c r="G356" s="241"/>
    </row>
    <row r="357" spans="2:7" ht="13.5" thickBot="1">
      <c r="B357" s="125"/>
      <c r="G357" s="126"/>
    </row>
    <row r="358" spans="2:7">
      <c r="B358" s="125"/>
      <c r="C358" s="127" t="s">
        <v>27</v>
      </c>
      <c r="D358" s="128"/>
      <c r="E358" s="128" t="s">
        <v>37</v>
      </c>
      <c r="F358" s="129">
        <v>25</v>
      </c>
      <c r="G358" s="126"/>
    </row>
    <row r="359" spans="2:7" ht="13.5" thickBot="1">
      <c r="B359" s="125"/>
      <c r="C359" s="130"/>
      <c r="D359" s="131"/>
      <c r="E359" s="131" t="s">
        <v>1</v>
      </c>
      <c r="F359" s="132">
        <v>17</v>
      </c>
      <c r="G359" s="126"/>
    </row>
    <row r="360" spans="2:7" ht="13.5" thickBot="1">
      <c r="B360" s="125"/>
      <c r="G360" s="126"/>
    </row>
    <row r="361" spans="2:7">
      <c r="B361" s="125"/>
      <c r="C361" s="127" t="s">
        <v>4</v>
      </c>
      <c r="D361" s="128"/>
      <c r="E361" s="128" t="s">
        <v>37</v>
      </c>
      <c r="F361" s="133"/>
      <c r="G361" s="126"/>
    </row>
    <row r="362" spans="2:7">
      <c r="B362" s="125"/>
      <c r="C362" s="59" t="s">
        <v>2</v>
      </c>
      <c r="E362" s="45" t="s">
        <v>326</v>
      </c>
      <c r="F362" s="126"/>
      <c r="G362" s="126"/>
    </row>
    <row r="363" spans="2:7" ht="13.5" thickBot="1">
      <c r="B363" s="125"/>
      <c r="C363" s="130" t="s">
        <v>3</v>
      </c>
      <c r="D363" s="131"/>
      <c r="E363" s="134" t="s">
        <v>326</v>
      </c>
      <c r="F363" s="135"/>
      <c r="G363" s="126"/>
    </row>
    <row r="364" spans="2:7" ht="13.5" thickBot="1">
      <c r="B364" s="125"/>
      <c r="G364" s="126"/>
    </row>
    <row r="365" spans="2:7" ht="13.5" thickBot="1">
      <c r="B365" s="125"/>
      <c r="C365" s="136" t="s">
        <v>29</v>
      </c>
      <c r="D365" s="137"/>
      <c r="E365" s="138" t="s">
        <v>316</v>
      </c>
      <c r="F365" s="139"/>
      <c r="G365" s="126"/>
    </row>
    <row r="366" spans="2:7">
      <c r="B366" s="125"/>
      <c r="G366" s="126"/>
    </row>
    <row r="367" spans="2:7">
      <c r="B367" s="125"/>
      <c r="C367" s="45" t="s">
        <v>5</v>
      </c>
      <c r="G367" s="126"/>
    </row>
    <row r="368" spans="2:7">
      <c r="B368" s="125"/>
      <c r="G368" s="126"/>
    </row>
    <row r="369" spans="2:7">
      <c r="B369" s="59">
        <v>1</v>
      </c>
      <c r="C369" s="45" t="s">
        <v>182</v>
      </c>
      <c r="G369" s="126"/>
    </row>
    <row r="370" spans="2:7">
      <c r="B370" s="59">
        <v>2</v>
      </c>
      <c r="C370" s="45" t="s">
        <v>11</v>
      </c>
      <c r="G370" s="126"/>
    </row>
    <row r="371" spans="2:7">
      <c r="B371" s="59">
        <v>3</v>
      </c>
      <c r="C371" s="45" t="s">
        <v>160</v>
      </c>
      <c r="G371" s="126"/>
    </row>
    <row r="372" spans="2:7">
      <c r="B372" s="59">
        <v>4</v>
      </c>
      <c r="C372" s="45" t="s">
        <v>10</v>
      </c>
      <c r="G372" s="126"/>
    </row>
    <row r="373" spans="2:7">
      <c r="B373" s="59">
        <v>5</v>
      </c>
      <c r="C373" s="45" t="s">
        <v>207</v>
      </c>
      <c r="G373" s="126"/>
    </row>
    <row r="374" spans="2:7">
      <c r="B374" s="59">
        <v>6</v>
      </c>
      <c r="C374" s="45" t="s">
        <v>218</v>
      </c>
      <c r="G374" s="126"/>
    </row>
    <row r="375" spans="2:7">
      <c r="B375" s="59">
        <v>7</v>
      </c>
      <c r="C375" s="45" t="s">
        <v>34</v>
      </c>
      <c r="G375" s="126"/>
    </row>
    <row r="376" spans="2:7">
      <c r="B376" s="59">
        <v>8</v>
      </c>
      <c r="C376" s="45" t="s">
        <v>33</v>
      </c>
      <c r="G376" s="126"/>
    </row>
    <row r="377" spans="2:7">
      <c r="B377" s="59">
        <v>9</v>
      </c>
      <c r="C377" s="45" t="s">
        <v>217</v>
      </c>
      <c r="G377" s="126"/>
    </row>
    <row r="378" spans="2:7">
      <c r="B378" s="59">
        <v>10</v>
      </c>
      <c r="C378" s="45" t="s">
        <v>139</v>
      </c>
      <c r="G378" s="126"/>
    </row>
    <row r="379" spans="2:7">
      <c r="B379" s="59">
        <v>11</v>
      </c>
      <c r="C379" s="45" t="s">
        <v>851</v>
      </c>
      <c r="G379" s="126"/>
    </row>
    <row r="380" spans="2:7">
      <c r="B380" s="59">
        <v>12</v>
      </c>
      <c r="C380" s="45" t="s">
        <v>608</v>
      </c>
      <c r="G380" s="126"/>
    </row>
    <row r="381" spans="2:7">
      <c r="B381" s="59">
        <v>13</v>
      </c>
      <c r="C381" s="45" t="s">
        <v>18</v>
      </c>
      <c r="G381" s="126"/>
    </row>
    <row r="382" spans="2:7">
      <c r="B382" s="59">
        <v>14</v>
      </c>
      <c r="C382" s="45" t="s">
        <v>19</v>
      </c>
      <c r="G382" s="126"/>
    </row>
    <row r="383" spans="2:7">
      <c r="B383" s="59">
        <v>15</v>
      </c>
      <c r="C383" s="45" t="s">
        <v>607</v>
      </c>
      <c r="G383" s="126"/>
    </row>
    <row r="384" spans="2:7">
      <c r="B384" s="125"/>
      <c r="G384" s="126"/>
    </row>
    <row r="385" spans="2:7">
      <c r="B385" s="125"/>
      <c r="C385" s="45" t="s">
        <v>758</v>
      </c>
      <c r="G385" s="126"/>
    </row>
    <row r="386" spans="2:7">
      <c r="B386" s="125"/>
      <c r="C386" s="45" t="s">
        <v>852</v>
      </c>
      <c r="G386" s="126"/>
    </row>
    <row r="387" spans="2:7">
      <c r="B387" s="125"/>
      <c r="G387" s="126"/>
    </row>
    <row r="388" spans="2:7">
      <c r="B388" s="125"/>
      <c r="C388" s="124" t="s">
        <v>21</v>
      </c>
      <c r="G388" s="126"/>
    </row>
    <row r="389" spans="2:7">
      <c r="B389" s="125" t="s">
        <v>336</v>
      </c>
      <c r="C389" s="45" t="s">
        <v>18</v>
      </c>
      <c r="G389" s="126"/>
    </row>
    <row r="390" spans="2:7">
      <c r="B390" s="125" t="s">
        <v>336</v>
      </c>
      <c r="C390" s="45" t="s">
        <v>33</v>
      </c>
      <c r="G390" s="126"/>
    </row>
    <row r="391" spans="2:7">
      <c r="B391" s="125"/>
      <c r="G391" s="126"/>
    </row>
    <row r="392" spans="2:7">
      <c r="B392" s="125"/>
      <c r="C392" s="44" t="s">
        <v>22</v>
      </c>
      <c r="G392" s="126"/>
    </row>
    <row r="393" spans="2:7">
      <c r="B393" s="125" t="s">
        <v>336</v>
      </c>
      <c r="C393" s="45" t="s">
        <v>607</v>
      </c>
      <c r="G393" s="126"/>
    </row>
    <row r="394" spans="2:7">
      <c r="B394" s="125"/>
      <c r="G394" s="126"/>
    </row>
    <row r="395" spans="2:7">
      <c r="B395" s="125"/>
      <c r="C395" s="44" t="s">
        <v>337</v>
      </c>
      <c r="G395" s="126"/>
    </row>
    <row r="396" spans="2:7">
      <c r="B396" s="125" t="s">
        <v>352</v>
      </c>
      <c r="C396" s="45" t="s">
        <v>607</v>
      </c>
      <c r="G396" s="126"/>
    </row>
    <row r="397" spans="2:7">
      <c r="B397" s="125"/>
      <c r="G397" s="126"/>
    </row>
    <row r="398" spans="2:7">
      <c r="B398" s="125"/>
      <c r="C398" s="44" t="s">
        <v>23</v>
      </c>
      <c r="G398" s="126"/>
    </row>
    <row r="399" spans="2:7">
      <c r="B399" s="125"/>
      <c r="C399" s="112" t="s">
        <v>339</v>
      </c>
      <c r="G399" s="126"/>
    </row>
    <row r="400" spans="2:7" ht="13.5" thickBot="1">
      <c r="B400" s="140"/>
      <c r="C400" s="131"/>
      <c r="D400" s="131"/>
      <c r="E400" s="141"/>
      <c r="F400" s="131"/>
      <c r="G400" s="135"/>
    </row>
    <row r="402" spans="2:7" ht="13.5" thickBot="1"/>
    <row r="403" spans="2:7" ht="13.5" thickBot="1">
      <c r="B403" s="239" t="s">
        <v>853</v>
      </c>
      <c r="C403" s="240"/>
      <c r="D403" s="240"/>
      <c r="E403" s="240"/>
      <c r="F403" s="240"/>
      <c r="G403" s="241"/>
    </row>
    <row r="404" spans="2:7" ht="13.5" thickBot="1">
      <c r="B404" s="125"/>
      <c r="G404" s="126"/>
    </row>
    <row r="405" spans="2:7">
      <c r="B405" s="125"/>
      <c r="C405" s="127" t="s">
        <v>27</v>
      </c>
      <c r="D405" s="128"/>
      <c r="E405" s="128" t="s">
        <v>1</v>
      </c>
      <c r="F405" s="129">
        <v>22</v>
      </c>
      <c r="G405" s="126"/>
    </row>
    <row r="406" spans="2:7" ht="13.5" thickBot="1">
      <c r="B406" s="125"/>
      <c r="C406" s="130"/>
      <c r="D406" s="131"/>
      <c r="E406" s="131" t="s">
        <v>74</v>
      </c>
      <c r="F406" s="132">
        <v>24</v>
      </c>
      <c r="G406" s="126"/>
    </row>
    <row r="407" spans="2:7" ht="13.5" thickBot="1">
      <c r="B407" s="125"/>
      <c r="G407" s="126"/>
    </row>
    <row r="408" spans="2:7">
      <c r="B408" s="125"/>
      <c r="C408" s="127" t="s">
        <v>4</v>
      </c>
      <c r="D408" s="128"/>
      <c r="E408" s="128" t="s">
        <v>1</v>
      </c>
      <c r="F408" s="133" t="s">
        <v>561</v>
      </c>
      <c r="G408" s="126"/>
    </row>
    <row r="409" spans="2:7">
      <c r="B409" s="125"/>
      <c r="C409" s="59" t="s">
        <v>2</v>
      </c>
      <c r="E409" s="45" t="s">
        <v>326</v>
      </c>
      <c r="F409" s="126"/>
      <c r="G409" s="126"/>
    </row>
    <row r="410" spans="2:7" ht="13.5" thickBot="1">
      <c r="B410" s="125"/>
      <c r="C410" s="130" t="s">
        <v>3</v>
      </c>
      <c r="D410" s="131"/>
      <c r="E410" s="134" t="s">
        <v>326</v>
      </c>
      <c r="F410" s="135"/>
      <c r="G410" s="126"/>
    </row>
    <row r="411" spans="2:7" ht="13.5" thickBot="1">
      <c r="B411" s="125"/>
      <c r="G411" s="126"/>
    </row>
    <row r="412" spans="2:7" ht="13.5" thickBot="1">
      <c r="B412" s="125"/>
      <c r="C412" s="136" t="s">
        <v>29</v>
      </c>
      <c r="D412" s="137"/>
      <c r="E412" s="138" t="s">
        <v>305</v>
      </c>
      <c r="F412" s="139"/>
      <c r="G412" s="126"/>
    </row>
    <row r="413" spans="2:7">
      <c r="B413" s="125"/>
      <c r="G413" s="126"/>
    </row>
    <row r="414" spans="2:7">
      <c r="B414" s="125"/>
      <c r="C414" s="45" t="s">
        <v>5</v>
      </c>
      <c r="G414" s="126"/>
    </row>
    <row r="415" spans="2:7">
      <c r="B415" s="125"/>
      <c r="G415" s="126"/>
    </row>
    <row r="416" spans="2:7">
      <c r="B416" s="59">
        <v>1</v>
      </c>
      <c r="C416" s="45" t="s">
        <v>182</v>
      </c>
      <c r="G416" s="126"/>
    </row>
    <row r="417" spans="2:7">
      <c r="B417" s="59">
        <v>2</v>
      </c>
      <c r="C417" s="45" t="s">
        <v>11</v>
      </c>
      <c r="G417" s="126"/>
    </row>
    <row r="418" spans="2:7">
      <c r="B418" s="59">
        <v>3</v>
      </c>
      <c r="C418" s="45" t="s">
        <v>160</v>
      </c>
      <c r="G418" s="126"/>
    </row>
    <row r="419" spans="2:7">
      <c r="B419" s="59">
        <v>4</v>
      </c>
      <c r="C419" s="45" t="s">
        <v>10</v>
      </c>
      <c r="G419" s="126"/>
    </row>
    <row r="420" spans="2:7">
      <c r="B420" s="59">
        <v>5</v>
      </c>
      <c r="C420" s="45" t="s">
        <v>207</v>
      </c>
      <c r="G420" s="126"/>
    </row>
    <row r="421" spans="2:7">
      <c r="B421" s="59">
        <v>6</v>
      </c>
      <c r="C421" s="45" t="s">
        <v>218</v>
      </c>
      <c r="G421" s="126"/>
    </row>
    <row r="422" spans="2:7">
      <c r="B422" s="59">
        <v>7</v>
      </c>
      <c r="C422" s="45" t="s">
        <v>34</v>
      </c>
      <c r="G422" s="126"/>
    </row>
    <row r="423" spans="2:7">
      <c r="B423" s="59">
        <v>8</v>
      </c>
      <c r="C423" s="45" t="s">
        <v>33</v>
      </c>
      <c r="G423" s="126"/>
    </row>
    <row r="424" spans="2:7">
      <c r="B424" s="59">
        <v>9</v>
      </c>
      <c r="C424" s="45" t="s">
        <v>217</v>
      </c>
      <c r="G424" s="126"/>
    </row>
    <row r="425" spans="2:7">
      <c r="B425" s="59">
        <v>10</v>
      </c>
      <c r="C425" s="45" t="s">
        <v>139</v>
      </c>
      <c r="G425" s="126"/>
    </row>
    <row r="426" spans="2:7">
      <c r="B426" s="59">
        <v>11</v>
      </c>
      <c r="C426" s="45" t="s">
        <v>851</v>
      </c>
      <c r="G426" s="126"/>
    </row>
    <row r="427" spans="2:7">
      <c r="B427" s="59">
        <v>12</v>
      </c>
      <c r="C427" s="45" t="s">
        <v>608</v>
      </c>
      <c r="G427" s="126"/>
    </row>
    <row r="428" spans="2:7">
      <c r="B428" s="59">
        <v>13</v>
      </c>
      <c r="C428" s="45" t="s">
        <v>18</v>
      </c>
      <c r="G428" s="126"/>
    </row>
    <row r="429" spans="2:7">
      <c r="B429" s="59">
        <v>14</v>
      </c>
      <c r="C429" s="45" t="s">
        <v>19</v>
      </c>
      <c r="G429" s="126"/>
    </row>
    <row r="430" spans="2:7">
      <c r="B430" s="59">
        <v>15</v>
      </c>
      <c r="C430" s="45" t="s">
        <v>607</v>
      </c>
      <c r="G430" s="126"/>
    </row>
    <row r="431" spans="2:7">
      <c r="B431" s="125"/>
      <c r="G431" s="126"/>
    </row>
    <row r="432" spans="2:7">
      <c r="B432" s="125"/>
      <c r="C432" s="45" t="s">
        <v>758</v>
      </c>
      <c r="G432" s="126"/>
    </row>
    <row r="433" spans="2:7">
      <c r="B433" s="125"/>
      <c r="C433" s="45" t="s">
        <v>852</v>
      </c>
      <c r="G433" s="126"/>
    </row>
    <row r="434" spans="2:7">
      <c r="B434" s="125"/>
      <c r="C434" s="45" t="s">
        <v>734</v>
      </c>
      <c r="G434" s="126"/>
    </row>
    <row r="435" spans="2:7">
      <c r="B435" s="125"/>
      <c r="C435" s="45" t="s">
        <v>854</v>
      </c>
      <c r="G435" s="126"/>
    </row>
    <row r="436" spans="2:7">
      <c r="B436" s="125"/>
      <c r="C436" s="45" t="s">
        <v>855</v>
      </c>
      <c r="G436" s="126"/>
    </row>
    <row r="437" spans="2:7">
      <c r="B437" s="125"/>
      <c r="C437" s="45" t="s">
        <v>856</v>
      </c>
      <c r="G437" s="126"/>
    </row>
    <row r="438" spans="2:7">
      <c r="B438" s="125"/>
      <c r="G438" s="126"/>
    </row>
    <row r="439" spans="2:7">
      <c r="B439" s="125"/>
      <c r="C439" s="124" t="s">
        <v>21</v>
      </c>
      <c r="G439" s="126"/>
    </row>
    <row r="440" spans="2:7">
      <c r="B440" s="125" t="s">
        <v>336</v>
      </c>
      <c r="C440" s="45" t="s">
        <v>11</v>
      </c>
      <c r="G440" s="126"/>
    </row>
    <row r="441" spans="2:7">
      <c r="B441" s="125" t="s">
        <v>336</v>
      </c>
      <c r="C441" s="45" t="s">
        <v>207</v>
      </c>
      <c r="G441" s="126"/>
    </row>
    <row r="442" spans="2:7">
      <c r="B442" s="125" t="s">
        <v>336</v>
      </c>
      <c r="C442" s="45" t="s">
        <v>18</v>
      </c>
      <c r="G442" s="126"/>
    </row>
    <row r="443" spans="2:7">
      <c r="B443" s="125"/>
      <c r="G443" s="126"/>
    </row>
    <row r="444" spans="2:7">
      <c r="B444" s="125"/>
      <c r="C444" s="44" t="s">
        <v>22</v>
      </c>
      <c r="G444" s="126"/>
    </row>
    <row r="445" spans="2:7">
      <c r="B445" s="125" t="s">
        <v>336</v>
      </c>
      <c r="C445" s="45" t="s">
        <v>607</v>
      </c>
      <c r="G445" s="126"/>
    </row>
    <row r="446" spans="2:7">
      <c r="B446" s="125"/>
      <c r="G446" s="126"/>
    </row>
    <row r="447" spans="2:7">
      <c r="B447" s="125"/>
      <c r="C447" s="44" t="s">
        <v>337</v>
      </c>
      <c r="G447" s="126"/>
    </row>
    <row r="448" spans="2:7">
      <c r="B448" s="125" t="s">
        <v>352</v>
      </c>
      <c r="C448" s="45" t="s">
        <v>607</v>
      </c>
      <c r="G448" s="126"/>
    </row>
    <row r="449" spans="2:7">
      <c r="B449" s="125"/>
      <c r="G449" s="126"/>
    </row>
    <row r="450" spans="2:7">
      <c r="B450" s="125"/>
      <c r="C450" s="44" t="s">
        <v>23</v>
      </c>
      <c r="G450" s="126"/>
    </row>
    <row r="451" spans="2:7">
      <c r="B451" s="125"/>
      <c r="C451" s="112" t="s">
        <v>339</v>
      </c>
      <c r="G451" s="126"/>
    </row>
    <row r="452" spans="2:7" ht="13.5" thickBot="1">
      <c r="B452" s="140"/>
      <c r="C452" s="131"/>
      <c r="D452" s="131"/>
      <c r="E452" s="141"/>
      <c r="F452" s="131"/>
      <c r="G452" s="135"/>
    </row>
    <row r="454" spans="2:7" ht="13.5" thickBot="1"/>
    <row r="455" spans="2:7" ht="13.5" thickBot="1">
      <c r="B455" s="239" t="s">
        <v>857</v>
      </c>
      <c r="C455" s="240"/>
      <c r="D455" s="240"/>
      <c r="E455" s="240"/>
      <c r="F455" s="240"/>
      <c r="G455" s="241"/>
    </row>
    <row r="456" spans="2:7" ht="13.5" thickBot="1">
      <c r="B456" s="125"/>
      <c r="G456" s="126"/>
    </row>
    <row r="457" spans="2:7">
      <c r="B457" s="125"/>
      <c r="C457" s="127" t="s">
        <v>27</v>
      </c>
      <c r="D457" s="128"/>
      <c r="E457" s="128" t="s">
        <v>90</v>
      </c>
      <c r="F457" s="129">
        <v>38</v>
      </c>
      <c r="G457" s="126"/>
    </row>
    <row r="458" spans="2:7" ht="13.5" thickBot="1">
      <c r="B458" s="125"/>
      <c r="C458" s="130"/>
      <c r="D458" s="131"/>
      <c r="E458" s="131" t="s">
        <v>1</v>
      </c>
      <c r="F458" s="132">
        <v>25</v>
      </c>
      <c r="G458" s="126"/>
    </row>
    <row r="459" spans="2:7" ht="13.5" thickBot="1">
      <c r="B459" s="125"/>
      <c r="G459" s="126"/>
    </row>
    <row r="460" spans="2:7">
      <c r="B460" s="125"/>
      <c r="C460" s="127" t="s">
        <v>4</v>
      </c>
      <c r="D460" s="128"/>
      <c r="E460" s="128" t="s">
        <v>90</v>
      </c>
      <c r="F460" s="133"/>
      <c r="G460" s="126"/>
    </row>
    <row r="461" spans="2:7">
      <c r="B461" s="125"/>
      <c r="C461" s="59" t="s">
        <v>2</v>
      </c>
      <c r="E461" s="45" t="s">
        <v>326</v>
      </c>
      <c r="F461" s="126"/>
      <c r="G461" s="126"/>
    </row>
    <row r="462" spans="2:7" ht="13.5" thickBot="1">
      <c r="B462" s="125"/>
      <c r="C462" s="130" t="s">
        <v>3</v>
      </c>
      <c r="D462" s="131"/>
      <c r="E462" s="134" t="s">
        <v>326</v>
      </c>
      <c r="F462" s="135"/>
      <c r="G462" s="126"/>
    </row>
    <row r="463" spans="2:7" ht="13.5" thickBot="1">
      <c r="B463" s="125"/>
      <c r="G463" s="126"/>
    </row>
    <row r="464" spans="2:7" ht="13.5" thickBot="1">
      <c r="B464" s="125"/>
      <c r="C464" s="136" t="s">
        <v>29</v>
      </c>
      <c r="D464" s="137"/>
      <c r="E464" s="138" t="s">
        <v>321</v>
      </c>
      <c r="F464" s="139"/>
      <c r="G464" s="126"/>
    </row>
    <row r="465" spans="2:7">
      <c r="B465" s="125"/>
      <c r="G465" s="126"/>
    </row>
    <row r="466" spans="2:7">
      <c r="B466" s="125"/>
      <c r="C466" s="45" t="s">
        <v>5</v>
      </c>
      <c r="G466" s="126"/>
    </row>
    <row r="467" spans="2:7">
      <c r="B467" s="125"/>
      <c r="G467" s="126"/>
    </row>
    <row r="468" spans="2:7">
      <c r="B468" s="59">
        <v>1</v>
      </c>
      <c r="C468" s="45" t="s">
        <v>182</v>
      </c>
      <c r="G468" s="126"/>
    </row>
    <row r="469" spans="2:7">
      <c r="B469" s="59">
        <v>2</v>
      </c>
      <c r="C469" s="45" t="s">
        <v>11</v>
      </c>
      <c r="G469" s="126"/>
    </row>
    <row r="470" spans="2:7">
      <c r="B470" s="59">
        <v>3</v>
      </c>
      <c r="C470" s="45" t="s">
        <v>53</v>
      </c>
      <c r="G470" s="126"/>
    </row>
    <row r="471" spans="2:7">
      <c r="B471" s="59">
        <v>4</v>
      </c>
      <c r="C471" s="45" t="s">
        <v>10</v>
      </c>
      <c r="G471" s="126"/>
    </row>
    <row r="472" spans="2:7">
      <c r="B472" s="59">
        <v>5</v>
      </c>
      <c r="C472" s="45" t="s">
        <v>207</v>
      </c>
      <c r="G472" s="126"/>
    </row>
    <row r="473" spans="2:7">
      <c r="B473" s="59">
        <v>6</v>
      </c>
      <c r="C473" s="45" t="s">
        <v>75</v>
      </c>
      <c r="G473" s="126"/>
    </row>
    <row r="474" spans="2:7">
      <c r="B474" s="59">
        <v>7</v>
      </c>
      <c r="C474" s="45" t="s">
        <v>34</v>
      </c>
      <c r="G474" s="126"/>
    </row>
    <row r="475" spans="2:7">
      <c r="B475" s="59">
        <v>8</v>
      </c>
      <c r="C475" s="45" t="s">
        <v>33</v>
      </c>
      <c r="G475" s="126"/>
    </row>
    <row r="476" spans="2:7">
      <c r="B476" s="59">
        <v>9</v>
      </c>
      <c r="C476" s="45" t="s">
        <v>14</v>
      </c>
      <c r="G476" s="126"/>
    </row>
    <row r="477" spans="2:7">
      <c r="B477" s="59">
        <v>10</v>
      </c>
      <c r="C477" s="45" t="s">
        <v>607</v>
      </c>
      <c r="G477" s="126"/>
    </row>
    <row r="478" spans="2:7">
      <c r="B478" s="59">
        <v>11</v>
      </c>
      <c r="C478" s="45" t="s">
        <v>217</v>
      </c>
      <c r="G478" s="126"/>
    </row>
    <row r="479" spans="2:7">
      <c r="B479" s="59">
        <v>12</v>
      </c>
      <c r="C479" s="45" t="s">
        <v>608</v>
      </c>
      <c r="G479" s="126"/>
    </row>
    <row r="480" spans="2:7">
      <c r="B480" s="59">
        <v>13</v>
      </c>
      <c r="C480" s="45" t="s">
        <v>18</v>
      </c>
      <c r="G480" s="126"/>
    </row>
    <row r="481" spans="2:7">
      <c r="B481" s="59">
        <v>14</v>
      </c>
      <c r="C481" s="45" t="s">
        <v>19</v>
      </c>
      <c r="G481" s="126"/>
    </row>
    <row r="482" spans="2:7">
      <c r="B482" s="59">
        <v>15</v>
      </c>
      <c r="C482" s="45" t="s">
        <v>144</v>
      </c>
      <c r="G482" s="126"/>
    </row>
    <row r="483" spans="2:7">
      <c r="B483" s="125"/>
      <c r="G483" s="126"/>
    </row>
    <row r="484" spans="2:7">
      <c r="B484" s="125"/>
      <c r="C484" s="45" t="s">
        <v>758</v>
      </c>
      <c r="G484" s="126"/>
    </row>
    <row r="485" spans="2:7">
      <c r="B485" s="125"/>
      <c r="C485" s="45" t="s">
        <v>858</v>
      </c>
      <c r="G485" s="126"/>
    </row>
    <row r="486" spans="2:7">
      <c r="B486" s="125"/>
      <c r="C486" s="45" t="s">
        <v>859</v>
      </c>
      <c r="G486" s="126"/>
    </row>
    <row r="487" spans="2:7">
      <c r="B487" s="125"/>
      <c r="G487" s="126"/>
    </row>
    <row r="488" spans="2:7">
      <c r="B488" s="125"/>
      <c r="C488" s="124" t="s">
        <v>21</v>
      </c>
      <c r="G488" s="126"/>
    </row>
    <row r="489" spans="2:7">
      <c r="B489" s="125" t="s">
        <v>336</v>
      </c>
      <c r="C489" s="45" t="s">
        <v>19</v>
      </c>
      <c r="G489" s="126"/>
    </row>
    <row r="490" spans="2:7">
      <c r="B490" s="125" t="s">
        <v>336</v>
      </c>
      <c r="C490" s="45" t="s">
        <v>607</v>
      </c>
      <c r="G490" s="126"/>
    </row>
    <row r="491" spans="2:7">
      <c r="B491" s="125" t="s">
        <v>336</v>
      </c>
      <c r="C491" s="45" t="s">
        <v>144</v>
      </c>
      <c r="G491" s="126"/>
    </row>
    <row r="492" spans="2:7">
      <c r="B492" s="125" t="s">
        <v>336</v>
      </c>
      <c r="C492" s="45" t="s">
        <v>53</v>
      </c>
      <c r="G492" s="126"/>
    </row>
    <row r="493" spans="2:7">
      <c r="B493" s="125"/>
      <c r="G493" s="126"/>
    </row>
    <row r="494" spans="2:7">
      <c r="B494" s="125"/>
      <c r="C494" s="44" t="s">
        <v>24</v>
      </c>
      <c r="G494" s="126"/>
    </row>
    <row r="495" spans="2:7">
      <c r="B495" s="125" t="s">
        <v>336</v>
      </c>
      <c r="C495" s="45" t="s">
        <v>607</v>
      </c>
      <c r="G495" s="126"/>
    </row>
    <row r="496" spans="2:7">
      <c r="B496" s="125"/>
      <c r="G496" s="126"/>
    </row>
    <row r="497" spans="2:7">
      <c r="B497" s="125"/>
      <c r="C497" s="44" t="s">
        <v>337</v>
      </c>
      <c r="G497" s="126"/>
    </row>
    <row r="498" spans="2:7">
      <c r="B498" s="125" t="s">
        <v>336</v>
      </c>
      <c r="C498" s="45" t="s">
        <v>607</v>
      </c>
      <c r="G498" s="126"/>
    </row>
    <row r="499" spans="2:7">
      <c r="B499" s="125"/>
      <c r="G499" s="126"/>
    </row>
    <row r="500" spans="2:7">
      <c r="B500" s="125"/>
      <c r="C500" s="44" t="s">
        <v>23</v>
      </c>
      <c r="G500" s="126"/>
    </row>
    <row r="501" spans="2:7">
      <c r="B501" s="125"/>
      <c r="C501" s="112" t="s">
        <v>339</v>
      </c>
      <c r="G501" s="126"/>
    </row>
    <row r="502" spans="2:7" ht="13.5" thickBot="1">
      <c r="B502" s="140"/>
      <c r="C502" s="131"/>
      <c r="D502" s="131"/>
      <c r="E502" s="141"/>
      <c r="F502" s="131"/>
      <c r="G502" s="135"/>
    </row>
    <row r="504" spans="2:7" ht="13.5" thickBot="1"/>
    <row r="505" spans="2:7" ht="13.5" thickBot="1">
      <c r="B505" s="239" t="s">
        <v>860</v>
      </c>
      <c r="C505" s="240"/>
      <c r="D505" s="240"/>
      <c r="E505" s="240"/>
      <c r="F505" s="240"/>
      <c r="G505" s="241"/>
    </row>
    <row r="506" spans="2:7" ht="13.5" thickBot="1">
      <c r="B506" s="125"/>
      <c r="G506" s="126"/>
    </row>
    <row r="507" spans="2:7">
      <c r="B507" s="125"/>
      <c r="C507" s="127" t="s">
        <v>27</v>
      </c>
      <c r="D507" s="128"/>
      <c r="E507" s="128" t="s">
        <v>1</v>
      </c>
      <c r="F507" s="129">
        <v>26</v>
      </c>
      <c r="G507" s="126"/>
    </row>
    <row r="508" spans="2:7" ht="13.5" thickBot="1">
      <c r="B508" s="125"/>
      <c r="C508" s="130"/>
      <c r="D508" s="131"/>
      <c r="E508" s="131" t="s">
        <v>92</v>
      </c>
      <c r="F508" s="132">
        <v>21</v>
      </c>
      <c r="G508" s="126"/>
    </row>
    <row r="509" spans="2:7" ht="13.5" thickBot="1">
      <c r="B509" s="125"/>
      <c r="G509" s="126"/>
    </row>
    <row r="510" spans="2:7">
      <c r="B510" s="125"/>
      <c r="C510" s="127" t="s">
        <v>4</v>
      </c>
      <c r="D510" s="128"/>
      <c r="E510" s="128" t="s">
        <v>1</v>
      </c>
      <c r="F510" s="133" t="s">
        <v>561</v>
      </c>
      <c r="G510" s="126"/>
    </row>
    <row r="511" spans="2:7">
      <c r="B511" s="125"/>
      <c r="C511" s="59" t="s">
        <v>2</v>
      </c>
      <c r="E511" s="45" t="s">
        <v>404</v>
      </c>
      <c r="F511" s="126"/>
      <c r="G511" s="126"/>
    </row>
    <row r="512" spans="2:7" ht="13.5" thickBot="1">
      <c r="B512" s="125"/>
      <c r="C512" s="130" t="s">
        <v>3</v>
      </c>
      <c r="D512" s="131"/>
      <c r="E512" s="134" t="s">
        <v>326</v>
      </c>
      <c r="F512" s="135"/>
      <c r="G512" s="126"/>
    </row>
    <row r="513" spans="2:7" ht="13.5" thickBot="1">
      <c r="B513" s="125"/>
      <c r="G513" s="126"/>
    </row>
    <row r="514" spans="2:7" ht="13.5" thickBot="1">
      <c r="B514" s="125"/>
      <c r="C514" s="136" t="s">
        <v>29</v>
      </c>
      <c r="D514" s="137"/>
      <c r="E514" s="138" t="s">
        <v>215</v>
      </c>
      <c r="F514" s="139"/>
      <c r="G514" s="126"/>
    </row>
    <row r="515" spans="2:7">
      <c r="B515" s="125"/>
      <c r="G515" s="126"/>
    </row>
    <row r="516" spans="2:7">
      <c r="B516" s="125"/>
      <c r="C516" s="45" t="s">
        <v>5</v>
      </c>
      <c r="G516" s="126"/>
    </row>
    <row r="517" spans="2:7">
      <c r="B517" s="125"/>
      <c r="G517" s="126"/>
    </row>
    <row r="518" spans="2:7">
      <c r="B518" s="59">
        <v>1</v>
      </c>
      <c r="C518" s="45" t="s">
        <v>182</v>
      </c>
      <c r="G518" s="126"/>
    </row>
    <row r="519" spans="2:7">
      <c r="B519" s="59">
        <v>2</v>
      </c>
      <c r="C519" s="45" t="s">
        <v>11</v>
      </c>
      <c r="G519" s="126"/>
    </row>
    <row r="520" spans="2:7">
      <c r="B520" s="59">
        <v>3</v>
      </c>
      <c r="C520" s="45" t="s">
        <v>53</v>
      </c>
      <c r="G520" s="126"/>
    </row>
    <row r="521" spans="2:7">
      <c r="B521" s="59">
        <v>4</v>
      </c>
      <c r="C521" s="45" t="s">
        <v>10</v>
      </c>
      <c r="G521" s="126"/>
    </row>
    <row r="522" spans="2:7">
      <c r="B522" s="59">
        <v>5</v>
      </c>
      <c r="C522" s="45" t="s">
        <v>207</v>
      </c>
      <c r="G522" s="126"/>
    </row>
    <row r="523" spans="2:7">
      <c r="B523" s="59">
        <v>6</v>
      </c>
      <c r="C523" s="45" t="s">
        <v>75</v>
      </c>
      <c r="G523" s="126"/>
    </row>
    <row r="524" spans="2:7">
      <c r="B524" s="59">
        <v>7</v>
      </c>
      <c r="C524" s="45" t="s">
        <v>34</v>
      </c>
      <c r="G524" s="126"/>
    </row>
    <row r="525" spans="2:7">
      <c r="B525" s="59">
        <v>8</v>
      </c>
      <c r="C525" s="45" t="s">
        <v>33</v>
      </c>
      <c r="G525" s="126"/>
    </row>
    <row r="526" spans="2:7">
      <c r="B526" s="59">
        <v>9</v>
      </c>
      <c r="C526" s="45" t="s">
        <v>14</v>
      </c>
      <c r="G526" s="126"/>
    </row>
    <row r="527" spans="2:7">
      <c r="B527" s="59">
        <v>10</v>
      </c>
      <c r="C527" s="45" t="s">
        <v>607</v>
      </c>
      <c r="G527" s="126"/>
    </row>
    <row r="528" spans="2:7">
      <c r="B528" s="59">
        <v>11</v>
      </c>
      <c r="C528" s="45" t="s">
        <v>217</v>
      </c>
      <c r="G528" s="126"/>
    </row>
    <row r="529" spans="2:7">
      <c r="B529" s="59">
        <v>12</v>
      </c>
      <c r="C529" s="45" t="s">
        <v>608</v>
      </c>
      <c r="G529" s="126"/>
    </row>
    <row r="530" spans="2:7">
      <c r="B530" s="59">
        <v>13</v>
      </c>
      <c r="C530" s="45" t="s">
        <v>18</v>
      </c>
      <c r="G530" s="126"/>
    </row>
    <row r="531" spans="2:7">
      <c r="B531" s="59">
        <v>14</v>
      </c>
      <c r="C531" s="45" t="s">
        <v>19</v>
      </c>
      <c r="G531" s="126"/>
    </row>
    <row r="532" spans="2:7">
      <c r="B532" s="59">
        <v>15</v>
      </c>
      <c r="C532" s="45" t="s">
        <v>144</v>
      </c>
      <c r="G532" s="126"/>
    </row>
    <row r="533" spans="2:7">
      <c r="B533" s="125"/>
      <c r="G533" s="126"/>
    </row>
    <row r="534" spans="2:7">
      <c r="B534" s="125"/>
      <c r="C534" s="45" t="s">
        <v>742</v>
      </c>
      <c r="G534" s="126"/>
    </row>
    <row r="535" spans="2:7">
      <c r="B535" s="125"/>
      <c r="C535" s="45" t="s">
        <v>822</v>
      </c>
      <c r="G535" s="126"/>
    </row>
    <row r="536" spans="2:7">
      <c r="B536" s="125"/>
      <c r="C536" s="45" t="s">
        <v>833</v>
      </c>
      <c r="G536" s="126"/>
    </row>
    <row r="537" spans="2:7">
      <c r="B537" s="125"/>
      <c r="C537" s="45" t="s">
        <v>859</v>
      </c>
      <c r="G537" s="126"/>
    </row>
    <row r="538" spans="2:7">
      <c r="B538" s="125"/>
      <c r="G538" s="126"/>
    </row>
    <row r="539" spans="2:7">
      <c r="B539" s="125"/>
      <c r="C539" s="124" t="s">
        <v>21</v>
      </c>
      <c r="G539" s="126"/>
    </row>
    <row r="540" spans="2:7">
      <c r="B540" s="125" t="s">
        <v>336</v>
      </c>
      <c r="C540" s="45" t="s">
        <v>19</v>
      </c>
      <c r="G540" s="126"/>
    </row>
    <row r="541" spans="2:7">
      <c r="B541" s="125" t="s">
        <v>336</v>
      </c>
      <c r="C541" s="45" t="s">
        <v>14</v>
      </c>
      <c r="G541" s="126"/>
    </row>
    <row r="542" spans="2:7">
      <c r="B542" s="125" t="s">
        <v>336</v>
      </c>
      <c r="C542" s="45" t="s">
        <v>33</v>
      </c>
      <c r="G542" s="126"/>
    </row>
    <row r="543" spans="2:7">
      <c r="B543" s="125"/>
      <c r="G543" s="126"/>
    </row>
    <row r="544" spans="2:7">
      <c r="B544" s="125"/>
      <c r="C544" s="44" t="s">
        <v>337</v>
      </c>
      <c r="G544" s="126"/>
    </row>
    <row r="545" spans="2:7">
      <c r="B545" s="125" t="s">
        <v>336</v>
      </c>
      <c r="C545" s="45" t="s">
        <v>607</v>
      </c>
      <c r="G545" s="126"/>
    </row>
    <row r="546" spans="2:7">
      <c r="B546" s="125"/>
      <c r="G546" s="126"/>
    </row>
    <row r="547" spans="2:7">
      <c r="B547" s="125"/>
      <c r="C547" s="44" t="s">
        <v>22</v>
      </c>
      <c r="G547" s="126"/>
    </row>
    <row r="548" spans="2:7">
      <c r="B548" s="125" t="s">
        <v>335</v>
      </c>
      <c r="C548" s="45" t="s">
        <v>607</v>
      </c>
      <c r="G548" s="126"/>
    </row>
    <row r="549" spans="2:7">
      <c r="B549" s="125"/>
      <c r="G549" s="126"/>
    </row>
    <row r="550" spans="2:7">
      <c r="B550" s="125"/>
      <c r="C550" s="44" t="s">
        <v>23</v>
      </c>
      <c r="G550" s="126"/>
    </row>
    <row r="551" spans="2:7">
      <c r="B551" s="125" t="s">
        <v>336</v>
      </c>
      <c r="C551" s="112" t="s">
        <v>33</v>
      </c>
      <c r="G551" s="126"/>
    </row>
    <row r="552" spans="2:7">
      <c r="B552" s="125" t="s">
        <v>336</v>
      </c>
      <c r="C552" s="112" t="s">
        <v>207</v>
      </c>
      <c r="G552" s="126"/>
    </row>
    <row r="553" spans="2:7" ht="13.5" thickBot="1">
      <c r="B553" s="140"/>
      <c r="C553" s="131"/>
      <c r="D553" s="131"/>
      <c r="E553" s="141"/>
      <c r="F553" s="131"/>
      <c r="G553" s="135"/>
    </row>
    <row r="555" spans="2:7" ht="13.5" thickBot="1"/>
    <row r="556" spans="2:7" ht="13.5" thickBot="1">
      <c r="B556" s="239" t="s">
        <v>861</v>
      </c>
      <c r="C556" s="240"/>
      <c r="D556" s="240"/>
      <c r="E556" s="240"/>
      <c r="F556" s="240"/>
      <c r="G556" s="241"/>
    </row>
    <row r="557" spans="2:7" ht="13.5" thickBot="1">
      <c r="B557" s="125"/>
      <c r="G557" s="126"/>
    </row>
    <row r="558" spans="2:7">
      <c r="B558" s="125"/>
      <c r="C558" s="127" t="s">
        <v>27</v>
      </c>
      <c r="D558" s="128"/>
      <c r="E558" s="128" t="s">
        <v>93</v>
      </c>
      <c r="F558" s="129">
        <v>16</v>
      </c>
      <c r="G558" s="126"/>
    </row>
    <row r="559" spans="2:7" ht="13.5" thickBot="1">
      <c r="B559" s="125"/>
      <c r="C559" s="130"/>
      <c r="D559" s="131"/>
      <c r="E559" s="131" t="s">
        <v>1</v>
      </c>
      <c r="F559" s="132">
        <v>36</v>
      </c>
      <c r="G559" s="126"/>
    </row>
    <row r="560" spans="2:7" ht="13.5" thickBot="1">
      <c r="B560" s="125"/>
      <c r="G560" s="126"/>
    </row>
    <row r="561" spans="2:7">
      <c r="B561" s="125"/>
      <c r="C561" s="127" t="s">
        <v>4</v>
      </c>
      <c r="D561" s="128"/>
      <c r="E561" s="128" t="s">
        <v>93</v>
      </c>
      <c r="F561" s="133"/>
      <c r="G561" s="126"/>
    </row>
    <row r="562" spans="2:7">
      <c r="B562" s="125"/>
      <c r="C562" s="59" t="s">
        <v>2</v>
      </c>
      <c r="E562" s="45" t="s">
        <v>326</v>
      </c>
      <c r="F562" s="126"/>
      <c r="G562" s="126"/>
    </row>
    <row r="563" spans="2:7" ht="13.5" thickBot="1">
      <c r="B563" s="125"/>
      <c r="C563" s="130" t="s">
        <v>3</v>
      </c>
      <c r="D563" s="131"/>
      <c r="E563" s="134" t="s">
        <v>326</v>
      </c>
      <c r="F563" s="135"/>
      <c r="G563" s="126"/>
    </row>
    <row r="564" spans="2:7" ht="13.5" thickBot="1">
      <c r="B564" s="125"/>
      <c r="G564" s="126"/>
    </row>
    <row r="565" spans="2:7" ht="13.5" thickBot="1">
      <c r="B565" s="125"/>
      <c r="C565" s="136" t="s">
        <v>29</v>
      </c>
      <c r="D565" s="137"/>
      <c r="E565" s="138" t="s">
        <v>219</v>
      </c>
      <c r="F565" s="139"/>
      <c r="G565" s="126"/>
    </row>
    <row r="566" spans="2:7">
      <c r="B566" s="125"/>
      <c r="G566" s="126"/>
    </row>
    <row r="567" spans="2:7">
      <c r="B567" s="125"/>
      <c r="C567" s="45" t="s">
        <v>5</v>
      </c>
      <c r="G567" s="126"/>
    </row>
    <row r="568" spans="2:7">
      <c r="B568" s="125"/>
      <c r="G568" s="126"/>
    </row>
    <row r="569" spans="2:7">
      <c r="B569" s="59">
        <v>1</v>
      </c>
      <c r="C569" s="45" t="s">
        <v>182</v>
      </c>
      <c r="G569" s="126"/>
    </row>
    <row r="570" spans="2:7">
      <c r="B570" s="59">
        <v>2</v>
      </c>
      <c r="C570" s="45" t="s">
        <v>11</v>
      </c>
      <c r="G570" s="126"/>
    </row>
    <row r="571" spans="2:7">
      <c r="B571" s="59">
        <v>3</v>
      </c>
      <c r="C571" s="45" t="s">
        <v>53</v>
      </c>
      <c r="G571" s="126"/>
    </row>
    <row r="572" spans="2:7">
      <c r="B572" s="59">
        <v>4</v>
      </c>
      <c r="C572" s="45" t="s">
        <v>10</v>
      </c>
      <c r="G572" s="126"/>
    </row>
    <row r="573" spans="2:7">
      <c r="B573" s="59">
        <v>5</v>
      </c>
      <c r="C573" s="45" t="s">
        <v>207</v>
      </c>
      <c r="G573" s="126"/>
    </row>
    <row r="574" spans="2:7">
      <c r="B574" s="59">
        <v>6</v>
      </c>
      <c r="C574" s="45" t="s">
        <v>13</v>
      </c>
      <c r="G574" s="126"/>
    </row>
    <row r="575" spans="2:7">
      <c r="B575" s="59">
        <v>7</v>
      </c>
      <c r="C575" s="45" t="s">
        <v>34</v>
      </c>
      <c r="G575" s="126"/>
    </row>
    <row r="576" spans="2:7">
      <c r="B576" s="59">
        <v>8</v>
      </c>
      <c r="C576" s="45" t="s">
        <v>33</v>
      </c>
      <c r="G576" s="126"/>
    </row>
    <row r="577" spans="2:7">
      <c r="B577" s="59">
        <v>9</v>
      </c>
      <c r="C577" s="45" t="s">
        <v>14</v>
      </c>
      <c r="G577" s="126"/>
    </row>
    <row r="578" spans="2:7">
      <c r="B578" s="59">
        <v>10</v>
      </c>
      <c r="C578" s="45" t="s">
        <v>607</v>
      </c>
      <c r="G578" s="126"/>
    </row>
    <row r="579" spans="2:7">
      <c r="B579" s="59">
        <v>11</v>
      </c>
      <c r="C579" s="45" t="s">
        <v>217</v>
      </c>
      <c r="G579" s="126"/>
    </row>
    <row r="580" spans="2:7">
      <c r="B580" s="59">
        <v>12</v>
      </c>
      <c r="C580" s="45" t="s">
        <v>608</v>
      </c>
      <c r="G580" s="126"/>
    </row>
    <row r="581" spans="2:7">
      <c r="B581" s="59">
        <v>13</v>
      </c>
      <c r="C581" s="45" t="s">
        <v>18</v>
      </c>
      <c r="G581" s="126"/>
    </row>
    <row r="582" spans="2:7">
      <c r="B582" s="59">
        <v>14</v>
      </c>
      <c r="C582" s="45" t="s">
        <v>19</v>
      </c>
      <c r="G582" s="126"/>
    </row>
    <row r="583" spans="2:7">
      <c r="B583" s="59">
        <v>15</v>
      </c>
      <c r="C583" s="45" t="s">
        <v>144</v>
      </c>
      <c r="G583" s="126"/>
    </row>
    <row r="584" spans="2:7">
      <c r="B584" s="125"/>
      <c r="G584" s="126"/>
    </row>
    <row r="585" spans="2:7">
      <c r="B585" s="125"/>
      <c r="C585" s="45" t="s">
        <v>821</v>
      </c>
      <c r="G585" s="126"/>
    </row>
    <row r="586" spans="2:7">
      <c r="B586" s="125"/>
      <c r="C586" s="45" t="s">
        <v>668</v>
      </c>
      <c r="G586" s="126"/>
    </row>
    <row r="587" spans="2:7">
      <c r="B587" s="125"/>
      <c r="C587" s="45" t="s">
        <v>862</v>
      </c>
      <c r="G587" s="126"/>
    </row>
    <row r="588" spans="2:7">
      <c r="B588" s="125"/>
      <c r="C588" s="45" t="s">
        <v>822</v>
      </c>
      <c r="G588" s="126"/>
    </row>
    <row r="589" spans="2:7">
      <c r="B589" s="125"/>
      <c r="C589" s="45" t="s">
        <v>858</v>
      </c>
      <c r="G589" s="126"/>
    </row>
    <row r="590" spans="2:7">
      <c r="B590" s="125"/>
      <c r="C590" s="45" t="s">
        <v>694</v>
      </c>
      <c r="G590" s="126"/>
    </row>
    <row r="591" spans="2:7">
      <c r="B591" s="125"/>
      <c r="C591" s="45" t="s">
        <v>863</v>
      </c>
      <c r="G591" s="126"/>
    </row>
    <row r="592" spans="2:7">
      <c r="B592" s="125"/>
      <c r="C592" s="45" t="s">
        <v>859</v>
      </c>
      <c r="G592" s="126"/>
    </row>
    <row r="593" spans="2:7">
      <c r="B593" s="125"/>
      <c r="G593" s="126"/>
    </row>
    <row r="594" spans="2:7">
      <c r="B594" s="125"/>
      <c r="C594" s="124" t="s">
        <v>21</v>
      </c>
      <c r="G594" s="126"/>
    </row>
    <row r="595" spans="2:7">
      <c r="B595" s="125" t="s">
        <v>336</v>
      </c>
      <c r="C595" s="45" t="s">
        <v>18</v>
      </c>
      <c r="G595" s="126"/>
    </row>
    <row r="596" spans="2:7">
      <c r="B596" s="125" t="s">
        <v>336</v>
      </c>
      <c r="C596" s="45" t="s">
        <v>34</v>
      </c>
      <c r="G596" s="126"/>
    </row>
    <row r="597" spans="2:7">
      <c r="B597" s="125" t="s">
        <v>336</v>
      </c>
      <c r="C597" s="45" t="s">
        <v>19</v>
      </c>
      <c r="G597" s="126"/>
    </row>
    <row r="598" spans="2:7">
      <c r="B598" s="125" t="s">
        <v>336</v>
      </c>
      <c r="C598" s="45" t="s">
        <v>214</v>
      </c>
      <c r="G598" s="126"/>
    </row>
    <row r="599" spans="2:7">
      <c r="B599" s="125" t="s">
        <v>336</v>
      </c>
      <c r="C599" s="45" t="s">
        <v>208</v>
      </c>
      <c r="G599" s="126"/>
    </row>
    <row r="600" spans="2:7">
      <c r="B600" s="125"/>
      <c r="G600" s="126"/>
    </row>
    <row r="601" spans="2:7">
      <c r="B601" s="125"/>
      <c r="C601" s="44" t="s">
        <v>337</v>
      </c>
      <c r="G601" s="126"/>
    </row>
    <row r="602" spans="2:7">
      <c r="B602" s="125" t="s">
        <v>338</v>
      </c>
      <c r="C602" s="112" t="s">
        <v>607</v>
      </c>
      <c r="G602" s="126"/>
    </row>
    <row r="603" spans="2:7">
      <c r="B603" s="125"/>
      <c r="G603" s="126"/>
    </row>
    <row r="604" spans="2:7">
      <c r="B604" s="125"/>
      <c r="C604" s="44" t="s">
        <v>22</v>
      </c>
      <c r="G604" s="126"/>
    </row>
    <row r="605" spans="2:7">
      <c r="B605" s="125" t="s">
        <v>336</v>
      </c>
      <c r="C605" s="45" t="s">
        <v>607</v>
      </c>
      <c r="G605" s="126"/>
    </row>
    <row r="606" spans="2:7">
      <c r="B606" s="125"/>
      <c r="G606" s="126"/>
    </row>
    <row r="607" spans="2:7">
      <c r="B607" s="125"/>
      <c r="C607" s="44" t="s">
        <v>23</v>
      </c>
      <c r="G607" s="126"/>
    </row>
    <row r="608" spans="2:7">
      <c r="B608" s="125" t="s">
        <v>336</v>
      </c>
      <c r="C608" s="112" t="s">
        <v>220</v>
      </c>
      <c r="G608" s="126"/>
    </row>
    <row r="609" spans="2:7" ht="13.5" thickBot="1">
      <c r="B609" s="140"/>
      <c r="C609" s="131"/>
      <c r="D609" s="131"/>
      <c r="E609" s="141"/>
      <c r="F609" s="131"/>
      <c r="G609" s="135"/>
    </row>
    <row r="611" spans="2:7" ht="13.5" thickBot="1"/>
    <row r="612" spans="2:7" ht="13.5" thickBot="1">
      <c r="B612" s="239" t="s">
        <v>864</v>
      </c>
      <c r="C612" s="240"/>
      <c r="D612" s="240"/>
      <c r="E612" s="240"/>
      <c r="F612" s="240"/>
      <c r="G612" s="241"/>
    </row>
    <row r="613" spans="2:7" ht="13.5" thickBot="1">
      <c r="B613" s="125"/>
      <c r="G613" s="126"/>
    </row>
    <row r="614" spans="2:7">
      <c r="B614" s="125"/>
      <c r="C614" s="127" t="s">
        <v>27</v>
      </c>
      <c r="D614" s="128"/>
      <c r="E614" s="128" t="s">
        <v>1</v>
      </c>
      <c r="F614" s="129">
        <v>22</v>
      </c>
      <c r="G614" s="126"/>
    </row>
    <row r="615" spans="2:7" ht="13.5" thickBot="1">
      <c r="B615" s="125"/>
      <c r="C615" s="130"/>
      <c r="D615" s="131"/>
      <c r="E615" s="131" t="s">
        <v>104</v>
      </c>
      <c r="F615" s="132">
        <v>17</v>
      </c>
      <c r="G615" s="126"/>
    </row>
    <row r="616" spans="2:7" ht="13.5" thickBot="1">
      <c r="B616" s="125"/>
      <c r="G616" s="126"/>
    </row>
    <row r="617" spans="2:7">
      <c r="B617" s="125"/>
      <c r="C617" s="127" t="s">
        <v>4</v>
      </c>
      <c r="D617" s="128"/>
      <c r="E617" s="128" t="s">
        <v>1</v>
      </c>
      <c r="F617" s="133" t="s">
        <v>205</v>
      </c>
      <c r="G617" s="126"/>
    </row>
    <row r="618" spans="2:7">
      <c r="B618" s="125"/>
      <c r="C618" s="59" t="s">
        <v>2</v>
      </c>
      <c r="E618" s="45" t="s">
        <v>865</v>
      </c>
      <c r="F618" s="126"/>
      <c r="G618" s="126"/>
    </row>
    <row r="619" spans="2:7" ht="13.5" thickBot="1">
      <c r="B619" s="125"/>
      <c r="C619" s="130" t="s">
        <v>3</v>
      </c>
      <c r="D619" s="131"/>
      <c r="E619" s="134" t="s">
        <v>757</v>
      </c>
      <c r="F619" s="135"/>
      <c r="G619" s="126"/>
    </row>
    <row r="620" spans="2:7" ht="13.5" thickBot="1">
      <c r="B620" s="125"/>
      <c r="G620" s="126"/>
    </row>
    <row r="621" spans="2:7" ht="13.5" thickBot="1">
      <c r="B621" s="125"/>
      <c r="C621" s="136" t="s">
        <v>29</v>
      </c>
      <c r="D621" s="137"/>
      <c r="E621" s="138" t="s">
        <v>321</v>
      </c>
      <c r="F621" s="139"/>
      <c r="G621" s="126"/>
    </row>
    <row r="622" spans="2:7">
      <c r="B622" s="125"/>
      <c r="G622" s="126"/>
    </row>
    <row r="623" spans="2:7">
      <c r="B623" s="125"/>
      <c r="C623" s="45" t="s">
        <v>5</v>
      </c>
      <c r="G623" s="126"/>
    </row>
    <row r="624" spans="2:7">
      <c r="B624" s="125"/>
      <c r="G624" s="126"/>
    </row>
    <row r="625" spans="2:7">
      <c r="B625" s="59">
        <v>1</v>
      </c>
      <c r="C625" s="45" t="s">
        <v>182</v>
      </c>
      <c r="G625" s="126"/>
    </row>
    <row r="626" spans="2:7">
      <c r="B626" s="59">
        <v>2</v>
      </c>
      <c r="C626" s="45" t="s">
        <v>11</v>
      </c>
      <c r="G626" s="126"/>
    </row>
    <row r="627" spans="2:7">
      <c r="B627" s="59">
        <v>3</v>
      </c>
      <c r="C627" s="45" t="s">
        <v>6</v>
      </c>
      <c r="G627" s="126"/>
    </row>
    <row r="628" spans="2:7">
      <c r="B628" s="59">
        <v>4</v>
      </c>
      <c r="C628" s="45" t="s">
        <v>10</v>
      </c>
      <c r="G628" s="126"/>
    </row>
    <row r="629" spans="2:7">
      <c r="B629" s="59">
        <v>5</v>
      </c>
      <c r="C629" s="45" t="s">
        <v>207</v>
      </c>
      <c r="G629" s="126"/>
    </row>
    <row r="630" spans="2:7">
      <c r="B630" s="59">
        <v>6</v>
      </c>
      <c r="C630" s="45" t="s">
        <v>13</v>
      </c>
      <c r="G630" s="126"/>
    </row>
    <row r="631" spans="2:7">
      <c r="B631" s="59">
        <v>7</v>
      </c>
      <c r="C631" s="45" t="s">
        <v>34</v>
      </c>
      <c r="G631" s="126"/>
    </row>
    <row r="632" spans="2:7">
      <c r="B632" s="59">
        <v>8</v>
      </c>
      <c r="C632" s="45" t="s">
        <v>33</v>
      </c>
      <c r="G632" s="126"/>
    </row>
    <row r="633" spans="2:7">
      <c r="B633" s="59">
        <v>9</v>
      </c>
      <c r="C633" s="45" t="s">
        <v>14</v>
      </c>
      <c r="G633" s="126"/>
    </row>
    <row r="634" spans="2:7">
      <c r="B634" s="59">
        <v>10</v>
      </c>
      <c r="C634" s="45" t="s">
        <v>607</v>
      </c>
      <c r="G634" s="126"/>
    </row>
    <row r="635" spans="2:7">
      <c r="B635" s="59">
        <v>11</v>
      </c>
      <c r="C635" s="45" t="s">
        <v>214</v>
      </c>
      <c r="G635" s="126"/>
    </row>
    <row r="636" spans="2:7">
      <c r="B636" s="59">
        <v>12</v>
      </c>
      <c r="C636" s="45" t="s">
        <v>608</v>
      </c>
      <c r="G636" s="126"/>
    </row>
    <row r="637" spans="2:7">
      <c r="B637" s="59">
        <v>13</v>
      </c>
      <c r="C637" s="45" t="s">
        <v>18</v>
      </c>
      <c r="G637" s="126"/>
    </row>
    <row r="638" spans="2:7">
      <c r="B638" s="59">
        <v>14</v>
      </c>
      <c r="C638" s="45" t="s">
        <v>19</v>
      </c>
      <c r="G638" s="126"/>
    </row>
    <row r="639" spans="2:7">
      <c r="B639" s="59">
        <v>15</v>
      </c>
      <c r="C639" s="45" t="s">
        <v>144</v>
      </c>
      <c r="G639" s="126"/>
    </row>
    <row r="640" spans="2:7">
      <c r="B640" s="125"/>
      <c r="G640" s="126"/>
    </row>
    <row r="641" spans="2:7">
      <c r="B641" s="125"/>
      <c r="C641" s="45" t="s">
        <v>758</v>
      </c>
      <c r="G641" s="126"/>
    </row>
    <row r="642" spans="2:7">
      <c r="B642" s="125"/>
      <c r="C642" s="45" t="s">
        <v>852</v>
      </c>
      <c r="G642" s="126"/>
    </row>
    <row r="643" spans="2:7">
      <c r="B643" s="125"/>
      <c r="G643" s="126"/>
    </row>
    <row r="644" spans="2:7">
      <c r="B644" s="125"/>
      <c r="C644" s="124" t="s">
        <v>21</v>
      </c>
      <c r="G644" s="126"/>
    </row>
    <row r="645" spans="2:7">
      <c r="B645" s="125" t="s">
        <v>336</v>
      </c>
      <c r="C645" s="45" t="s">
        <v>6</v>
      </c>
      <c r="G645" s="126"/>
    </row>
    <row r="646" spans="2:7">
      <c r="B646" s="125" t="s">
        <v>336</v>
      </c>
      <c r="C646" s="45" t="s">
        <v>34</v>
      </c>
      <c r="G646" s="126"/>
    </row>
    <row r="647" spans="2:7">
      <c r="B647" s="125" t="s">
        <v>336</v>
      </c>
      <c r="C647" s="45" t="s">
        <v>144</v>
      </c>
      <c r="G647" s="126"/>
    </row>
    <row r="648" spans="2:7">
      <c r="B648" s="125" t="s">
        <v>336</v>
      </c>
      <c r="C648" s="45" t="s">
        <v>214</v>
      </c>
      <c r="G648" s="126"/>
    </row>
    <row r="649" spans="2:7">
      <c r="B649" s="125"/>
      <c r="G649" s="126"/>
    </row>
    <row r="650" spans="2:7">
      <c r="B650" s="125"/>
      <c r="C650" s="44" t="s">
        <v>337</v>
      </c>
      <c r="G650" s="126"/>
    </row>
    <row r="651" spans="2:7">
      <c r="B651" s="125" t="s">
        <v>336</v>
      </c>
      <c r="C651" s="112" t="s">
        <v>607</v>
      </c>
      <c r="G651" s="126"/>
    </row>
    <row r="652" spans="2:7">
      <c r="B652" s="125"/>
      <c r="G652" s="126"/>
    </row>
    <row r="653" spans="2:7">
      <c r="B653" s="125"/>
      <c r="C653" s="44" t="s">
        <v>23</v>
      </c>
      <c r="G653" s="126"/>
    </row>
    <row r="654" spans="2:7">
      <c r="B654" s="125"/>
      <c r="C654" s="112" t="s">
        <v>339</v>
      </c>
      <c r="G654" s="126"/>
    </row>
    <row r="655" spans="2:7" ht="13.5" thickBot="1">
      <c r="B655" s="140"/>
      <c r="C655" s="131"/>
      <c r="D655" s="131"/>
      <c r="E655" s="141"/>
      <c r="F655" s="131"/>
      <c r="G655" s="135"/>
    </row>
    <row r="657" spans="2:7" ht="13.5" thickBot="1"/>
    <row r="658" spans="2:7" ht="13.5" thickBot="1">
      <c r="B658" s="239" t="s">
        <v>866</v>
      </c>
      <c r="C658" s="240"/>
      <c r="D658" s="240"/>
      <c r="E658" s="240"/>
      <c r="F658" s="240"/>
      <c r="G658" s="241"/>
    </row>
    <row r="659" spans="2:7" ht="13.5" thickBot="1">
      <c r="B659" s="125"/>
      <c r="G659" s="126"/>
    </row>
    <row r="660" spans="2:7">
      <c r="B660" s="125"/>
      <c r="C660" s="127" t="s">
        <v>27</v>
      </c>
      <c r="D660" s="128"/>
      <c r="E660" s="128" t="s">
        <v>1</v>
      </c>
      <c r="F660" s="129">
        <v>41</v>
      </c>
      <c r="G660" s="126"/>
    </row>
    <row r="661" spans="2:7" ht="13.5" thickBot="1">
      <c r="B661" s="125"/>
      <c r="C661" s="130"/>
      <c r="D661" s="131"/>
      <c r="E661" s="131" t="s">
        <v>73</v>
      </c>
      <c r="F661" s="132">
        <v>12</v>
      </c>
      <c r="G661" s="126"/>
    </row>
    <row r="662" spans="2:7" ht="13.5" thickBot="1">
      <c r="B662" s="125"/>
      <c r="G662" s="126"/>
    </row>
    <row r="663" spans="2:7">
      <c r="B663" s="125"/>
      <c r="C663" s="127" t="s">
        <v>4</v>
      </c>
      <c r="D663" s="128"/>
      <c r="E663" s="128" t="s">
        <v>1</v>
      </c>
      <c r="F663" s="133" t="s">
        <v>205</v>
      </c>
      <c r="G663" s="126"/>
    </row>
    <row r="664" spans="2:7">
      <c r="B664" s="125"/>
      <c r="C664" s="59" t="s">
        <v>2</v>
      </c>
      <c r="E664" s="45" t="s">
        <v>326</v>
      </c>
      <c r="F664" s="126"/>
      <c r="G664" s="126"/>
    </row>
    <row r="665" spans="2:7" ht="13.5" thickBot="1">
      <c r="B665" s="125"/>
      <c r="C665" s="130" t="s">
        <v>3</v>
      </c>
      <c r="D665" s="131"/>
      <c r="E665" s="134" t="s">
        <v>326</v>
      </c>
      <c r="F665" s="135"/>
      <c r="G665" s="126"/>
    </row>
    <row r="666" spans="2:7" ht="13.5" thickBot="1">
      <c r="B666" s="125"/>
      <c r="G666" s="126"/>
    </row>
    <row r="667" spans="2:7" ht="13.5" thickBot="1">
      <c r="B667" s="125"/>
      <c r="C667" s="136" t="s">
        <v>29</v>
      </c>
      <c r="D667" s="137"/>
      <c r="E667" s="138" t="s">
        <v>302</v>
      </c>
      <c r="F667" s="139"/>
      <c r="G667" s="126"/>
    </row>
    <row r="668" spans="2:7">
      <c r="B668" s="125"/>
      <c r="G668" s="126"/>
    </row>
    <row r="669" spans="2:7">
      <c r="B669" s="125"/>
      <c r="C669" s="45" t="s">
        <v>5</v>
      </c>
      <c r="G669" s="126"/>
    </row>
    <row r="670" spans="2:7">
      <c r="B670" s="125"/>
      <c r="G670" s="126"/>
    </row>
    <row r="671" spans="2:7">
      <c r="B671" s="59">
        <v>1</v>
      </c>
      <c r="C671" s="45" t="s">
        <v>182</v>
      </c>
      <c r="G671" s="126"/>
    </row>
    <row r="672" spans="2:7">
      <c r="B672" s="59">
        <v>2</v>
      </c>
      <c r="C672" s="45" t="s">
        <v>11</v>
      </c>
      <c r="G672" s="126"/>
    </row>
    <row r="673" spans="2:7">
      <c r="B673" s="59">
        <v>3</v>
      </c>
      <c r="C673" s="45" t="s">
        <v>6</v>
      </c>
      <c r="G673" s="126"/>
    </row>
    <row r="674" spans="2:7">
      <c r="B674" s="59">
        <v>4</v>
      </c>
      <c r="C674" s="45" t="s">
        <v>10</v>
      </c>
      <c r="G674" s="126"/>
    </row>
    <row r="675" spans="2:7">
      <c r="B675" s="59">
        <v>5</v>
      </c>
      <c r="C675" s="45" t="s">
        <v>207</v>
      </c>
      <c r="G675" s="126"/>
    </row>
    <row r="676" spans="2:7">
      <c r="B676" s="59">
        <v>6</v>
      </c>
      <c r="C676" s="45" t="s">
        <v>13</v>
      </c>
      <c r="G676" s="126"/>
    </row>
    <row r="677" spans="2:7">
      <c r="B677" s="59">
        <v>7</v>
      </c>
      <c r="C677" s="45" t="s">
        <v>34</v>
      </c>
      <c r="G677" s="126"/>
    </row>
    <row r="678" spans="2:7">
      <c r="B678" s="59">
        <v>8</v>
      </c>
      <c r="C678" s="45" t="s">
        <v>33</v>
      </c>
      <c r="G678" s="126"/>
    </row>
    <row r="679" spans="2:7">
      <c r="B679" s="59">
        <v>9</v>
      </c>
      <c r="C679" s="45" t="s">
        <v>14</v>
      </c>
      <c r="G679" s="126"/>
    </row>
    <row r="680" spans="2:7">
      <c r="B680" s="59">
        <v>10</v>
      </c>
      <c r="C680" s="45" t="s">
        <v>607</v>
      </c>
      <c r="G680" s="126"/>
    </row>
    <row r="681" spans="2:7">
      <c r="B681" s="59">
        <v>11</v>
      </c>
      <c r="C681" s="45" t="s">
        <v>214</v>
      </c>
      <c r="G681" s="126"/>
    </row>
    <row r="682" spans="2:7">
      <c r="B682" s="59">
        <v>12</v>
      </c>
      <c r="C682" s="45" t="s">
        <v>608</v>
      </c>
      <c r="G682" s="126"/>
    </row>
    <row r="683" spans="2:7">
      <c r="B683" s="59">
        <v>13</v>
      </c>
      <c r="C683" s="45" t="s">
        <v>18</v>
      </c>
      <c r="G683" s="126"/>
    </row>
    <row r="684" spans="2:7">
      <c r="B684" s="59">
        <v>14</v>
      </c>
      <c r="C684" s="45" t="s">
        <v>19</v>
      </c>
      <c r="G684" s="126"/>
    </row>
    <row r="685" spans="2:7">
      <c r="B685" s="59">
        <v>15</v>
      </c>
      <c r="C685" s="45" t="s">
        <v>144</v>
      </c>
      <c r="G685" s="126"/>
    </row>
    <row r="686" spans="2:7">
      <c r="B686" s="125"/>
      <c r="G686" s="126"/>
    </row>
    <row r="687" spans="2:7">
      <c r="B687" s="125"/>
      <c r="C687" s="45" t="s">
        <v>867</v>
      </c>
      <c r="G687" s="126"/>
    </row>
    <row r="688" spans="2:7">
      <c r="B688" s="125"/>
      <c r="C688" s="45" t="s">
        <v>868</v>
      </c>
      <c r="G688" s="126"/>
    </row>
    <row r="689" spans="2:7">
      <c r="B689" s="125"/>
      <c r="C689" s="45" t="s">
        <v>869</v>
      </c>
      <c r="G689" s="126"/>
    </row>
    <row r="690" spans="2:7">
      <c r="B690" s="125"/>
      <c r="C690" s="45" t="s">
        <v>863</v>
      </c>
      <c r="G690" s="126"/>
    </row>
    <row r="691" spans="2:7">
      <c r="B691" s="125"/>
      <c r="C691" s="45" t="s">
        <v>870</v>
      </c>
      <c r="G691" s="126"/>
    </row>
    <row r="692" spans="2:7">
      <c r="B692" s="125"/>
      <c r="G692" s="126"/>
    </row>
    <row r="693" spans="2:7">
      <c r="B693" s="125"/>
      <c r="C693" s="124" t="s">
        <v>21</v>
      </c>
      <c r="G693" s="126"/>
    </row>
    <row r="694" spans="2:7">
      <c r="B694" s="125" t="s">
        <v>336</v>
      </c>
      <c r="C694" s="45" t="s">
        <v>33</v>
      </c>
      <c r="G694" s="126"/>
    </row>
    <row r="695" spans="2:7">
      <c r="B695" s="125" t="s">
        <v>336</v>
      </c>
      <c r="C695" s="45" t="s">
        <v>19</v>
      </c>
      <c r="G695" s="126"/>
    </row>
    <row r="696" spans="2:7">
      <c r="B696" s="125" t="s">
        <v>336</v>
      </c>
      <c r="C696" s="45" t="s">
        <v>15</v>
      </c>
      <c r="G696" s="126"/>
    </row>
    <row r="697" spans="2:7">
      <c r="B697" s="125" t="s">
        <v>336</v>
      </c>
      <c r="C697" s="45" t="s">
        <v>214</v>
      </c>
      <c r="G697" s="126"/>
    </row>
    <row r="698" spans="2:7">
      <c r="B698" s="125" t="s">
        <v>336</v>
      </c>
      <c r="C698" s="45" t="s">
        <v>207</v>
      </c>
      <c r="G698" s="126"/>
    </row>
    <row r="699" spans="2:7">
      <c r="B699" s="125" t="s">
        <v>336</v>
      </c>
      <c r="C699" s="45" t="s">
        <v>18</v>
      </c>
      <c r="G699" s="126"/>
    </row>
    <row r="700" spans="2:7">
      <c r="B700" s="125"/>
      <c r="G700" s="126"/>
    </row>
    <row r="701" spans="2:7">
      <c r="B701" s="125"/>
      <c r="C701" s="44" t="s">
        <v>337</v>
      </c>
      <c r="G701" s="126"/>
    </row>
    <row r="702" spans="2:7">
      <c r="B702" s="125" t="s">
        <v>338</v>
      </c>
      <c r="C702" s="112" t="s">
        <v>607</v>
      </c>
      <c r="G702" s="126"/>
    </row>
    <row r="703" spans="2:7">
      <c r="B703" s="125"/>
      <c r="G703" s="126"/>
    </row>
    <row r="704" spans="2:7">
      <c r="B704" s="125"/>
      <c r="C704" s="44" t="s">
        <v>22</v>
      </c>
      <c r="G704" s="126"/>
    </row>
    <row r="705" spans="2:7">
      <c r="B705" s="125" t="s">
        <v>336</v>
      </c>
      <c r="C705" s="45" t="s">
        <v>607</v>
      </c>
      <c r="G705" s="126"/>
    </row>
    <row r="706" spans="2:7">
      <c r="B706" s="125"/>
      <c r="G706" s="126"/>
    </row>
    <row r="707" spans="2:7">
      <c r="B707" s="125"/>
      <c r="C707" s="44" t="s">
        <v>23</v>
      </c>
      <c r="G707" s="126"/>
    </row>
    <row r="708" spans="2:7">
      <c r="B708" s="125" t="s">
        <v>336</v>
      </c>
      <c r="C708" s="112" t="s">
        <v>12</v>
      </c>
      <c r="G708" s="126"/>
    </row>
    <row r="709" spans="2:7">
      <c r="B709" s="125" t="s">
        <v>336</v>
      </c>
      <c r="C709" s="112" t="s">
        <v>18</v>
      </c>
      <c r="G709" s="126"/>
    </row>
    <row r="710" spans="2:7" ht="13.5" thickBot="1">
      <c r="B710" s="140"/>
      <c r="C710" s="131"/>
      <c r="D710" s="131"/>
      <c r="E710" s="141"/>
      <c r="F710" s="131"/>
      <c r="G710" s="135"/>
    </row>
    <row r="712" spans="2:7" ht="13.5" thickBot="1"/>
    <row r="713" spans="2:7" ht="13.5" thickBot="1">
      <c r="B713" s="239" t="s">
        <v>871</v>
      </c>
      <c r="C713" s="240"/>
      <c r="D713" s="240"/>
      <c r="E713" s="240"/>
      <c r="F713" s="240"/>
      <c r="G713" s="241"/>
    </row>
    <row r="714" spans="2:7" ht="13.5" thickBot="1">
      <c r="B714" s="125"/>
      <c r="G714" s="126"/>
    </row>
    <row r="715" spans="2:7">
      <c r="B715" s="125"/>
      <c r="C715" s="127" t="s">
        <v>27</v>
      </c>
      <c r="D715" s="128"/>
      <c r="E715" s="128" t="s">
        <v>62</v>
      </c>
      <c r="F715" s="129">
        <v>27</v>
      </c>
      <c r="G715" s="126"/>
    </row>
    <row r="716" spans="2:7" ht="13.5" thickBot="1">
      <c r="B716" s="125"/>
      <c r="C716" s="130"/>
      <c r="D716" s="131"/>
      <c r="E716" s="131" t="s">
        <v>1</v>
      </c>
      <c r="F716" s="132">
        <v>20</v>
      </c>
      <c r="G716" s="126"/>
    </row>
    <row r="717" spans="2:7" ht="13.5" thickBot="1">
      <c r="B717" s="125"/>
      <c r="G717" s="126"/>
    </row>
    <row r="718" spans="2:7">
      <c r="B718" s="125"/>
      <c r="C718" s="127" t="s">
        <v>4</v>
      </c>
      <c r="D718" s="128"/>
      <c r="E718" s="128" t="s">
        <v>62</v>
      </c>
      <c r="F718" s="133"/>
      <c r="G718" s="126"/>
    </row>
    <row r="719" spans="2:7">
      <c r="B719" s="125"/>
      <c r="C719" s="59" t="s">
        <v>2</v>
      </c>
      <c r="E719" s="45" t="s">
        <v>404</v>
      </c>
      <c r="F719" s="126"/>
      <c r="G719" s="126"/>
    </row>
    <row r="720" spans="2:7" ht="13.5" thickBot="1">
      <c r="B720" s="125"/>
      <c r="C720" s="130" t="s">
        <v>3</v>
      </c>
      <c r="D720" s="131"/>
      <c r="E720" s="134" t="s">
        <v>326</v>
      </c>
      <c r="F720" s="135"/>
      <c r="G720" s="126"/>
    </row>
    <row r="721" spans="2:7" ht="13.5" thickBot="1">
      <c r="B721" s="125"/>
      <c r="G721" s="126"/>
    </row>
    <row r="722" spans="2:7" ht="13.5" thickBot="1">
      <c r="B722" s="125"/>
      <c r="C722" s="136" t="s">
        <v>29</v>
      </c>
      <c r="D722" s="137"/>
      <c r="E722" s="138" t="s">
        <v>307</v>
      </c>
      <c r="F722" s="139"/>
      <c r="G722" s="126"/>
    </row>
    <row r="723" spans="2:7">
      <c r="B723" s="125"/>
      <c r="G723" s="126"/>
    </row>
    <row r="724" spans="2:7">
      <c r="B724" s="125"/>
      <c r="C724" s="45" t="s">
        <v>5</v>
      </c>
      <c r="G724" s="126"/>
    </row>
    <row r="725" spans="2:7">
      <c r="B725" s="125"/>
      <c r="G725" s="126"/>
    </row>
    <row r="726" spans="2:7">
      <c r="B726" s="59">
        <v>1</v>
      </c>
      <c r="C726" s="45" t="s">
        <v>182</v>
      </c>
      <c r="G726" s="126"/>
    </row>
    <row r="727" spans="2:7">
      <c r="B727" s="59">
        <v>2</v>
      </c>
      <c r="C727" s="45" t="s">
        <v>11</v>
      </c>
      <c r="G727" s="126"/>
    </row>
    <row r="728" spans="2:7">
      <c r="B728" s="59">
        <v>3</v>
      </c>
      <c r="C728" s="45" t="s">
        <v>6</v>
      </c>
      <c r="G728" s="126"/>
    </row>
    <row r="729" spans="2:7">
      <c r="B729" s="59">
        <v>4</v>
      </c>
      <c r="C729" s="45" t="s">
        <v>10</v>
      </c>
      <c r="G729" s="126"/>
    </row>
    <row r="730" spans="2:7">
      <c r="B730" s="59">
        <v>5</v>
      </c>
      <c r="C730" s="45" t="s">
        <v>207</v>
      </c>
      <c r="G730" s="126"/>
    </row>
    <row r="731" spans="2:7">
      <c r="B731" s="59">
        <v>6</v>
      </c>
      <c r="C731" s="45" t="s">
        <v>75</v>
      </c>
      <c r="G731" s="126"/>
    </row>
    <row r="732" spans="2:7">
      <c r="B732" s="59">
        <v>7</v>
      </c>
      <c r="C732" s="45" t="s">
        <v>34</v>
      </c>
      <c r="G732" s="126"/>
    </row>
    <row r="733" spans="2:7">
      <c r="B733" s="59">
        <v>8</v>
      </c>
      <c r="C733" s="45" t="s">
        <v>33</v>
      </c>
      <c r="G733" s="126"/>
    </row>
    <row r="734" spans="2:7">
      <c r="B734" s="59">
        <v>9</v>
      </c>
      <c r="C734" s="45" t="s">
        <v>14</v>
      </c>
      <c r="G734" s="126"/>
    </row>
    <row r="735" spans="2:7">
      <c r="B735" s="59">
        <v>10</v>
      </c>
      <c r="C735" s="45" t="s">
        <v>607</v>
      </c>
      <c r="G735" s="126"/>
    </row>
    <row r="736" spans="2:7">
      <c r="B736" s="59">
        <v>11</v>
      </c>
      <c r="C736" s="45" t="s">
        <v>214</v>
      </c>
      <c r="G736" s="126"/>
    </row>
    <row r="737" spans="2:7">
      <c r="B737" s="59">
        <v>12</v>
      </c>
      <c r="C737" s="45" t="s">
        <v>608</v>
      </c>
      <c r="G737" s="126"/>
    </row>
    <row r="738" spans="2:7">
      <c r="B738" s="59">
        <v>13</v>
      </c>
      <c r="C738" s="45" t="s">
        <v>18</v>
      </c>
      <c r="G738" s="126"/>
    </row>
    <row r="739" spans="2:7">
      <c r="B739" s="59">
        <v>14</v>
      </c>
      <c r="C739" s="45" t="s">
        <v>19</v>
      </c>
      <c r="G739" s="126"/>
    </row>
    <row r="740" spans="2:7">
      <c r="B740" s="59">
        <v>15</v>
      </c>
      <c r="C740" s="45" t="s">
        <v>144</v>
      </c>
      <c r="G740" s="126"/>
    </row>
    <row r="741" spans="2:7">
      <c r="B741" s="125"/>
      <c r="G741" s="126"/>
    </row>
    <row r="742" spans="2:7">
      <c r="B742" s="125"/>
      <c r="C742" s="45" t="s">
        <v>872</v>
      </c>
      <c r="G742" s="126"/>
    </row>
    <row r="743" spans="2:7">
      <c r="B743" s="125"/>
      <c r="C743" s="45" t="s">
        <v>873</v>
      </c>
      <c r="G743" s="126"/>
    </row>
    <row r="744" spans="2:7">
      <c r="B744" s="125"/>
      <c r="C744" s="45" t="s">
        <v>874</v>
      </c>
      <c r="G744" s="126"/>
    </row>
    <row r="745" spans="2:7">
      <c r="B745" s="125"/>
      <c r="G745" s="126"/>
    </row>
    <row r="746" spans="2:7">
      <c r="B746" s="125"/>
      <c r="C746" s="124" t="s">
        <v>21</v>
      </c>
      <c r="G746" s="126"/>
    </row>
    <row r="747" spans="2:7">
      <c r="B747" s="125" t="s">
        <v>336</v>
      </c>
      <c r="C747" s="45" t="s">
        <v>34</v>
      </c>
      <c r="G747" s="126"/>
    </row>
    <row r="748" spans="2:7">
      <c r="B748" s="125" t="s">
        <v>336</v>
      </c>
      <c r="C748" s="45" t="s">
        <v>144</v>
      </c>
      <c r="G748" s="126"/>
    </row>
    <row r="749" spans="2:7">
      <c r="B749" s="125" t="s">
        <v>336</v>
      </c>
      <c r="C749" s="45" t="s">
        <v>56</v>
      </c>
      <c r="G749" s="126"/>
    </row>
    <row r="750" spans="2:7">
      <c r="B750" s="125"/>
      <c r="G750" s="126"/>
    </row>
    <row r="751" spans="2:7">
      <c r="B751" s="125"/>
      <c r="C751" s="44" t="s">
        <v>337</v>
      </c>
      <c r="G751" s="126"/>
    </row>
    <row r="752" spans="2:7">
      <c r="B752" s="125" t="s">
        <v>336</v>
      </c>
      <c r="C752" s="112" t="s">
        <v>607</v>
      </c>
      <c r="G752" s="126"/>
    </row>
    <row r="753" spans="2:7">
      <c r="B753" s="125"/>
      <c r="G753" s="126"/>
    </row>
    <row r="754" spans="2:7">
      <c r="B754" s="125"/>
      <c r="C754" s="44" t="s">
        <v>22</v>
      </c>
      <c r="G754" s="126"/>
    </row>
    <row r="755" spans="2:7">
      <c r="B755" s="125" t="s">
        <v>336</v>
      </c>
      <c r="C755" s="45" t="s">
        <v>607</v>
      </c>
      <c r="G755" s="126"/>
    </row>
    <row r="756" spans="2:7">
      <c r="B756" s="125"/>
      <c r="G756" s="126"/>
    </row>
    <row r="757" spans="2:7">
      <c r="B757" s="125"/>
      <c r="C757" s="44" t="s">
        <v>23</v>
      </c>
      <c r="G757" s="126"/>
    </row>
    <row r="758" spans="2:7">
      <c r="B758" s="125" t="s">
        <v>352</v>
      </c>
      <c r="C758" s="112" t="s">
        <v>10</v>
      </c>
      <c r="G758" s="126"/>
    </row>
    <row r="759" spans="2:7">
      <c r="B759" s="125" t="s">
        <v>336</v>
      </c>
      <c r="C759" s="112" t="s">
        <v>207</v>
      </c>
      <c r="G759" s="126"/>
    </row>
    <row r="760" spans="2:7" ht="13.5" thickBot="1">
      <c r="B760" s="140"/>
      <c r="C760" s="131"/>
      <c r="D760" s="131"/>
      <c r="E760" s="141"/>
      <c r="F760" s="131"/>
      <c r="G760" s="135"/>
    </row>
    <row r="762" spans="2:7" ht="13.5" thickBot="1"/>
    <row r="763" spans="2:7" ht="13.5" thickBot="1">
      <c r="B763" s="239" t="s">
        <v>875</v>
      </c>
      <c r="C763" s="240"/>
      <c r="D763" s="240"/>
      <c r="E763" s="240"/>
      <c r="F763" s="240"/>
      <c r="G763" s="241"/>
    </row>
    <row r="764" spans="2:7" ht="13.5" thickBot="1">
      <c r="B764" s="125"/>
      <c r="G764" s="126"/>
    </row>
    <row r="765" spans="2:7">
      <c r="B765" s="125"/>
      <c r="C765" s="127" t="s">
        <v>27</v>
      </c>
      <c r="D765" s="128"/>
      <c r="E765" s="128" t="s">
        <v>1</v>
      </c>
      <c r="F765" s="129">
        <v>29</v>
      </c>
      <c r="G765" s="126"/>
    </row>
    <row r="766" spans="2:7" ht="13.5" thickBot="1">
      <c r="B766" s="125"/>
      <c r="C766" s="130"/>
      <c r="D766" s="131"/>
      <c r="E766" s="131" t="s">
        <v>102</v>
      </c>
      <c r="F766" s="132">
        <v>14</v>
      </c>
      <c r="G766" s="126"/>
    </row>
    <row r="767" spans="2:7" ht="13.5" thickBot="1">
      <c r="B767" s="125"/>
      <c r="G767" s="126"/>
    </row>
    <row r="768" spans="2:7">
      <c r="B768" s="125"/>
      <c r="C768" s="127" t="s">
        <v>4</v>
      </c>
      <c r="D768" s="128"/>
      <c r="E768" s="128" t="s">
        <v>1</v>
      </c>
      <c r="F768" s="133" t="s">
        <v>205</v>
      </c>
      <c r="G768" s="126"/>
    </row>
    <row r="769" spans="2:7">
      <c r="B769" s="125"/>
      <c r="C769" s="59" t="s">
        <v>2</v>
      </c>
      <c r="E769" s="45" t="s">
        <v>876</v>
      </c>
      <c r="F769" s="126"/>
      <c r="G769" s="126"/>
    </row>
    <row r="770" spans="2:7" ht="13.5" thickBot="1">
      <c r="B770" s="125"/>
      <c r="C770" s="130" t="s">
        <v>3</v>
      </c>
      <c r="D770" s="131"/>
      <c r="E770" s="134" t="s">
        <v>326</v>
      </c>
      <c r="F770" s="135"/>
      <c r="G770" s="126"/>
    </row>
    <row r="771" spans="2:7" ht="13.5" thickBot="1">
      <c r="B771" s="125"/>
      <c r="G771" s="126"/>
    </row>
    <row r="772" spans="2:7" ht="13.5" thickBot="1">
      <c r="B772" s="125"/>
      <c r="C772" s="136" t="s">
        <v>29</v>
      </c>
      <c r="D772" s="137"/>
      <c r="E772" s="138" t="s">
        <v>315</v>
      </c>
      <c r="F772" s="139"/>
      <c r="G772" s="126"/>
    </row>
    <row r="773" spans="2:7">
      <c r="B773" s="125"/>
      <c r="G773" s="126"/>
    </row>
    <row r="774" spans="2:7">
      <c r="B774" s="125"/>
      <c r="C774" s="45" t="s">
        <v>5</v>
      </c>
      <c r="G774" s="126"/>
    </row>
    <row r="775" spans="2:7">
      <c r="B775" s="125"/>
      <c r="G775" s="126"/>
    </row>
    <row r="776" spans="2:7">
      <c r="B776" s="59">
        <v>1</v>
      </c>
      <c r="C776" s="45" t="s">
        <v>182</v>
      </c>
      <c r="G776" s="126"/>
    </row>
    <row r="777" spans="2:7">
      <c r="B777" s="59">
        <v>2</v>
      </c>
      <c r="C777" s="45" t="s">
        <v>11</v>
      </c>
      <c r="G777" s="126"/>
    </row>
    <row r="778" spans="2:7">
      <c r="B778" s="59">
        <v>3</v>
      </c>
      <c r="C778" s="45" t="s">
        <v>6</v>
      </c>
      <c r="G778" s="126"/>
    </row>
    <row r="779" spans="2:7">
      <c r="B779" s="59">
        <v>4</v>
      </c>
      <c r="C779" s="45" t="s">
        <v>10</v>
      </c>
      <c r="G779" s="126"/>
    </row>
    <row r="780" spans="2:7">
      <c r="B780" s="59">
        <v>5</v>
      </c>
      <c r="C780" s="45" t="s">
        <v>12</v>
      </c>
      <c r="G780" s="126"/>
    </row>
    <row r="781" spans="2:7">
      <c r="B781" s="59">
        <v>6</v>
      </c>
      <c r="C781" s="45" t="s">
        <v>218</v>
      </c>
      <c r="G781" s="126"/>
    </row>
    <row r="782" spans="2:7">
      <c r="B782" s="59">
        <v>7</v>
      </c>
      <c r="C782" s="45" t="s">
        <v>34</v>
      </c>
      <c r="G782" s="126"/>
    </row>
    <row r="783" spans="2:7">
      <c r="B783" s="59">
        <v>8</v>
      </c>
      <c r="C783" s="45" t="s">
        <v>33</v>
      </c>
      <c r="G783" s="126"/>
    </row>
    <row r="784" spans="2:7">
      <c r="B784" s="59">
        <v>9</v>
      </c>
      <c r="C784" s="45" t="s">
        <v>14</v>
      </c>
      <c r="G784" s="126"/>
    </row>
    <row r="785" spans="2:7">
      <c r="B785" s="59">
        <v>10</v>
      </c>
      <c r="C785" s="45" t="s">
        <v>607</v>
      </c>
      <c r="G785" s="126"/>
    </row>
    <row r="786" spans="2:7">
      <c r="B786" s="59">
        <v>11</v>
      </c>
      <c r="C786" s="45" t="s">
        <v>214</v>
      </c>
      <c r="G786" s="126"/>
    </row>
    <row r="787" spans="2:7">
      <c r="B787" s="59">
        <v>12</v>
      </c>
      <c r="C787" s="45" t="s">
        <v>608</v>
      </c>
      <c r="G787" s="126"/>
    </row>
    <row r="788" spans="2:7">
      <c r="B788" s="59">
        <v>13</v>
      </c>
      <c r="C788" s="45" t="s">
        <v>18</v>
      </c>
      <c r="G788" s="126"/>
    </row>
    <row r="789" spans="2:7">
      <c r="B789" s="59">
        <v>14</v>
      </c>
      <c r="C789" s="45" t="s">
        <v>19</v>
      </c>
      <c r="G789" s="126"/>
    </row>
    <row r="790" spans="2:7">
      <c r="B790" s="59">
        <v>15</v>
      </c>
      <c r="C790" s="45" t="s">
        <v>144</v>
      </c>
      <c r="G790" s="126"/>
    </row>
    <row r="791" spans="2:7">
      <c r="B791" s="125"/>
      <c r="G791" s="126"/>
    </row>
    <row r="792" spans="2:7">
      <c r="B792" s="125"/>
      <c r="C792" s="45" t="s">
        <v>877</v>
      </c>
      <c r="G792" s="126"/>
    </row>
    <row r="793" spans="2:7">
      <c r="B793" s="125"/>
      <c r="C793" s="45" t="s">
        <v>621</v>
      </c>
      <c r="G793" s="126"/>
    </row>
    <row r="794" spans="2:7">
      <c r="B794" s="125"/>
      <c r="C794" s="45" t="s">
        <v>878</v>
      </c>
      <c r="G794" s="126"/>
    </row>
    <row r="795" spans="2:7">
      <c r="B795" s="125"/>
      <c r="C795" s="45" t="s">
        <v>879</v>
      </c>
      <c r="G795" s="126"/>
    </row>
    <row r="796" spans="2:7">
      <c r="B796" s="125"/>
      <c r="C796" s="45" t="s">
        <v>880</v>
      </c>
      <c r="G796" s="126"/>
    </row>
    <row r="797" spans="2:7">
      <c r="B797" s="125"/>
      <c r="G797" s="126"/>
    </row>
    <row r="798" spans="2:7">
      <c r="B798" s="125"/>
      <c r="C798" s="124" t="s">
        <v>21</v>
      </c>
      <c r="G798" s="126"/>
    </row>
    <row r="799" spans="2:7">
      <c r="B799" s="125" t="s">
        <v>336</v>
      </c>
      <c r="C799" s="45" t="s">
        <v>34</v>
      </c>
      <c r="G799" s="126"/>
    </row>
    <row r="800" spans="2:7">
      <c r="B800" s="125" t="s">
        <v>336</v>
      </c>
      <c r="C800" s="45" t="s">
        <v>18</v>
      </c>
      <c r="G800" s="126"/>
    </row>
    <row r="801" spans="2:7">
      <c r="B801" s="125" t="s">
        <v>336</v>
      </c>
      <c r="C801" s="45" t="s">
        <v>14</v>
      </c>
      <c r="G801" s="126"/>
    </row>
    <row r="802" spans="2:7">
      <c r="B802" s="125" t="s">
        <v>336</v>
      </c>
      <c r="C802" s="45" t="s">
        <v>15</v>
      </c>
      <c r="G802" s="126"/>
    </row>
    <row r="803" spans="2:7">
      <c r="B803" s="125" t="s">
        <v>336</v>
      </c>
      <c r="C803" s="45" t="s">
        <v>33</v>
      </c>
      <c r="G803" s="126"/>
    </row>
    <row r="804" spans="2:7">
      <c r="B804" s="125"/>
      <c r="G804" s="126"/>
    </row>
    <row r="805" spans="2:7">
      <c r="B805" s="125"/>
      <c r="C805" s="44" t="s">
        <v>337</v>
      </c>
      <c r="G805" s="126"/>
    </row>
    <row r="806" spans="2:7">
      <c r="B806" s="125" t="s">
        <v>336</v>
      </c>
      <c r="C806" s="112" t="s">
        <v>607</v>
      </c>
      <c r="G806" s="126"/>
    </row>
    <row r="807" spans="2:7">
      <c r="B807" s="125" t="s">
        <v>336</v>
      </c>
      <c r="C807" s="112" t="s">
        <v>214</v>
      </c>
      <c r="G807" s="126"/>
    </row>
    <row r="808" spans="2:7">
      <c r="B808" s="125"/>
      <c r="G808" s="126"/>
    </row>
    <row r="809" spans="2:7">
      <c r="B809" s="125"/>
      <c r="C809" s="44" t="s">
        <v>23</v>
      </c>
      <c r="G809" s="126"/>
    </row>
    <row r="810" spans="2:7">
      <c r="B810" s="125" t="s">
        <v>336</v>
      </c>
      <c r="C810" s="112" t="s">
        <v>14</v>
      </c>
      <c r="G810" s="126"/>
    </row>
    <row r="811" spans="2:7" ht="13.5" thickBot="1">
      <c r="B811" s="140"/>
      <c r="C811" s="131"/>
      <c r="D811" s="131"/>
      <c r="E811" s="141"/>
      <c r="F811" s="131"/>
      <c r="G811" s="135"/>
    </row>
    <row r="813" spans="2:7" ht="13.5" thickBot="1"/>
    <row r="814" spans="2:7" ht="13.5" thickBot="1">
      <c r="B814" s="239" t="s">
        <v>881</v>
      </c>
      <c r="C814" s="240"/>
      <c r="D814" s="240"/>
      <c r="E814" s="240"/>
      <c r="F814" s="240"/>
      <c r="G814" s="241"/>
    </row>
    <row r="815" spans="2:7" ht="13.5" thickBot="1">
      <c r="B815" s="125"/>
      <c r="G815" s="126"/>
    </row>
    <row r="816" spans="2:7">
      <c r="B816" s="125"/>
      <c r="C816" s="127" t="s">
        <v>27</v>
      </c>
      <c r="D816" s="128"/>
      <c r="E816" s="128" t="s">
        <v>1</v>
      </c>
      <c r="F816" s="129">
        <v>32</v>
      </c>
      <c r="G816" s="126"/>
    </row>
    <row r="817" spans="2:7" ht="13.5" thickBot="1">
      <c r="B817" s="125"/>
      <c r="C817" s="130"/>
      <c r="D817" s="131"/>
      <c r="E817" s="131" t="s">
        <v>170</v>
      </c>
      <c r="F817" s="132">
        <v>33</v>
      </c>
      <c r="G817" s="126"/>
    </row>
    <row r="818" spans="2:7" ht="13.5" thickBot="1">
      <c r="B818" s="125"/>
      <c r="G818" s="126"/>
    </row>
    <row r="819" spans="2:7">
      <c r="B819" s="125"/>
      <c r="C819" s="127" t="s">
        <v>4</v>
      </c>
      <c r="D819" s="128"/>
      <c r="E819" s="128" t="s">
        <v>1</v>
      </c>
      <c r="F819" s="133" t="s">
        <v>205</v>
      </c>
      <c r="G819" s="126"/>
    </row>
    <row r="820" spans="2:7">
      <c r="B820" s="125"/>
      <c r="C820" s="59" t="s">
        <v>2</v>
      </c>
      <c r="E820" s="45" t="s">
        <v>404</v>
      </c>
      <c r="F820" s="126"/>
      <c r="G820" s="126"/>
    </row>
    <row r="821" spans="2:7" ht="13.5" thickBot="1">
      <c r="B821" s="125"/>
      <c r="C821" s="130" t="s">
        <v>3</v>
      </c>
      <c r="D821" s="131"/>
      <c r="E821" s="134" t="s">
        <v>326</v>
      </c>
      <c r="F821" s="135"/>
      <c r="G821" s="126"/>
    </row>
    <row r="822" spans="2:7" ht="13.5" thickBot="1">
      <c r="B822" s="125"/>
      <c r="G822" s="126"/>
    </row>
    <row r="823" spans="2:7" ht="13.5" thickBot="1">
      <c r="B823" s="125"/>
      <c r="C823" s="136" t="s">
        <v>29</v>
      </c>
      <c r="D823" s="137"/>
      <c r="E823" s="138" t="s">
        <v>882</v>
      </c>
      <c r="F823" s="139"/>
      <c r="G823" s="126"/>
    </row>
    <row r="824" spans="2:7">
      <c r="B824" s="125"/>
      <c r="G824" s="126"/>
    </row>
    <row r="825" spans="2:7">
      <c r="B825" s="125"/>
      <c r="C825" s="45" t="s">
        <v>5</v>
      </c>
      <c r="G825" s="126"/>
    </row>
    <row r="826" spans="2:7">
      <c r="B826" s="125"/>
      <c r="G826" s="126"/>
    </row>
    <row r="827" spans="2:7">
      <c r="B827" s="59">
        <v>1</v>
      </c>
      <c r="C827" s="45" t="s">
        <v>182</v>
      </c>
      <c r="G827" s="126"/>
    </row>
    <row r="828" spans="2:7">
      <c r="B828" s="59">
        <v>2</v>
      </c>
      <c r="C828" s="45" t="s">
        <v>11</v>
      </c>
      <c r="G828" s="126"/>
    </row>
    <row r="829" spans="2:7">
      <c r="B829" s="59">
        <v>3</v>
      </c>
      <c r="C829" s="45" t="s">
        <v>6</v>
      </c>
      <c r="G829" s="126"/>
    </row>
    <row r="830" spans="2:7">
      <c r="B830" s="59">
        <v>4</v>
      </c>
      <c r="C830" s="45" t="s">
        <v>10</v>
      </c>
      <c r="G830" s="126"/>
    </row>
    <row r="831" spans="2:7">
      <c r="B831" s="59">
        <v>5</v>
      </c>
      <c r="C831" s="45" t="s">
        <v>207</v>
      </c>
      <c r="G831" s="126"/>
    </row>
    <row r="832" spans="2:7">
      <c r="B832" s="59">
        <v>6</v>
      </c>
      <c r="C832" s="45" t="s">
        <v>218</v>
      </c>
      <c r="G832" s="126"/>
    </row>
    <row r="833" spans="2:7">
      <c r="B833" s="59">
        <v>7</v>
      </c>
      <c r="C833" s="45" t="s">
        <v>34</v>
      </c>
      <c r="G833" s="126"/>
    </row>
    <row r="834" spans="2:7">
      <c r="B834" s="59">
        <v>8</v>
      </c>
      <c r="C834" s="45" t="s">
        <v>33</v>
      </c>
      <c r="G834" s="126"/>
    </row>
    <row r="835" spans="2:7">
      <c r="B835" s="59">
        <v>9</v>
      </c>
      <c r="C835" s="45" t="s">
        <v>14</v>
      </c>
      <c r="G835" s="126"/>
    </row>
    <row r="836" spans="2:7">
      <c r="B836" s="59">
        <v>10</v>
      </c>
      <c r="C836" s="45" t="s">
        <v>607</v>
      </c>
      <c r="G836" s="126"/>
    </row>
    <row r="837" spans="2:7">
      <c r="B837" s="59">
        <v>11</v>
      </c>
      <c r="C837" s="45" t="s">
        <v>214</v>
      </c>
      <c r="G837" s="126"/>
    </row>
    <row r="838" spans="2:7">
      <c r="B838" s="59">
        <v>12</v>
      </c>
      <c r="C838" s="45" t="s">
        <v>608</v>
      </c>
      <c r="G838" s="126"/>
    </row>
    <row r="839" spans="2:7">
      <c r="B839" s="59">
        <v>13</v>
      </c>
      <c r="C839" s="45" t="s">
        <v>18</v>
      </c>
      <c r="G839" s="126"/>
    </row>
    <row r="840" spans="2:7">
      <c r="B840" s="59">
        <v>14</v>
      </c>
      <c r="C840" s="45" t="s">
        <v>19</v>
      </c>
      <c r="G840" s="126"/>
    </row>
    <row r="841" spans="2:7">
      <c r="B841" s="59">
        <v>15</v>
      </c>
      <c r="C841" s="45" t="s">
        <v>144</v>
      </c>
      <c r="G841" s="126"/>
    </row>
    <row r="842" spans="2:7">
      <c r="B842" s="125"/>
      <c r="G842" s="126"/>
    </row>
    <row r="843" spans="2:7">
      <c r="B843" s="125"/>
      <c r="C843" s="45" t="s">
        <v>830</v>
      </c>
      <c r="G843" s="126"/>
    </row>
    <row r="844" spans="2:7">
      <c r="B844" s="125"/>
      <c r="C844" s="45" t="s">
        <v>883</v>
      </c>
      <c r="G844" s="126"/>
    </row>
    <row r="845" spans="2:7">
      <c r="B845" s="125"/>
      <c r="C845" s="45" t="s">
        <v>822</v>
      </c>
      <c r="G845" s="126"/>
    </row>
    <row r="846" spans="2:7">
      <c r="B846" s="125"/>
      <c r="C846" s="45" t="s">
        <v>833</v>
      </c>
      <c r="G846" s="126"/>
    </row>
    <row r="847" spans="2:7">
      <c r="B847" s="125"/>
      <c r="C847" s="45" t="s">
        <v>694</v>
      </c>
      <c r="G847" s="126"/>
    </row>
    <row r="848" spans="2:7">
      <c r="B848" s="125"/>
      <c r="C848" s="45" t="s">
        <v>884</v>
      </c>
      <c r="G848" s="126"/>
    </row>
    <row r="849" spans="2:7">
      <c r="B849" s="125"/>
      <c r="C849" s="45" t="s">
        <v>885</v>
      </c>
      <c r="G849" s="126"/>
    </row>
    <row r="850" spans="2:7">
      <c r="B850" s="125"/>
      <c r="C850" s="45" t="s">
        <v>886</v>
      </c>
      <c r="G850" s="126"/>
    </row>
    <row r="851" spans="2:7">
      <c r="B851" s="125"/>
      <c r="G851" s="126"/>
    </row>
    <row r="852" spans="2:7">
      <c r="B852" s="125"/>
      <c r="C852" s="124" t="s">
        <v>21</v>
      </c>
      <c r="G852" s="126"/>
    </row>
    <row r="853" spans="2:7">
      <c r="B853" s="125" t="s">
        <v>352</v>
      </c>
      <c r="C853" s="45" t="s">
        <v>18</v>
      </c>
      <c r="G853" s="126"/>
    </row>
    <row r="854" spans="2:7">
      <c r="B854" s="125" t="s">
        <v>336</v>
      </c>
      <c r="C854" s="45" t="s">
        <v>214</v>
      </c>
      <c r="G854" s="126"/>
    </row>
    <row r="855" spans="2:7">
      <c r="B855" s="125" t="s">
        <v>336</v>
      </c>
      <c r="C855" s="45" t="s">
        <v>35</v>
      </c>
      <c r="G855" s="126"/>
    </row>
    <row r="856" spans="2:7">
      <c r="B856" s="125"/>
      <c r="G856" s="126"/>
    </row>
    <row r="857" spans="2:7">
      <c r="B857" s="125"/>
      <c r="C857" s="44" t="s">
        <v>337</v>
      </c>
      <c r="G857" s="126"/>
    </row>
    <row r="858" spans="2:7">
      <c r="B858" s="125" t="s">
        <v>335</v>
      </c>
      <c r="C858" s="112" t="s">
        <v>607</v>
      </c>
      <c r="G858" s="126"/>
    </row>
    <row r="859" spans="2:7">
      <c r="B859" s="125"/>
      <c r="G859" s="126"/>
    </row>
    <row r="860" spans="2:7">
      <c r="B860" s="125"/>
      <c r="C860" s="44" t="s">
        <v>22</v>
      </c>
      <c r="G860" s="126"/>
    </row>
    <row r="861" spans="2:7">
      <c r="B861" s="125" t="s">
        <v>352</v>
      </c>
      <c r="C861" s="45" t="s">
        <v>607</v>
      </c>
      <c r="G861" s="126"/>
    </row>
    <row r="862" spans="2:7">
      <c r="B862" s="125"/>
      <c r="G862" s="126"/>
    </row>
    <row r="863" spans="2:7">
      <c r="B863" s="125"/>
      <c r="C863" s="44" t="s">
        <v>23</v>
      </c>
      <c r="G863" s="126"/>
    </row>
    <row r="864" spans="2:7">
      <c r="B864" s="125" t="s">
        <v>336</v>
      </c>
      <c r="C864" s="112" t="s">
        <v>211</v>
      </c>
      <c r="G864" s="126"/>
    </row>
    <row r="865" spans="2:7" ht="13.5" thickBot="1">
      <c r="B865" s="140"/>
      <c r="C865" s="131"/>
      <c r="D865" s="131"/>
      <c r="E865" s="141"/>
      <c r="F865" s="131"/>
      <c r="G865" s="135"/>
    </row>
    <row r="867" spans="2:7" ht="13.5" thickBot="1"/>
    <row r="868" spans="2:7" ht="13.5" thickBot="1">
      <c r="B868" s="239" t="s">
        <v>887</v>
      </c>
      <c r="C868" s="240"/>
      <c r="D868" s="240"/>
      <c r="E868" s="240"/>
      <c r="F868" s="240"/>
      <c r="G868" s="241"/>
    </row>
    <row r="869" spans="2:7" ht="13.5" thickBot="1">
      <c r="B869" s="125"/>
      <c r="G869" s="126"/>
    </row>
    <row r="870" spans="2:7">
      <c r="B870" s="125"/>
      <c r="C870" s="127" t="s">
        <v>27</v>
      </c>
      <c r="D870" s="128"/>
      <c r="E870" s="128" t="s">
        <v>67</v>
      </c>
      <c r="F870" s="129">
        <v>9</v>
      </c>
      <c r="G870" s="126"/>
    </row>
    <row r="871" spans="2:7" ht="13.5" thickBot="1">
      <c r="B871" s="125"/>
      <c r="C871" s="130"/>
      <c r="D871" s="131"/>
      <c r="E871" s="131" t="s">
        <v>1</v>
      </c>
      <c r="F871" s="132">
        <v>35</v>
      </c>
      <c r="G871" s="126"/>
    </row>
    <row r="872" spans="2:7" ht="13.5" thickBot="1">
      <c r="B872" s="125"/>
      <c r="G872" s="126"/>
    </row>
    <row r="873" spans="2:7">
      <c r="B873" s="125"/>
      <c r="C873" s="127" t="s">
        <v>4</v>
      </c>
      <c r="D873" s="128"/>
      <c r="E873" s="128" t="s">
        <v>67</v>
      </c>
      <c r="F873" s="133"/>
      <c r="G873" s="126"/>
    </row>
    <row r="874" spans="2:7">
      <c r="B874" s="125"/>
      <c r="C874" s="59" t="s">
        <v>2</v>
      </c>
      <c r="E874" s="45" t="s">
        <v>326</v>
      </c>
      <c r="F874" s="126"/>
      <c r="G874" s="126"/>
    </row>
    <row r="875" spans="2:7" ht="13.5" thickBot="1">
      <c r="B875" s="125"/>
      <c r="C875" s="130" t="s">
        <v>3</v>
      </c>
      <c r="D875" s="131"/>
      <c r="E875" s="134" t="s">
        <v>344</v>
      </c>
      <c r="F875" s="135"/>
      <c r="G875" s="126"/>
    </row>
    <row r="876" spans="2:7" ht="13.5" thickBot="1">
      <c r="B876" s="125"/>
      <c r="G876" s="126"/>
    </row>
    <row r="877" spans="2:7" ht="13.5" thickBot="1">
      <c r="B877" s="125"/>
      <c r="C877" s="136" t="s">
        <v>29</v>
      </c>
      <c r="D877" s="137"/>
      <c r="E877" s="138" t="s">
        <v>313</v>
      </c>
      <c r="F877" s="139"/>
      <c r="G877" s="126"/>
    </row>
    <row r="878" spans="2:7">
      <c r="B878" s="125"/>
      <c r="G878" s="126"/>
    </row>
    <row r="879" spans="2:7">
      <c r="B879" s="125"/>
      <c r="C879" s="45" t="s">
        <v>5</v>
      </c>
      <c r="G879" s="126"/>
    </row>
    <row r="880" spans="2:7">
      <c r="B880" s="125"/>
      <c r="G880" s="126"/>
    </row>
    <row r="881" spans="2:7">
      <c r="B881" s="59">
        <v>1</v>
      </c>
      <c r="C881" s="45" t="s">
        <v>182</v>
      </c>
      <c r="G881" s="126"/>
    </row>
    <row r="882" spans="2:7">
      <c r="B882" s="59">
        <v>2</v>
      </c>
      <c r="C882" s="45" t="s">
        <v>11</v>
      </c>
      <c r="G882" s="126"/>
    </row>
    <row r="883" spans="2:7">
      <c r="B883" s="59">
        <v>3</v>
      </c>
      <c r="C883" s="45" t="s">
        <v>6</v>
      </c>
      <c r="G883" s="126"/>
    </row>
    <row r="884" spans="2:7">
      <c r="B884" s="59">
        <v>4</v>
      </c>
      <c r="C884" s="45" t="s">
        <v>10</v>
      </c>
      <c r="G884" s="126"/>
    </row>
    <row r="885" spans="2:7">
      <c r="B885" s="59">
        <v>5</v>
      </c>
      <c r="C885" s="45" t="s">
        <v>207</v>
      </c>
      <c r="G885" s="126"/>
    </row>
    <row r="886" spans="2:7">
      <c r="B886" s="59">
        <v>6</v>
      </c>
      <c r="C886" s="45" t="s">
        <v>13</v>
      </c>
      <c r="G886" s="126"/>
    </row>
    <row r="887" spans="2:7">
      <c r="B887" s="59">
        <v>7</v>
      </c>
      <c r="C887" s="45" t="s">
        <v>34</v>
      </c>
      <c r="G887" s="126"/>
    </row>
    <row r="888" spans="2:7">
      <c r="B888" s="59">
        <v>8</v>
      </c>
      <c r="C888" s="45" t="s">
        <v>33</v>
      </c>
      <c r="G888" s="126"/>
    </row>
    <row r="889" spans="2:7">
      <c r="B889" s="59">
        <v>9</v>
      </c>
      <c r="C889" s="45" t="s">
        <v>14</v>
      </c>
      <c r="G889" s="126"/>
    </row>
    <row r="890" spans="2:7">
      <c r="B890" s="59">
        <v>10</v>
      </c>
      <c r="C890" s="45" t="s">
        <v>607</v>
      </c>
      <c r="G890" s="126"/>
    </row>
    <row r="891" spans="2:7">
      <c r="B891" s="59">
        <v>11</v>
      </c>
      <c r="C891" s="45" t="s">
        <v>214</v>
      </c>
      <c r="G891" s="126"/>
    </row>
    <row r="892" spans="2:7">
      <c r="B892" s="59">
        <v>12</v>
      </c>
      <c r="C892" s="45" t="s">
        <v>608</v>
      </c>
      <c r="G892" s="126"/>
    </row>
    <row r="893" spans="2:7">
      <c r="B893" s="59">
        <v>13</v>
      </c>
      <c r="C893" s="45" t="s">
        <v>18</v>
      </c>
      <c r="G893" s="126"/>
    </row>
    <row r="894" spans="2:7">
      <c r="B894" s="59">
        <v>14</v>
      </c>
      <c r="C894" s="45" t="s">
        <v>19</v>
      </c>
      <c r="G894" s="126"/>
    </row>
    <row r="895" spans="2:7">
      <c r="B895" s="59">
        <v>15</v>
      </c>
      <c r="C895" s="45" t="s">
        <v>144</v>
      </c>
      <c r="G895" s="126"/>
    </row>
    <row r="896" spans="2:7">
      <c r="B896" s="125"/>
      <c r="G896" s="126"/>
    </row>
    <row r="897" spans="2:7">
      <c r="B897" s="125"/>
      <c r="C897" s="45" t="s">
        <v>888</v>
      </c>
      <c r="G897" s="126"/>
    </row>
    <row r="898" spans="2:7">
      <c r="B898" s="125"/>
      <c r="C898" s="45" t="s">
        <v>878</v>
      </c>
      <c r="G898" s="126"/>
    </row>
    <row r="899" spans="2:7">
      <c r="B899" s="125"/>
      <c r="C899" s="45" t="s">
        <v>822</v>
      </c>
      <c r="G899" s="126"/>
    </row>
    <row r="900" spans="2:7">
      <c r="B900" s="125"/>
      <c r="C900" s="45" t="s">
        <v>889</v>
      </c>
      <c r="G900" s="126"/>
    </row>
    <row r="901" spans="2:7">
      <c r="B901" s="125"/>
      <c r="C901" s="45" t="s">
        <v>884</v>
      </c>
      <c r="G901" s="126"/>
    </row>
    <row r="902" spans="2:7">
      <c r="B902" s="125"/>
      <c r="G902" s="126"/>
    </row>
    <row r="903" spans="2:7">
      <c r="B903" s="125"/>
      <c r="C903" s="124" t="s">
        <v>21</v>
      </c>
      <c r="G903" s="126"/>
    </row>
    <row r="904" spans="2:7">
      <c r="B904" s="125" t="s">
        <v>336</v>
      </c>
      <c r="C904" s="45" t="s">
        <v>182</v>
      </c>
      <c r="G904" s="126"/>
    </row>
    <row r="905" spans="2:7">
      <c r="B905" s="125" t="s">
        <v>352</v>
      </c>
      <c r="C905" s="45" t="s">
        <v>214</v>
      </c>
      <c r="G905" s="126"/>
    </row>
    <row r="906" spans="2:7">
      <c r="B906" s="125" t="s">
        <v>336</v>
      </c>
      <c r="C906" s="45" t="s">
        <v>144</v>
      </c>
      <c r="G906" s="126"/>
    </row>
    <row r="907" spans="2:7">
      <c r="B907" s="125" t="s">
        <v>336</v>
      </c>
      <c r="C907" s="45" t="s">
        <v>15</v>
      </c>
      <c r="G907" s="126"/>
    </row>
    <row r="908" spans="2:7">
      <c r="B908" s="125"/>
      <c r="G908" s="126"/>
    </row>
    <row r="909" spans="2:7">
      <c r="B909" s="125"/>
      <c r="C909" s="44" t="s">
        <v>337</v>
      </c>
      <c r="G909" s="126"/>
    </row>
    <row r="910" spans="2:7">
      <c r="B910" s="125" t="s">
        <v>352</v>
      </c>
      <c r="C910" s="112" t="s">
        <v>607</v>
      </c>
      <c r="G910" s="126"/>
    </row>
    <row r="911" spans="2:7">
      <c r="B911" s="125"/>
      <c r="G911" s="126"/>
    </row>
    <row r="912" spans="2:7">
      <c r="B912" s="125"/>
      <c r="C912" s="44" t="s">
        <v>22</v>
      </c>
      <c r="G912" s="126"/>
    </row>
    <row r="913" spans="2:7">
      <c r="B913" s="125" t="s">
        <v>352</v>
      </c>
      <c r="C913" s="45" t="s">
        <v>607</v>
      </c>
      <c r="G913" s="126"/>
    </row>
    <row r="914" spans="2:7">
      <c r="B914" s="125"/>
      <c r="G914" s="126"/>
    </row>
    <row r="915" spans="2:7">
      <c r="B915" s="125"/>
      <c r="C915" s="44" t="s">
        <v>23</v>
      </c>
      <c r="G915" s="126"/>
    </row>
    <row r="916" spans="2:7">
      <c r="B916" s="125" t="s">
        <v>336</v>
      </c>
      <c r="C916" s="112" t="s">
        <v>17</v>
      </c>
      <c r="G916" s="126"/>
    </row>
    <row r="917" spans="2:7" ht="13.5" thickBot="1">
      <c r="B917" s="140"/>
      <c r="C917" s="131"/>
      <c r="D917" s="131"/>
      <c r="E917" s="141"/>
      <c r="F917" s="131"/>
      <c r="G917" s="135"/>
    </row>
    <row r="919" spans="2:7" ht="13.5" thickBot="1"/>
    <row r="920" spans="2:7" ht="13.5" thickBot="1">
      <c r="B920" s="239" t="s">
        <v>890</v>
      </c>
      <c r="C920" s="240"/>
      <c r="D920" s="240"/>
      <c r="E920" s="240"/>
      <c r="F920" s="240"/>
      <c r="G920" s="241"/>
    </row>
    <row r="921" spans="2:7" ht="13.5" thickBot="1">
      <c r="B921" s="125"/>
      <c r="G921" s="126"/>
    </row>
    <row r="922" spans="2:7">
      <c r="B922" s="125"/>
      <c r="C922" s="127" t="s">
        <v>27</v>
      </c>
      <c r="D922" s="128"/>
      <c r="E922" s="128" t="s">
        <v>1</v>
      </c>
      <c r="F922" s="129">
        <v>19</v>
      </c>
      <c r="G922" s="126"/>
    </row>
    <row r="923" spans="2:7" ht="13.5" thickBot="1">
      <c r="B923" s="125"/>
      <c r="C923" s="130"/>
      <c r="D923" s="131"/>
      <c r="E923" s="131" t="s">
        <v>58</v>
      </c>
      <c r="F923" s="132">
        <v>17</v>
      </c>
      <c r="G923" s="126"/>
    </row>
    <row r="924" spans="2:7" ht="13.5" thickBot="1">
      <c r="B924" s="125"/>
      <c r="G924" s="126"/>
    </row>
    <row r="925" spans="2:7">
      <c r="B925" s="125"/>
      <c r="C925" s="127" t="s">
        <v>4</v>
      </c>
      <c r="D925" s="128"/>
      <c r="E925" s="128" t="s">
        <v>1</v>
      </c>
      <c r="F925" s="133" t="s">
        <v>205</v>
      </c>
      <c r="G925" s="126"/>
    </row>
    <row r="926" spans="2:7">
      <c r="B926" s="125"/>
      <c r="C926" s="59" t="s">
        <v>2</v>
      </c>
      <c r="E926" s="45" t="s">
        <v>891</v>
      </c>
      <c r="F926" s="126"/>
      <c r="G926" s="126"/>
    </row>
    <row r="927" spans="2:7" ht="13.5" thickBot="1">
      <c r="B927" s="125"/>
      <c r="C927" s="130" t="s">
        <v>3</v>
      </c>
      <c r="D927" s="131"/>
      <c r="E927" s="134" t="s">
        <v>326</v>
      </c>
      <c r="F927" s="135"/>
      <c r="G927" s="126"/>
    </row>
    <row r="928" spans="2:7" ht="13.5" thickBot="1">
      <c r="B928" s="125"/>
      <c r="G928" s="126"/>
    </row>
    <row r="929" spans="2:7" ht="13.5" thickBot="1">
      <c r="B929" s="125"/>
      <c r="C929" s="136" t="s">
        <v>29</v>
      </c>
      <c r="D929" s="137"/>
      <c r="E929" s="138" t="s">
        <v>216</v>
      </c>
      <c r="F929" s="139"/>
      <c r="G929" s="126"/>
    </row>
    <row r="930" spans="2:7">
      <c r="B930" s="125"/>
      <c r="G930" s="126"/>
    </row>
    <row r="931" spans="2:7">
      <c r="B931" s="125"/>
      <c r="C931" s="45" t="s">
        <v>5</v>
      </c>
      <c r="G931" s="126"/>
    </row>
    <row r="932" spans="2:7">
      <c r="B932" s="125"/>
      <c r="G932" s="126"/>
    </row>
    <row r="933" spans="2:7">
      <c r="B933" s="59">
        <v>1</v>
      </c>
      <c r="C933" s="45" t="s">
        <v>182</v>
      </c>
      <c r="G933" s="126"/>
    </row>
    <row r="934" spans="2:7">
      <c r="B934" s="59">
        <v>2</v>
      </c>
      <c r="C934" s="45" t="s">
        <v>53</v>
      </c>
      <c r="G934" s="126"/>
    </row>
    <row r="935" spans="2:7">
      <c r="B935" s="59">
        <v>3</v>
      </c>
      <c r="C935" s="45" t="s">
        <v>35</v>
      </c>
      <c r="G935" s="126"/>
    </row>
    <row r="936" spans="2:7">
      <c r="B936" s="59">
        <v>4</v>
      </c>
      <c r="C936" s="45" t="s">
        <v>10</v>
      </c>
      <c r="G936" s="126"/>
    </row>
    <row r="937" spans="2:7">
      <c r="B937" s="59">
        <v>5</v>
      </c>
      <c r="C937" s="45" t="s">
        <v>207</v>
      </c>
      <c r="G937" s="126"/>
    </row>
    <row r="938" spans="2:7">
      <c r="B938" s="59">
        <v>6</v>
      </c>
      <c r="C938" s="45" t="s">
        <v>13</v>
      </c>
      <c r="G938" s="126"/>
    </row>
    <row r="939" spans="2:7">
      <c r="B939" s="59">
        <v>7</v>
      </c>
      <c r="C939" s="45" t="s">
        <v>34</v>
      </c>
      <c r="G939" s="126"/>
    </row>
    <row r="940" spans="2:7">
      <c r="B940" s="59">
        <v>8</v>
      </c>
      <c r="C940" s="45" t="s">
        <v>33</v>
      </c>
      <c r="G940" s="126"/>
    </row>
    <row r="941" spans="2:7">
      <c r="B941" s="59">
        <v>9</v>
      </c>
      <c r="C941" s="45" t="s">
        <v>217</v>
      </c>
      <c r="G941" s="126"/>
    </row>
    <row r="942" spans="2:7">
      <c r="B942" s="59">
        <v>10</v>
      </c>
      <c r="C942" s="45" t="s">
        <v>607</v>
      </c>
      <c r="G942" s="126"/>
    </row>
    <row r="943" spans="2:7">
      <c r="B943" s="59">
        <v>11</v>
      </c>
      <c r="C943" s="45" t="s">
        <v>214</v>
      </c>
      <c r="G943" s="126"/>
    </row>
    <row r="944" spans="2:7">
      <c r="B944" s="59">
        <v>12</v>
      </c>
      <c r="C944" s="45" t="s">
        <v>608</v>
      </c>
      <c r="G944" s="126"/>
    </row>
    <row r="945" spans="2:7">
      <c r="B945" s="59">
        <v>13</v>
      </c>
      <c r="C945" s="45" t="s">
        <v>18</v>
      </c>
      <c r="G945" s="126"/>
    </row>
    <row r="946" spans="2:7">
      <c r="B946" s="59">
        <v>14</v>
      </c>
      <c r="C946" s="45" t="s">
        <v>19</v>
      </c>
      <c r="G946" s="126"/>
    </row>
    <row r="947" spans="2:7">
      <c r="B947" s="59">
        <v>15</v>
      </c>
      <c r="C947" s="45" t="s">
        <v>144</v>
      </c>
      <c r="G947" s="126"/>
    </row>
    <row r="948" spans="2:7">
      <c r="B948" s="125"/>
      <c r="G948" s="126"/>
    </row>
    <row r="949" spans="2:7">
      <c r="B949" s="125"/>
      <c r="C949" s="45" t="s">
        <v>892</v>
      </c>
      <c r="G949" s="126"/>
    </row>
    <row r="950" spans="2:7">
      <c r="B950" s="125"/>
      <c r="C950" s="45" t="s">
        <v>740</v>
      </c>
      <c r="G950" s="126"/>
    </row>
    <row r="951" spans="2:7">
      <c r="B951" s="125"/>
      <c r="C951" s="45" t="s">
        <v>869</v>
      </c>
      <c r="G951" s="126"/>
    </row>
    <row r="952" spans="2:7">
      <c r="B952" s="125"/>
      <c r="C952" s="45" t="s">
        <v>893</v>
      </c>
      <c r="G952" s="126"/>
    </row>
    <row r="953" spans="2:7">
      <c r="B953" s="125"/>
      <c r="C953" s="45" t="s">
        <v>894</v>
      </c>
      <c r="G953" s="126"/>
    </row>
    <row r="954" spans="2:7">
      <c r="B954" s="125"/>
      <c r="C954" s="45" t="s">
        <v>895</v>
      </c>
      <c r="G954" s="126"/>
    </row>
    <row r="955" spans="2:7">
      <c r="B955" s="125"/>
      <c r="G955" s="126"/>
    </row>
    <row r="956" spans="2:7">
      <c r="B956" s="125"/>
      <c r="C956" s="124" t="s">
        <v>21</v>
      </c>
      <c r="G956" s="126"/>
    </row>
    <row r="957" spans="2:7">
      <c r="B957" s="125" t="s">
        <v>352</v>
      </c>
      <c r="C957" s="45" t="s">
        <v>214</v>
      </c>
      <c r="G957" s="126"/>
    </row>
    <row r="958" spans="2:7">
      <c r="B958" s="125" t="s">
        <v>336</v>
      </c>
      <c r="C958" s="45" t="s">
        <v>144</v>
      </c>
      <c r="G958" s="126"/>
    </row>
    <row r="959" spans="2:7">
      <c r="B959" s="125"/>
      <c r="G959" s="126"/>
    </row>
    <row r="960" spans="2:7">
      <c r="B960" s="125"/>
      <c r="C960" s="44" t="s">
        <v>337</v>
      </c>
      <c r="G960" s="126"/>
    </row>
    <row r="961" spans="2:7">
      <c r="B961" s="125" t="s">
        <v>352</v>
      </c>
      <c r="C961" s="112" t="s">
        <v>607</v>
      </c>
      <c r="G961" s="126"/>
    </row>
    <row r="962" spans="2:7">
      <c r="B962" s="125"/>
      <c r="G962" s="126"/>
    </row>
    <row r="963" spans="2:7">
      <c r="B963" s="125"/>
      <c r="C963" s="44" t="s">
        <v>23</v>
      </c>
      <c r="G963" s="126"/>
    </row>
    <row r="964" spans="2:7">
      <c r="B964" s="125" t="s">
        <v>352</v>
      </c>
      <c r="C964" s="112" t="s">
        <v>13</v>
      </c>
      <c r="G964" s="126"/>
    </row>
    <row r="965" spans="2:7" ht="13.5" thickBot="1">
      <c r="B965" s="140"/>
      <c r="C965" s="131"/>
      <c r="D965" s="131"/>
      <c r="E965" s="141"/>
      <c r="F965" s="131"/>
      <c r="G965" s="135"/>
    </row>
    <row r="967" spans="2:7" ht="13.5" thickBot="1"/>
    <row r="968" spans="2:7" ht="13.5" thickBot="1">
      <c r="B968" s="239" t="s">
        <v>896</v>
      </c>
      <c r="C968" s="240"/>
      <c r="D968" s="240"/>
      <c r="E968" s="240"/>
      <c r="F968" s="240"/>
      <c r="G968" s="241"/>
    </row>
    <row r="969" spans="2:7" ht="13.5" thickBot="1">
      <c r="B969" s="125"/>
      <c r="G969" s="126"/>
    </row>
    <row r="970" spans="2:7">
      <c r="B970" s="125"/>
      <c r="C970" s="127" t="s">
        <v>27</v>
      </c>
      <c r="D970" s="128"/>
      <c r="E970" s="128" t="s">
        <v>897</v>
      </c>
      <c r="F970" s="129">
        <v>14</v>
      </c>
      <c r="G970" s="126"/>
    </row>
    <row r="971" spans="2:7" ht="13.5" thickBot="1">
      <c r="B971" s="125"/>
      <c r="C971" s="130"/>
      <c r="D971" s="131"/>
      <c r="E971" s="131" t="s">
        <v>1</v>
      </c>
      <c r="F971" s="132">
        <v>43</v>
      </c>
      <c r="G971" s="126"/>
    </row>
    <row r="972" spans="2:7" ht="13.5" thickBot="1">
      <c r="B972" s="125"/>
      <c r="G972" s="126"/>
    </row>
    <row r="973" spans="2:7">
      <c r="B973" s="125"/>
      <c r="C973" s="127" t="s">
        <v>4</v>
      </c>
      <c r="D973" s="128"/>
      <c r="E973" s="128" t="s">
        <v>897</v>
      </c>
      <c r="F973" s="133"/>
      <c r="G973" s="126"/>
    </row>
    <row r="974" spans="2:7">
      <c r="B974" s="125"/>
      <c r="C974" s="59" t="s">
        <v>2</v>
      </c>
      <c r="E974" s="45" t="s">
        <v>404</v>
      </c>
      <c r="F974" s="126"/>
      <c r="G974" s="126"/>
    </row>
    <row r="975" spans="2:7" ht="13.5" thickBot="1">
      <c r="B975" s="125"/>
      <c r="C975" s="130" t="s">
        <v>3</v>
      </c>
      <c r="D975" s="131"/>
      <c r="E975" s="134" t="s">
        <v>354</v>
      </c>
      <c r="F975" s="135"/>
      <c r="G975" s="126"/>
    </row>
    <row r="976" spans="2:7" ht="13.5" thickBot="1">
      <c r="B976" s="125"/>
      <c r="G976" s="126"/>
    </row>
    <row r="977" spans="2:7" ht="13.5" thickBot="1">
      <c r="B977" s="125"/>
      <c r="C977" s="136" t="s">
        <v>29</v>
      </c>
      <c r="D977" s="137"/>
      <c r="E977" s="138" t="s">
        <v>263</v>
      </c>
      <c r="F977" s="139"/>
      <c r="G977" s="126"/>
    </row>
    <row r="978" spans="2:7">
      <c r="B978" s="125"/>
      <c r="G978" s="126"/>
    </row>
    <row r="979" spans="2:7">
      <c r="B979" s="125"/>
      <c r="C979" s="45" t="s">
        <v>5</v>
      </c>
      <c r="G979" s="126"/>
    </row>
    <row r="980" spans="2:7">
      <c r="B980" s="125"/>
      <c r="G980" s="126"/>
    </row>
    <row r="981" spans="2:7">
      <c r="B981" s="59">
        <v>1</v>
      </c>
      <c r="C981" s="45" t="s">
        <v>6</v>
      </c>
      <c r="G981" s="126"/>
    </row>
    <row r="982" spans="2:7">
      <c r="B982" s="59">
        <v>2</v>
      </c>
      <c r="C982" s="45" t="s">
        <v>11</v>
      </c>
      <c r="G982" s="126"/>
    </row>
    <row r="983" spans="2:7">
      <c r="B983" s="59">
        <v>3</v>
      </c>
      <c r="C983" s="45" t="s">
        <v>35</v>
      </c>
      <c r="G983" s="126"/>
    </row>
    <row r="984" spans="2:7">
      <c r="B984" s="59">
        <v>4</v>
      </c>
      <c r="C984" s="45" t="s">
        <v>10</v>
      </c>
      <c r="G984" s="126"/>
    </row>
    <row r="985" spans="2:7">
      <c r="B985" s="59">
        <v>5</v>
      </c>
      <c r="C985" s="45" t="s">
        <v>207</v>
      </c>
      <c r="G985" s="126"/>
    </row>
    <row r="986" spans="2:7">
      <c r="B986" s="59">
        <v>6</v>
      </c>
      <c r="C986" s="45" t="s">
        <v>13</v>
      </c>
      <c r="G986" s="126"/>
    </row>
    <row r="987" spans="2:7">
      <c r="B987" s="59">
        <v>7</v>
      </c>
      <c r="C987" s="45" t="s">
        <v>34</v>
      </c>
      <c r="G987" s="126"/>
    </row>
    <row r="988" spans="2:7">
      <c r="B988" s="59">
        <v>8</v>
      </c>
      <c r="C988" s="45" t="s">
        <v>898</v>
      </c>
      <c r="G988" s="126"/>
    </row>
    <row r="989" spans="2:7">
      <c r="B989" s="59">
        <v>9</v>
      </c>
      <c r="C989" s="45" t="s">
        <v>14</v>
      </c>
      <c r="G989" s="126"/>
    </row>
    <row r="990" spans="2:7">
      <c r="B990" s="59">
        <v>10</v>
      </c>
      <c r="C990" s="45" t="s">
        <v>607</v>
      </c>
      <c r="G990" s="126"/>
    </row>
    <row r="991" spans="2:7">
      <c r="B991" s="59">
        <v>11</v>
      </c>
      <c r="C991" s="45" t="s">
        <v>214</v>
      </c>
      <c r="G991" s="126"/>
    </row>
    <row r="992" spans="2:7">
      <c r="B992" s="59">
        <v>12</v>
      </c>
      <c r="C992" s="45" t="s">
        <v>17</v>
      </c>
      <c r="G992" s="126"/>
    </row>
    <row r="993" spans="2:7">
      <c r="B993" s="59">
        <v>13</v>
      </c>
      <c r="C993" s="45" t="s">
        <v>18</v>
      </c>
      <c r="G993" s="126"/>
    </row>
    <row r="994" spans="2:7">
      <c r="B994" s="59">
        <v>14</v>
      </c>
      <c r="C994" s="45" t="s">
        <v>19</v>
      </c>
      <c r="G994" s="126"/>
    </row>
    <row r="995" spans="2:7">
      <c r="B995" s="59">
        <v>15</v>
      </c>
      <c r="C995" s="45" t="s">
        <v>144</v>
      </c>
      <c r="G995" s="126"/>
    </row>
    <row r="996" spans="2:7">
      <c r="B996" s="125"/>
      <c r="G996" s="126"/>
    </row>
    <row r="997" spans="2:7">
      <c r="B997" s="125"/>
      <c r="C997" s="45" t="s">
        <v>888</v>
      </c>
      <c r="G997" s="126"/>
    </row>
    <row r="998" spans="2:7">
      <c r="B998" s="125"/>
      <c r="C998" s="45" t="s">
        <v>711</v>
      </c>
      <c r="G998" s="126"/>
    </row>
    <row r="999" spans="2:7">
      <c r="B999" s="125"/>
      <c r="C999" s="45" t="s">
        <v>822</v>
      </c>
      <c r="G999" s="126"/>
    </row>
    <row r="1000" spans="2:7">
      <c r="B1000" s="125"/>
      <c r="C1000" s="45" t="s">
        <v>899</v>
      </c>
      <c r="G1000" s="126"/>
    </row>
    <row r="1001" spans="2:7">
      <c r="B1001" s="125"/>
      <c r="C1001" s="45" t="s">
        <v>900</v>
      </c>
      <c r="G1001" s="126"/>
    </row>
    <row r="1002" spans="2:7">
      <c r="B1002" s="125"/>
      <c r="C1002" s="45" t="s">
        <v>901</v>
      </c>
      <c r="G1002" s="126"/>
    </row>
    <row r="1003" spans="2:7">
      <c r="B1003" s="125"/>
      <c r="G1003" s="126"/>
    </row>
    <row r="1004" spans="2:7">
      <c r="B1004" s="125"/>
      <c r="C1004" s="124" t="s">
        <v>21</v>
      </c>
      <c r="G1004" s="126"/>
    </row>
    <row r="1005" spans="2:7">
      <c r="B1005" s="125" t="s">
        <v>335</v>
      </c>
      <c r="C1005" s="45" t="s">
        <v>214</v>
      </c>
      <c r="G1005" s="126"/>
    </row>
    <row r="1006" spans="2:7">
      <c r="B1006" s="125" t="s">
        <v>352</v>
      </c>
      <c r="C1006" s="45" t="s">
        <v>144</v>
      </c>
      <c r="G1006" s="126"/>
    </row>
    <row r="1007" spans="2:7">
      <c r="B1007" s="125" t="s">
        <v>336</v>
      </c>
      <c r="C1007" s="45" t="s">
        <v>18</v>
      </c>
      <c r="G1007" s="126"/>
    </row>
    <row r="1008" spans="2:7">
      <c r="B1008" s="125" t="s">
        <v>336</v>
      </c>
      <c r="C1008" s="45" t="s">
        <v>13</v>
      </c>
      <c r="G1008" s="126"/>
    </row>
    <row r="1009" spans="2:7">
      <c r="B1009" s="125"/>
      <c r="G1009" s="126"/>
    </row>
    <row r="1010" spans="2:7">
      <c r="B1010" s="125"/>
      <c r="C1010" s="44" t="s">
        <v>337</v>
      </c>
      <c r="G1010" s="126"/>
    </row>
    <row r="1011" spans="2:7">
      <c r="B1011" s="125" t="s">
        <v>338</v>
      </c>
      <c r="C1011" s="112" t="s">
        <v>607</v>
      </c>
      <c r="G1011" s="126"/>
    </row>
    <row r="1012" spans="2:7">
      <c r="B1012" s="125"/>
      <c r="G1012" s="126"/>
    </row>
    <row r="1013" spans="2:7">
      <c r="B1013" s="125"/>
      <c r="C1013" s="44" t="s">
        <v>23</v>
      </c>
      <c r="G1013" s="126"/>
    </row>
    <row r="1014" spans="2:7">
      <c r="B1014" s="125" t="s">
        <v>336</v>
      </c>
      <c r="C1014" s="112" t="s">
        <v>207</v>
      </c>
      <c r="G1014" s="126"/>
    </row>
    <row r="1015" spans="2:7" ht="13.5" thickBot="1">
      <c r="B1015" s="140"/>
      <c r="C1015" s="131"/>
      <c r="D1015" s="131"/>
      <c r="E1015" s="141"/>
      <c r="F1015" s="131"/>
      <c r="G1015" s="135"/>
    </row>
    <row r="1017" spans="2:7" ht="13.5" thickBot="1"/>
    <row r="1018" spans="2:7" ht="13.5" thickBot="1">
      <c r="B1018" s="239" t="s">
        <v>902</v>
      </c>
      <c r="C1018" s="240"/>
      <c r="D1018" s="240"/>
      <c r="E1018" s="240"/>
      <c r="F1018" s="240"/>
      <c r="G1018" s="241"/>
    </row>
    <row r="1019" spans="2:7" ht="13.5" thickBot="1">
      <c r="B1019" s="125"/>
      <c r="G1019" s="126"/>
    </row>
    <row r="1020" spans="2:7">
      <c r="B1020" s="125"/>
      <c r="C1020" s="127" t="s">
        <v>27</v>
      </c>
      <c r="D1020" s="128"/>
      <c r="E1020" s="128" t="s">
        <v>1</v>
      </c>
      <c r="F1020" s="129">
        <v>48</v>
      </c>
      <c r="G1020" s="126"/>
    </row>
    <row r="1021" spans="2:7" ht="13.5" thickBot="1">
      <c r="B1021" s="125"/>
      <c r="C1021" s="130"/>
      <c r="D1021" s="131"/>
      <c r="E1021" s="131" t="s">
        <v>37</v>
      </c>
      <c r="F1021" s="132">
        <v>30</v>
      </c>
      <c r="G1021" s="126"/>
    </row>
    <row r="1022" spans="2:7" ht="13.5" thickBot="1">
      <c r="B1022" s="125"/>
      <c r="G1022" s="126"/>
    </row>
    <row r="1023" spans="2:7">
      <c r="B1023" s="125"/>
      <c r="C1023" s="127" t="s">
        <v>4</v>
      </c>
      <c r="D1023" s="128"/>
      <c r="E1023" s="128" t="s">
        <v>1</v>
      </c>
      <c r="F1023" s="133" t="s">
        <v>205</v>
      </c>
      <c r="G1023" s="126"/>
    </row>
    <row r="1024" spans="2:7">
      <c r="B1024" s="125"/>
      <c r="C1024" s="59" t="s">
        <v>2</v>
      </c>
      <c r="E1024" s="45" t="s">
        <v>326</v>
      </c>
      <c r="F1024" s="126"/>
      <c r="G1024" s="126"/>
    </row>
    <row r="1025" spans="2:7" ht="13.5" thickBot="1">
      <c r="B1025" s="125"/>
      <c r="C1025" s="130" t="s">
        <v>3</v>
      </c>
      <c r="D1025" s="131"/>
      <c r="E1025" s="134" t="s">
        <v>354</v>
      </c>
      <c r="F1025" s="135"/>
      <c r="G1025" s="126"/>
    </row>
    <row r="1026" spans="2:7" ht="13.5" thickBot="1">
      <c r="B1026" s="125"/>
      <c r="G1026" s="126"/>
    </row>
    <row r="1027" spans="2:7" ht="13.5" thickBot="1">
      <c r="B1027" s="125"/>
      <c r="C1027" s="136" t="s">
        <v>29</v>
      </c>
      <c r="D1027" s="137"/>
      <c r="E1027" s="138" t="s">
        <v>322</v>
      </c>
      <c r="F1027" s="139"/>
      <c r="G1027" s="126"/>
    </row>
    <row r="1028" spans="2:7">
      <c r="B1028" s="125"/>
      <c r="G1028" s="126"/>
    </row>
    <row r="1029" spans="2:7">
      <c r="B1029" s="125"/>
      <c r="C1029" s="45" t="s">
        <v>5</v>
      </c>
      <c r="G1029" s="126"/>
    </row>
    <row r="1030" spans="2:7">
      <c r="B1030" s="125"/>
      <c r="G1030" s="126"/>
    </row>
    <row r="1031" spans="2:7">
      <c r="B1031" s="59">
        <v>1</v>
      </c>
      <c r="C1031" s="45" t="s">
        <v>53</v>
      </c>
      <c r="G1031" s="126"/>
    </row>
    <row r="1032" spans="2:7">
      <c r="B1032" s="59">
        <v>2</v>
      </c>
      <c r="C1032" s="45" t="s">
        <v>11</v>
      </c>
      <c r="G1032" s="126"/>
    </row>
    <row r="1033" spans="2:7">
      <c r="B1033" s="59">
        <v>3</v>
      </c>
      <c r="C1033" s="45" t="s">
        <v>6</v>
      </c>
      <c r="G1033" s="126"/>
    </row>
    <row r="1034" spans="2:7">
      <c r="B1034" s="59">
        <v>4</v>
      </c>
      <c r="C1034" s="45" t="s">
        <v>10</v>
      </c>
      <c r="G1034" s="126"/>
    </row>
    <row r="1035" spans="2:7">
      <c r="B1035" s="59">
        <v>5</v>
      </c>
      <c r="C1035" s="45" t="s">
        <v>207</v>
      </c>
      <c r="G1035" s="126"/>
    </row>
    <row r="1036" spans="2:7">
      <c r="B1036" s="59">
        <v>6</v>
      </c>
      <c r="C1036" s="45" t="s">
        <v>13</v>
      </c>
      <c r="G1036" s="126"/>
    </row>
    <row r="1037" spans="2:7">
      <c r="B1037" s="59">
        <v>7</v>
      </c>
      <c r="C1037" s="45" t="s">
        <v>34</v>
      </c>
      <c r="G1037" s="126"/>
    </row>
    <row r="1038" spans="2:7">
      <c r="B1038" s="59">
        <v>8</v>
      </c>
      <c r="C1038" s="45" t="s">
        <v>898</v>
      </c>
      <c r="G1038" s="126"/>
    </row>
    <row r="1039" spans="2:7">
      <c r="B1039" s="59">
        <v>9</v>
      </c>
      <c r="C1039" s="45" t="s">
        <v>14</v>
      </c>
      <c r="G1039" s="126"/>
    </row>
    <row r="1040" spans="2:7">
      <c r="B1040" s="59">
        <v>10</v>
      </c>
      <c r="C1040" s="45" t="s">
        <v>607</v>
      </c>
      <c r="G1040" s="126"/>
    </row>
    <row r="1041" spans="2:7">
      <c r="B1041" s="59">
        <v>11</v>
      </c>
      <c r="C1041" s="45" t="s">
        <v>214</v>
      </c>
      <c r="G1041" s="126"/>
    </row>
    <row r="1042" spans="2:7">
      <c r="B1042" s="59">
        <v>12</v>
      </c>
      <c r="C1042" s="45" t="s">
        <v>17</v>
      </c>
      <c r="G1042" s="126"/>
    </row>
    <row r="1043" spans="2:7">
      <c r="B1043" s="59">
        <v>13</v>
      </c>
      <c r="C1043" s="45" t="s">
        <v>18</v>
      </c>
      <c r="G1043" s="126"/>
    </row>
    <row r="1044" spans="2:7">
      <c r="B1044" s="59">
        <v>14</v>
      </c>
      <c r="C1044" s="45" t="s">
        <v>19</v>
      </c>
      <c r="G1044" s="126"/>
    </row>
    <row r="1045" spans="2:7">
      <c r="B1045" s="59">
        <v>15</v>
      </c>
      <c r="C1045" s="45" t="s">
        <v>144</v>
      </c>
      <c r="G1045" s="126"/>
    </row>
    <row r="1046" spans="2:7">
      <c r="B1046" s="125"/>
      <c r="G1046" s="126"/>
    </row>
    <row r="1047" spans="2:7">
      <c r="B1047" s="125"/>
      <c r="C1047" s="45" t="s">
        <v>903</v>
      </c>
      <c r="G1047" s="126"/>
    </row>
    <row r="1048" spans="2:7">
      <c r="B1048" s="125"/>
      <c r="C1048" s="45" t="s">
        <v>904</v>
      </c>
      <c r="G1048" s="126"/>
    </row>
    <row r="1049" spans="2:7">
      <c r="B1049" s="125"/>
      <c r="C1049" s="45" t="s">
        <v>711</v>
      </c>
      <c r="G1049" s="126"/>
    </row>
    <row r="1050" spans="2:7">
      <c r="B1050" s="125"/>
      <c r="C1050" s="45" t="s">
        <v>822</v>
      </c>
      <c r="G1050" s="126"/>
    </row>
    <row r="1051" spans="2:7">
      <c r="B1051" s="125"/>
      <c r="C1051" s="45" t="s">
        <v>852</v>
      </c>
      <c r="G1051" s="126"/>
    </row>
    <row r="1052" spans="2:7">
      <c r="B1052" s="125"/>
      <c r="C1052" s="45" t="s">
        <v>899</v>
      </c>
      <c r="G1052" s="126"/>
    </row>
    <row r="1053" spans="2:7">
      <c r="B1053" s="125"/>
      <c r="G1053" s="126"/>
    </row>
    <row r="1054" spans="2:7">
      <c r="B1054" s="125"/>
      <c r="C1054" s="124" t="s">
        <v>21</v>
      </c>
      <c r="G1054" s="126"/>
    </row>
    <row r="1055" spans="2:7">
      <c r="B1055" s="125" t="s">
        <v>352</v>
      </c>
      <c r="C1055" s="45" t="s">
        <v>214</v>
      </c>
      <c r="G1055" s="126"/>
    </row>
    <row r="1056" spans="2:7">
      <c r="B1056" s="125" t="s">
        <v>336</v>
      </c>
      <c r="C1056" s="45" t="s">
        <v>144</v>
      </c>
      <c r="G1056" s="126"/>
    </row>
    <row r="1057" spans="2:7">
      <c r="B1057" s="125" t="s">
        <v>336</v>
      </c>
      <c r="C1057" s="45" t="s">
        <v>33</v>
      </c>
      <c r="G1057" s="126"/>
    </row>
    <row r="1058" spans="2:7">
      <c r="B1058" s="125" t="s">
        <v>336</v>
      </c>
      <c r="C1058" s="45" t="s">
        <v>59</v>
      </c>
      <c r="G1058" s="126"/>
    </row>
    <row r="1059" spans="2:7">
      <c r="B1059" s="125" t="s">
        <v>336</v>
      </c>
      <c r="C1059" s="45" t="s">
        <v>35</v>
      </c>
      <c r="G1059" s="126"/>
    </row>
    <row r="1060" spans="2:7">
      <c r="B1060" s="125" t="s">
        <v>336</v>
      </c>
      <c r="C1060" s="45" t="s">
        <v>19</v>
      </c>
      <c r="G1060" s="126"/>
    </row>
    <row r="1061" spans="2:7">
      <c r="B1061" s="125" t="s">
        <v>336</v>
      </c>
      <c r="C1061" s="45" t="s">
        <v>607</v>
      </c>
      <c r="G1061" s="126"/>
    </row>
    <row r="1062" spans="2:7">
      <c r="B1062" s="125"/>
      <c r="G1062" s="126"/>
    </row>
    <row r="1063" spans="2:7">
      <c r="B1063" s="125"/>
      <c r="C1063" s="44" t="s">
        <v>337</v>
      </c>
      <c r="G1063" s="126"/>
    </row>
    <row r="1064" spans="2:7">
      <c r="B1064" s="125" t="s">
        <v>338</v>
      </c>
      <c r="C1064" s="112" t="s">
        <v>607</v>
      </c>
      <c r="G1064" s="126"/>
    </row>
    <row r="1065" spans="2:7">
      <c r="B1065" s="125"/>
      <c r="G1065" s="126"/>
    </row>
    <row r="1066" spans="2:7">
      <c r="B1066" s="125"/>
      <c r="C1066" s="44" t="s">
        <v>23</v>
      </c>
      <c r="G1066" s="126"/>
    </row>
    <row r="1067" spans="2:7">
      <c r="B1067" s="125" t="s">
        <v>336</v>
      </c>
      <c r="C1067" s="112" t="s">
        <v>339</v>
      </c>
      <c r="G1067" s="126"/>
    </row>
    <row r="1068" spans="2:7" ht="13.5" thickBot="1">
      <c r="B1068" s="140"/>
      <c r="C1068" s="131"/>
      <c r="D1068" s="131"/>
      <c r="E1068" s="141"/>
      <c r="F1068" s="131"/>
      <c r="G1068" s="135"/>
    </row>
    <row r="1070" spans="2:7" ht="13.5" thickBot="1"/>
    <row r="1071" spans="2:7" ht="13.5" thickBot="1">
      <c r="B1071" s="239" t="s">
        <v>905</v>
      </c>
      <c r="C1071" s="240"/>
      <c r="D1071" s="240"/>
      <c r="E1071" s="240"/>
      <c r="F1071" s="240"/>
      <c r="G1071" s="241"/>
    </row>
    <row r="1072" spans="2:7" ht="13.5" thickBot="1">
      <c r="B1072" s="125"/>
      <c r="G1072" s="126"/>
    </row>
    <row r="1073" spans="2:7">
      <c r="B1073" s="125"/>
      <c r="C1073" s="127" t="s">
        <v>27</v>
      </c>
      <c r="D1073" s="128"/>
      <c r="E1073" s="128" t="s">
        <v>74</v>
      </c>
      <c r="F1073" s="129">
        <v>24</v>
      </c>
      <c r="G1073" s="126"/>
    </row>
    <row r="1074" spans="2:7" ht="13.5" thickBot="1">
      <c r="B1074" s="125"/>
      <c r="C1074" s="130"/>
      <c r="D1074" s="131"/>
      <c r="E1074" s="131" t="s">
        <v>1</v>
      </c>
      <c r="F1074" s="132">
        <v>30</v>
      </c>
      <c r="G1074" s="126"/>
    </row>
    <row r="1075" spans="2:7" ht="13.5" thickBot="1">
      <c r="B1075" s="125"/>
      <c r="G1075" s="126"/>
    </row>
    <row r="1076" spans="2:7">
      <c r="B1076" s="125"/>
      <c r="C1076" s="127" t="s">
        <v>4</v>
      </c>
      <c r="D1076" s="128"/>
      <c r="E1076" s="128" t="s">
        <v>74</v>
      </c>
      <c r="F1076" s="133"/>
      <c r="G1076" s="126"/>
    </row>
    <row r="1077" spans="2:7">
      <c r="B1077" s="125"/>
      <c r="C1077" s="59" t="s">
        <v>2</v>
      </c>
      <c r="E1077" s="45" t="s">
        <v>326</v>
      </c>
      <c r="F1077" s="126"/>
      <c r="G1077" s="126"/>
    </row>
    <row r="1078" spans="2:7" ht="13.5" thickBot="1">
      <c r="B1078" s="125"/>
      <c r="C1078" s="130" t="s">
        <v>3</v>
      </c>
      <c r="D1078" s="131"/>
      <c r="E1078" s="134" t="s">
        <v>354</v>
      </c>
      <c r="F1078" s="135"/>
      <c r="G1078" s="126"/>
    </row>
    <row r="1079" spans="2:7" ht="13.5" thickBot="1">
      <c r="B1079" s="125"/>
      <c r="G1079" s="126"/>
    </row>
    <row r="1080" spans="2:7" ht="13.5" thickBot="1">
      <c r="B1080" s="125"/>
      <c r="C1080" s="136" t="s">
        <v>29</v>
      </c>
      <c r="D1080" s="137"/>
      <c r="E1080" s="138" t="s">
        <v>471</v>
      </c>
      <c r="F1080" s="139"/>
      <c r="G1080" s="126"/>
    </row>
    <row r="1081" spans="2:7">
      <c r="B1081" s="125"/>
      <c r="G1081" s="126"/>
    </row>
    <row r="1082" spans="2:7">
      <c r="B1082" s="125"/>
      <c r="C1082" s="45" t="s">
        <v>5</v>
      </c>
      <c r="G1082" s="126"/>
    </row>
    <row r="1083" spans="2:7">
      <c r="B1083" s="125"/>
      <c r="G1083" s="126"/>
    </row>
    <row r="1084" spans="2:7">
      <c r="B1084" s="59">
        <v>1</v>
      </c>
      <c r="C1084" s="45" t="s">
        <v>6</v>
      </c>
      <c r="G1084" s="126"/>
    </row>
    <row r="1085" spans="2:7">
      <c r="B1085" s="59">
        <v>2</v>
      </c>
      <c r="C1085" s="45" t="s">
        <v>53</v>
      </c>
      <c r="G1085" s="126"/>
    </row>
    <row r="1086" spans="2:7">
      <c r="B1086" s="59">
        <v>3</v>
      </c>
      <c r="C1086" s="45" t="s">
        <v>35</v>
      </c>
      <c r="G1086" s="126"/>
    </row>
    <row r="1087" spans="2:7">
      <c r="B1087" s="59">
        <v>4</v>
      </c>
      <c r="C1087" s="45" t="s">
        <v>218</v>
      </c>
      <c r="G1087" s="126"/>
    </row>
    <row r="1088" spans="2:7">
      <c r="B1088" s="59">
        <v>5</v>
      </c>
      <c r="C1088" s="45" t="s">
        <v>207</v>
      </c>
      <c r="G1088" s="126"/>
    </row>
    <row r="1089" spans="2:7">
      <c r="B1089" s="59">
        <v>6</v>
      </c>
      <c r="C1089" s="45" t="s">
        <v>13</v>
      </c>
      <c r="G1089" s="126"/>
    </row>
    <row r="1090" spans="2:7">
      <c r="B1090" s="59">
        <v>7</v>
      </c>
      <c r="C1090" s="45" t="s">
        <v>34</v>
      </c>
      <c r="G1090" s="126"/>
    </row>
    <row r="1091" spans="2:7">
      <c r="B1091" s="59">
        <v>8</v>
      </c>
      <c r="C1091" s="45" t="s">
        <v>898</v>
      </c>
      <c r="G1091" s="126"/>
    </row>
    <row r="1092" spans="2:7">
      <c r="B1092" s="59">
        <v>9</v>
      </c>
      <c r="C1092" s="45" t="s">
        <v>221</v>
      </c>
      <c r="G1092" s="126"/>
    </row>
    <row r="1093" spans="2:7">
      <c r="B1093" s="59">
        <v>10</v>
      </c>
      <c r="C1093" s="45" t="s">
        <v>607</v>
      </c>
      <c r="G1093" s="126"/>
    </row>
    <row r="1094" spans="2:7">
      <c r="B1094" s="59">
        <v>11</v>
      </c>
      <c r="C1094" s="45" t="s">
        <v>222</v>
      </c>
      <c r="G1094" s="126"/>
    </row>
    <row r="1095" spans="2:7">
      <c r="B1095" s="59">
        <v>12</v>
      </c>
      <c r="C1095" s="45" t="s">
        <v>17</v>
      </c>
      <c r="G1095" s="126"/>
    </row>
    <row r="1096" spans="2:7">
      <c r="B1096" s="59">
        <v>13</v>
      </c>
      <c r="C1096" s="45" t="s">
        <v>18</v>
      </c>
      <c r="G1096" s="126"/>
    </row>
    <row r="1097" spans="2:7">
      <c r="B1097" s="59">
        <v>14</v>
      </c>
      <c r="C1097" s="45" t="s">
        <v>19</v>
      </c>
      <c r="G1097" s="126"/>
    </row>
    <row r="1098" spans="2:7">
      <c r="B1098" s="59">
        <v>15</v>
      </c>
      <c r="C1098" s="45" t="s">
        <v>144</v>
      </c>
      <c r="G1098" s="126"/>
    </row>
    <row r="1099" spans="2:7">
      <c r="B1099" s="125"/>
      <c r="G1099" s="126"/>
    </row>
    <row r="1100" spans="2:7">
      <c r="B1100" s="125"/>
      <c r="C1100" s="45" t="s">
        <v>892</v>
      </c>
      <c r="G1100" s="126"/>
    </row>
    <row r="1101" spans="2:7">
      <c r="B1101" s="125"/>
      <c r="C1101" s="45" t="s">
        <v>906</v>
      </c>
      <c r="G1101" s="126"/>
    </row>
    <row r="1102" spans="2:7">
      <c r="B1102" s="125"/>
      <c r="C1102" s="45" t="s">
        <v>907</v>
      </c>
      <c r="G1102" s="126"/>
    </row>
    <row r="1103" spans="2:7">
      <c r="B1103" s="125"/>
      <c r="C1103" s="45" t="s">
        <v>908</v>
      </c>
      <c r="G1103" s="126"/>
    </row>
    <row r="1104" spans="2:7">
      <c r="B1104" s="125"/>
      <c r="G1104" s="126"/>
    </row>
    <row r="1105" spans="2:7">
      <c r="B1105" s="125"/>
      <c r="C1105" s="124" t="s">
        <v>21</v>
      </c>
      <c r="G1105" s="126"/>
    </row>
    <row r="1106" spans="2:7">
      <c r="B1106" s="125" t="s">
        <v>336</v>
      </c>
      <c r="C1106" s="45" t="s">
        <v>13</v>
      </c>
      <c r="G1106" s="126"/>
    </row>
    <row r="1107" spans="2:7">
      <c r="B1107" s="125" t="s">
        <v>336</v>
      </c>
      <c r="C1107" s="45" t="s">
        <v>607</v>
      </c>
      <c r="G1107" s="126"/>
    </row>
    <row r="1108" spans="2:7">
      <c r="B1108" s="125" t="s">
        <v>336</v>
      </c>
      <c r="C1108" s="45" t="s">
        <v>33</v>
      </c>
      <c r="G1108" s="126"/>
    </row>
    <row r="1109" spans="2:7">
      <c r="B1109" s="125" t="s">
        <v>336</v>
      </c>
      <c r="C1109" s="45" t="s">
        <v>11</v>
      </c>
      <c r="G1109" s="126"/>
    </row>
    <row r="1110" spans="2:7">
      <c r="B1110" s="125"/>
      <c r="G1110" s="126"/>
    </row>
    <row r="1111" spans="2:7">
      <c r="B1111" s="125"/>
      <c r="C1111" s="44" t="s">
        <v>337</v>
      </c>
      <c r="G1111" s="126"/>
    </row>
    <row r="1112" spans="2:7">
      <c r="B1112" s="125" t="s">
        <v>352</v>
      </c>
      <c r="C1112" s="112" t="s">
        <v>607</v>
      </c>
      <c r="G1112" s="126"/>
    </row>
    <row r="1113" spans="2:7">
      <c r="B1113" s="125"/>
      <c r="G1113" s="126"/>
    </row>
    <row r="1114" spans="2:7">
      <c r="B1114" s="125"/>
      <c r="C1114" s="44" t="s">
        <v>22</v>
      </c>
      <c r="G1114" s="126"/>
    </row>
    <row r="1115" spans="2:7">
      <c r="B1115" s="125" t="s">
        <v>352</v>
      </c>
      <c r="C1115" s="45" t="s">
        <v>607</v>
      </c>
      <c r="G1115" s="126"/>
    </row>
    <row r="1116" spans="2:7">
      <c r="B1116" s="125"/>
      <c r="G1116" s="126"/>
    </row>
    <row r="1117" spans="2:7">
      <c r="B1117" s="125"/>
      <c r="C1117" s="44" t="s">
        <v>23</v>
      </c>
      <c r="G1117" s="126"/>
    </row>
    <row r="1118" spans="2:7">
      <c r="B1118" s="125" t="s">
        <v>336</v>
      </c>
      <c r="C1118" s="112" t="s">
        <v>339</v>
      </c>
      <c r="G1118" s="126"/>
    </row>
    <row r="1119" spans="2:7" ht="13.5" thickBot="1">
      <c r="B1119" s="140"/>
      <c r="C1119" s="131"/>
      <c r="D1119" s="131"/>
      <c r="E1119" s="141"/>
      <c r="F1119" s="131"/>
      <c r="G1119" s="135"/>
    </row>
    <row r="1121" spans="2:7" ht="13.5" thickBot="1"/>
    <row r="1122" spans="2:7" ht="13.5" thickBot="1">
      <c r="B1122" s="239" t="s">
        <v>909</v>
      </c>
      <c r="C1122" s="240"/>
      <c r="D1122" s="240"/>
      <c r="E1122" s="240"/>
      <c r="F1122" s="240"/>
      <c r="G1122" s="241"/>
    </row>
    <row r="1123" spans="2:7" ht="13.5" thickBot="1">
      <c r="B1123" s="125"/>
      <c r="G1123" s="126"/>
    </row>
    <row r="1124" spans="2:7">
      <c r="B1124" s="125"/>
      <c r="C1124" s="127" t="s">
        <v>27</v>
      </c>
      <c r="D1124" s="128"/>
      <c r="E1124" s="128" t="s">
        <v>1</v>
      </c>
      <c r="F1124" s="129">
        <v>19</v>
      </c>
      <c r="G1124" s="126"/>
    </row>
    <row r="1125" spans="2:7" ht="13.5" thickBot="1">
      <c r="B1125" s="125"/>
      <c r="C1125" s="130"/>
      <c r="D1125" s="131"/>
      <c r="E1125" s="131" t="s">
        <v>90</v>
      </c>
      <c r="F1125" s="132">
        <v>63</v>
      </c>
      <c r="G1125" s="126"/>
    </row>
    <row r="1126" spans="2:7" ht="13.5" thickBot="1">
      <c r="B1126" s="125"/>
      <c r="G1126" s="126"/>
    </row>
    <row r="1127" spans="2:7">
      <c r="B1127" s="125"/>
      <c r="C1127" s="127" t="s">
        <v>4</v>
      </c>
      <c r="D1127" s="128"/>
      <c r="E1127" s="128" t="s">
        <v>1</v>
      </c>
      <c r="F1127" s="133" t="s">
        <v>205</v>
      </c>
      <c r="G1127" s="126"/>
    </row>
    <row r="1128" spans="2:7">
      <c r="B1128" s="125"/>
      <c r="C1128" s="59" t="s">
        <v>2</v>
      </c>
      <c r="E1128" s="45" t="s">
        <v>404</v>
      </c>
      <c r="F1128" s="126"/>
      <c r="G1128" s="126"/>
    </row>
    <row r="1129" spans="2:7" ht="13.5" thickBot="1">
      <c r="B1129" s="125"/>
      <c r="C1129" s="130" t="s">
        <v>3</v>
      </c>
      <c r="D1129" s="131"/>
      <c r="E1129" s="134" t="s">
        <v>354</v>
      </c>
      <c r="F1129" s="135"/>
      <c r="G1129" s="126"/>
    </row>
    <row r="1130" spans="2:7" ht="13.5" thickBot="1">
      <c r="B1130" s="125"/>
      <c r="G1130" s="126"/>
    </row>
    <row r="1131" spans="2:7" ht="13.5" thickBot="1">
      <c r="B1131" s="125"/>
      <c r="C1131" s="136" t="s">
        <v>29</v>
      </c>
      <c r="D1131" s="137"/>
      <c r="E1131" s="138" t="s">
        <v>215</v>
      </c>
      <c r="F1131" s="139"/>
      <c r="G1131" s="126"/>
    </row>
    <row r="1132" spans="2:7">
      <c r="B1132" s="125"/>
      <c r="G1132" s="126"/>
    </row>
    <row r="1133" spans="2:7">
      <c r="B1133" s="125"/>
      <c r="C1133" s="45" t="s">
        <v>5</v>
      </c>
      <c r="G1133" s="126"/>
    </row>
    <row r="1134" spans="2:7">
      <c r="B1134" s="125"/>
      <c r="G1134" s="126"/>
    </row>
    <row r="1135" spans="2:7">
      <c r="B1135" s="59">
        <v>1</v>
      </c>
      <c r="C1135" s="45" t="s">
        <v>53</v>
      </c>
      <c r="G1135" s="126"/>
    </row>
    <row r="1136" spans="2:7">
      <c r="B1136" s="59">
        <v>2</v>
      </c>
      <c r="C1136" s="45" t="s">
        <v>11</v>
      </c>
      <c r="G1136" s="126"/>
    </row>
    <row r="1137" spans="2:7">
      <c r="B1137" s="59">
        <v>3</v>
      </c>
      <c r="C1137" s="45" t="s">
        <v>35</v>
      </c>
      <c r="G1137" s="126"/>
    </row>
    <row r="1138" spans="2:7">
      <c r="B1138" s="59">
        <v>4</v>
      </c>
      <c r="C1138" s="45" t="s">
        <v>10</v>
      </c>
      <c r="G1138" s="126"/>
    </row>
    <row r="1139" spans="2:7">
      <c r="B1139" s="59">
        <v>5</v>
      </c>
      <c r="C1139" s="45" t="s">
        <v>207</v>
      </c>
      <c r="G1139" s="126"/>
    </row>
    <row r="1140" spans="2:7">
      <c r="B1140" s="59">
        <v>6</v>
      </c>
      <c r="C1140" s="45" t="s">
        <v>13</v>
      </c>
      <c r="G1140" s="126"/>
    </row>
    <row r="1141" spans="2:7">
      <c r="B1141" s="59">
        <v>7</v>
      </c>
      <c r="C1141" s="45" t="s">
        <v>34</v>
      </c>
      <c r="G1141" s="126"/>
    </row>
    <row r="1142" spans="2:7">
      <c r="B1142" s="59">
        <v>8</v>
      </c>
      <c r="C1142" s="45" t="s">
        <v>33</v>
      </c>
      <c r="G1142" s="126"/>
    </row>
    <row r="1143" spans="2:7">
      <c r="B1143" s="59">
        <v>9</v>
      </c>
      <c r="C1143" s="45" t="s">
        <v>221</v>
      </c>
      <c r="G1143" s="126"/>
    </row>
    <row r="1144" spans="2:7">
      <c r="B1144" s="59">
        <v>10</v>
      </c>
      <c r="C1144" s="45" t="s">
        <v>607</v>
      </c>
      <c r="G1144" s="126"/>
    </row>
    <row r="1145" spans="2:7">
      <c r="B1145" s="59">
        <v>11</v>
      </c>
      <c r="C1145" s="45" t="s">
        <v>214</v>
      </c>
      <c r="G1145" s="126"/>
    </row>
    <row r="1146" spans="2:7">
      <c r="B1146" s="59">
        <v>12</v>
      </c>
      <c r="C1146" s="45" t="s">
        <v>910</v>
      </c>
      <c r="G1146" s="126"/>
    </row>
    <row r="1147" spans="2:7">
      <c r="B1147" s="59">
        <v>13</v>
      </c>
      <c r="C1147" s="45" t="s">
        <v>18</v>
      </c>
      <c r="G1147" s="126"/>
    </row>
    <row r="1148" spans="2:7">
      <c r="B1148" s="59">
        <v>14</v>
      </c>
      <c r="C1148" s="45" t="s">
        <v>19</v>
      </c>
      <c r="G1148" s="126"/>
    </row>
    <row r="1149" spans="2:7">
      <c r="B1149" s="59">
        <v>15</v>
      </c>
      <c r="C1149" s="45" t="s">
        <v>144</v>
      </c>
      <c r="G1149" s="126"/>
    </row>
    <row r="1150" spans="2:7">
      <c r="B1150" s="125"/>
      <c r="G1150" s="126"/>
    </row>
    <row r="1151" spans="2:7">
      <c r="B1151" s="125"/>
      <c r="C1151" s="45" t="s">
        <v>911</v>
      </c>
      <c r="G1151" s="126"/>
    </row>
    <row r="1152" spans="2:7">
      <c r="B1152" s="125"/>
      <c r="C1152" s="45" t="s">
        <v>912</v>
      </c>
      <c r="G1152" s="126"/>
    </row>
    <row r="1153" spans="2:7">
      <c r="B1153" s="125"/>
      <c r="C1153" s="45" t="s">
        <v>913</v>
      </c>
      <c r="G1153" s="126"/>
    </row>
    <row r="1154" spans="2:7">
      <c r="B1154" s="125"/>
      <c r="C1154" s="45" t="s">
        <v>822</v>
      </c>
      <c r="G1154" s="126"/>
    </row>
    <row r="1155" spans="2:7">
      <c r="B1155" s="125"/>
      <c r="C1155" s="45" t="s">
        <v>914</v>
      </c>
      <c r="G1155" s="126"/>
    </row>
    <row r="1156" spans="2:7">
      <c r="B1156" s="125"/>
      <c r="G1156" s="126"/>
    </row>
    <row r="1157" spans="2:7">
      <c r="B1157" s="125"/>
      <c r="C1157" s="124" t="s">
        <v>21</v>
      </c>
      <c r="G1157" s="126"/>
    </row>
    <row r="1158" spans="2:7">
      <c r="B1158" s="125" t="s">
        <v>336</v>
      </c>
      <c r="C1158" s="45" t="s">
        <v>214</v>
      </c>
      <c r="G1158" s="126"/>
    </row>
    <row r="1159" spans="2:7">
      <c r="B1159" s="125" t="s">
        <v>352</v>
      </c>
      <c r="C1159" s="45" t="s">
        <v>33</v>
      </c>
      <c r="G1159" s="126"/>
    </row>
    <row r="1160" spans="2:7">
      <c r="B1160" s="125"/>
      <c r="G1160" s="126"/>
    </row>
    <row r="1161" spans="2:7">
      <c r="B1161" s="125"/>
      <c r="C1161" s="44" t="s">
        <v>337</v>
      </c>
      <c r="G1161" s="126"/>
    </row>
    <row r="1162" spans="2:7">
      <c r="B1162" s="125" t="s">
        <v>352</v>
      </c>
      <c r="C1162" s="112" t="s">
        <v>607</v>
      </c>
      <c r="G1162" s="126"/>
    </row>
    <row r="1163" spans="2:7">
      <c r="B1163" s="125"/>
      <c r="G1163" s="126"/>
    </row>
    <row r="1164" spans="2:7">
      <c r="B1164" s="125"/>
      <c r="G1164" s="126"/>
    </row>
    <row r="1165" spans="2:7">
      <c r="B1165" s="125"/>
      <c r="C1165" s="44" t="s">
        <v>23</v>
      </c>
      <c r="G1165" s="126"/>
    </row>
    <row r="1166" spans="2:7">
      <c r="B1166" s="125" t="s">
        <v>336</v>
      </c>
      <c r="C1166" s="112" t="s">
        <v>339</v>
      </c>
      <c r="G1166" s="126"/>
    </row>
    <row r="1167" spans="2:7" ht="13.5" thickBot="1">
      <c r="B1167" s="140"/>
      <c r="C1167" s="131"/>
      <c r="D1167" s="131"/>
      <c r="E1167" s="141"/>
      <c r="F1167" s="131"/>
      <c r="G1167" s="135"/>
    </row>
    <row r="1169" spans="2:7" ht="13.5" thickBot="1"/>
    <row r="1170" spans="2:7" ht="13.5" thickBot="1">
      <c r="B1170" s="239" t="s">
        <v>915</v>
      </c>
      <c r="C1170" s="240"/>
      <c r="D1170" s="240"/>
      <c r="E1170" s="240"/>
      <c r="F1170" s="240"/>
      <c r="G1170" s="241"/>
    </row>
    <row r="1171" spans="2:7" ht="13.5" thickBot="1">
      <c r="B1171" s="125"/>
      <c r="G1171" s="126"/>
    </row>
    <row r="1172" spans="2:7">
      <c r="B1172" s="125"/>
      <c r="C1172" s="127" t="s">
        <v>27</v>
      </c>
      <c r="D1172" s="128"/>
      <c r="E1172" s="128" t="s">
        <v>92</v>
      </c>
      <c r="F1172" s="129">
        <v>39</v>
      </c>
      <c r="G1172" s="126"/>
    </row>
    <row r="1173" spans="2:7" ht="13.5" thickBot="1">
      <c r="B1173" s="125"/>
      <c r="C1173" s="130"/>
      <c r="D1173" s="131"/>
      <c r="E1173" s="131" t="s">
        <v>1</v>
      </c>
      <c r="F1173" s="132">
        <v>8</v>
      </c>
      <c r="G1173" s="126"/>
    </row>
    <row r="1174" spans="2:7" ht="13.5" thickBot="1">
      <c r="B1174" s="125"/>
      <c r="G1174" s="126"/>
    </row>
    <row r="1175" spans="2:7">
      <c r="B1175" s="125"/>
      <c r="C1175" s="127" t="s">
        <v>4</v>
      </c>
      <c r="D1175" s="128"/>
      <c r="E1175" s="128" t="s">
        <v>92</v>
      </c>
      <c r="F1175" s="133"/>
      <c r="G1175" s="126"/>
    </row>
    <row r="1176" spans="2:7">
      <c r="B1176" s="125"/>
      <c r="C1176" s="59" t="s">
        <v>2</v>
      </c>
      <c r="E1176" s="45" t="s">
        <v>326</v>
      </c>
      <c r="F1176" s="126"/>
      <c r="G1176" s="126"/>
    </row>
    <row r="1177" spans="2:7" ht="13.5" thickBot="1">
      <c r="B1177" s="125"/>
      <c r="C1177" s="130" t="s">
        <v>3</v>
      </c>
      <c r="D1177" s="131"/>
      <c r="E1177" s="134" t="s">
        <v>326</v>
      </c>
      <c r="F1177" s="135"/>
      <c r="G1177" s="126"/>
    </row>
    <row r="1178" spans="2:7" ht="13.5" thickBot="1">
      <c r="B1178" s="125"/>
      <c r="G1178" s="126"/>
    </row>
    <row r="1179" spans="2:7" ht="13.5" thickBot="1">
      <c r="B1179" s="125"/>
      <c r="C1179" s="136" t="s">
        <v>29</v>
      </c>
      <c r="D1179" s="137"/>
      <c r="E1179" s="138" t="s">
        <v>324</v>
      </c>
      <c r="F1179" s="139"/>
      <c r="G1179" s="126"/>
    </row>
    <row r="1180" spans="2:7">
      <c r="B1180" s="125"/>
      <c r="G1180" s="126"/>
    </row>
    <row r="1181" spans="2:7">
      <c r="B1181" s="125"/>
      <c r="C1181" s="45" t="s">
        <v>5</v>
      </c>
      <c r="G1181" s="126"/>
    </row>
    <row r="1182" spans="2:7">
      <c r="B1182" s="125"/>
      <c r="G1182" s="126"/>
    </row>
    <row r="1183" spans="2:7">
      <c r="B1183" s="59">
        <v>1</v>
      </c>
      <c r="C1183" s="45" t="s">
        <v>53</v>
      </c>
      <c r="G1183" s="126"/>
    </row>
    <row r="1184" spans="2:7">
      <c r="B1184" s="59">
        <v>2</v>
      </c>
      <c r="C1184" s="45" t="s">
        <v>223</v>
      </c>
      <c r="G1184" s="126"/>
    </row>
    <row r="1185" spans="2:7">
      <c r="B1185" s="59">
        <v>3</v>
      </c>
      <c r="C1185" s="45" t="s">
        <v>6</v>
      </c>
      <c r="G1185" s="126"/>
    </row>
    <row r="1186" spans="2:7">
      <c r="B1186" s="59">
        <v>4</v>
      </c>
      <c r="C1186" s="45" t="s">
        <v>10</v>
      </c>
      <c r="G1186" s="126"/>
    </row>
    <row r="1187" spans="2:7">
      <c r="B1187" s="59">
        <v>5</v>
      </c>
      <c r="C1187" s="45" t="s">
        <v>207</v>
      </c>
      <c r="G1187" s="126"/>
    </row>
    <row r="1188" spans="2:7">
      <c r="B1188" s="59">
        <v>6</v>
      </c>
      <c r="C1188" s="45" t="s">
        <v>218</v>
      </c>
      <c r="G1188" s="126"/>
    </row>
    <row r="1189" spans="2:7">
      <c r="B1189" s="59">
        <v>7</v>
      </c>
      <c r="C1189" s="45" t="s">
        <v>34</v>
      </c>
      <c r="G1189" s="126"/>
    </row>
    <row r="1190" spans="2:7">
      <c r="B1190" s="59">
        <v>8</v>
      </c>
      <c r="C1190" s="45" t="s">
        <v>33</v>
      </c>
      <c r="G1190" s="126"/>
    </row>
    <row r="1191" spans="2:7">
      <c r="B1191" s="59">
        <v>9</v>
      </c>
      <c r="C1191" s="45" t="s">
        <v>217</v>
      </c>
      <c r="G1191" s="126"/>
    </row>
    <row r="1192" spans="2:7">
      <c r="B1192" s="59">
        <v>10</v>
      </c>
      <c r="C1192" s="45" t="s">
        <v>607</v>
      </c>
      <c r="G1192" s="126"/>
    </row>
    <row r="1193" spans="2:7">
      <c r="B1193" s="59">
        <v>11</v>
      </c>
      <c r="C1193" s="45" t="s">
        <v>212</v>
      </c>
      <c r="G1193" s="126"/>
    </row>
    <row r="1194" spans="2:7">
      <c r="B1194" s="59">
        <v>12</v>
      </c>
      <c r="C1194" s="45" t="s">
        <v>910</v>
      </c>
      <c r="G1194" s="126"/>
    </row>
    <row r="1195" spans="2:7">
      <c r="B1195" s="59">
        <v>13</v>
      </c>
      <c r="C1195" s="45" t="s">
        <v>18</v>
      </c>
      <c r="G1195" s="126"/>
    </row>
    <row r="1196" spans="2:7">
      <c r="B1196" s="59">
        <v>14</v>
      </c>
      <c r="C1196" s="45" t="s">
        <v>19</v>
      </c>
      <c r="G1196" s="126"/>
    </row>
    <row r="1197" spans="2:7">
      <c r="B1197" s="59">
        <v>15</v>
      </c>
      <c r="C1197" s="45" t="s">
        <v>144</v>
      </c>
      <c r="G1197" s="126"/>
    </row>
    <row r="1198" spans="2:7">
      <c r="B1198" s="125"/>
      <c r="G1198" s="126"/>
    </row>
    <row r="1199" spans="2:7">
      <c r="B1199" s="125"/>
      <c r="C1199" s="45" t="s">
        <v>916</v>
      </c>
      <c r="G1199" s="126"/>
    </row>
    <row r="1200" spans="2:7">
      <c r="B1200" s="125"/>
      <c r="C1200" s="45" t="s">
        <v>917</v>
      </c>
      <c r="G1200" s="126"/>
    </row>
    <row r="1201" spans="2:7">
      <c r="B1201" s="125"/>
      <c r="C1201" s="45" t="s">
        <v>918</v>
      </c>
      <c r="G1201" s="126"/>
    </row>
    <row r="1202" spans="2:7">
      <c r="B1202" s="125"/>
      <c r="C1202" s="45" t="s">
        <v>919</v>
      </c>
      <c r="G1202" s="126"/>
    </row>
    <row r="1203" spans="2:7">
      <c r="B1203" s="125"/>
      <c r="C1203" s="45" t="s">
        <v>920</v>
      </c>
      <c r="G1203" s="126"/>
    </row>
    <row r="1204" spans="2:7">
      <c r="B1204" s="125"/>
      <c r="C1204" s="147" t="s">
        <v>921</v>
      </c>
      <c r="G1204" s="126"/>
    </row>
    <row r="1205" spans="2:7">
      <c r="B1205" s="125"/>
      <c r="C1205" s="147" t="s">
        <v>922</v>
      </c>
      <c r="G1205" s="126"/>
    </row>
    <row r="1206" spans="2:7">
      <c r="B1206" s="125"/>
      <c r="G1206" s="126"/>
    </row>
    <row r="1207" spans="2:7">
      <c r="B1207" s="125"/>
      <c r="C1207" s="124" t="s">
        <v>21</v>
      </c>
      <c r="G1207" s="126"/>
    </row>
    <row r="1208" spans="2:7">
      <c r="B1208" s="125" t="s">
        <v>336</v>
      </c>
      <c r="C1208" s="45" t="s">
        <v>34</v>
      </c>
      <c r="G1208" s="126"/>
    </row>
    <row r="1209" spans="2:7">
      <c r="B1209" s="125"/>
      <c r="G1209" s="126"/>
    </row>
    <row r="1210" spans="2:7">
      <c r="B1210" s="125"/>
      <c r="C1210" s="44" t="s">
        <v>22</v>
      </c>
      <c r="G1210" s="126"/>
    </row>
    <row r="1211" spans="2:7">
      <c r="B1211" s="125" t="s">
        <v>336</v>
      </c>
      <c r="C1211" s="112" t="s">
        <v>607</v>
      </c>
      <c r="G1211" s="126"/>
    </row>
    <row r="1212" spans="2:7">
      <c r="B1212" s="125"/>
      <c r="G1212" s="126"/>
    </row>
    <row r="1213" spans="2:7">
      <c r="B1213" s="125"/>
      <c r="C1213" s="44" t="s">
        <v>23</v>
      </c>
      <c r="G1213" s="126"/>
    </row>
    <row r="1214" spans="2:7">
      <c r="B1214" s="125" t="s">
        <v>336</v>
      </c>
      <c r="C1214" s="112" t="s">
        <v>339</v>
      </c>
      <c r="G1214" s="126"/>
    </row>
    <row r="1215" spans="2:7" ht="13.5" thickBot="1">
      <c r="B1215" s="140"/>
      <c r="C1215" s="131"/>
      <c r="D1215" s="131"/>
      <c r="E1215" s="141"/>
      <c r="F1215" s="131"/>
      <c r="G1215" s="135"/>
    </row>
    <row r="1217" spans="2:7" ht="13.5" thickBot="1"/>
    <row r="1218" spans="2:7" ht="13.5" thickBot="1">
      <c r="B1218" s="239" t="s">
        <v>923</v>
      </c>
      <c r="C1218" s="240"/>
      <c r="D1218" s="240"/>
      <c r="E1218" s="240"/>
      <c r="F1218" s="240"/>
      <c r="G1218" s="241"/>
    </row>
    <row r="1219" spans="2:7" ht="13.5" thickBot="1">
      <c r="B1219" s="125"/>
      <c r="G1219" s="126"/>
    </row>
    <row r="1220" spans="2:7">
      <c r="B1220" s="125"/>
      <c r="C1220" s="127" t="s">
        <v>27</v>
      </c>
      <c r="D1220" s="128"/>
      <c r="E1220" s="128" t="s">
        <v>1</v>
      </c>
      <c r="F1220" s="129">
        <v>43</v>
      </c>
      <c r="G1220" s="126"/>
    </row>
    <row r="1221" spans="2:7" ht="13.5" thickBot="1">
      <c r="B1221" s="125"/>
      <c r="C1221" s="130"/>
      <c r="D1221" s="131"/>
      <c r="E1221" s="131" t="s">
        <v>93</v>
      </c>
      <c r="F1221" s="132">
        <v>0</v>
      </c>
      <c r="G1221" s="126"/>
    </row>
    <row r="1222" spans="2:7" ht="13.5" thickBot="1">
      <c r="B1222" s="125"/>
      <c r="G1222" s="126"/>
    </row>
    <row r="1223" spans="2:7">
      <c r="B1223" s="125"/>
      <c r="C1223" s="127" t="s">
        <v>4</v>
      </c>
      <c r="D1223" s="128"/>
      <c r="E1223" s="128" t="s">
        <v>1</v>
      </c>
      <c r="F1223" s="133" t="s">
        <v>205</v>
      </c>
      <c r="G1223" s="126"/>
    </row>
    <row r="1224" spans="2:7">
      <c r="B1224" s="125"/>
      <c r="C1224" s="59" t="s">
        <v>2</v>
      </c>
      <c r="E1224" s="45" t="s">
        <v>326</v>
      </c>
      <c r="F1224" s="126"/>
      <c r="G1224" s="126"/>
    </row>
    <row r="1225" spans="2:7" ht="13.5" thickBot="1">
      <c r="B1225" s="125"/>
      <c r="C1225" s="130" t="s">
        <v>3</v>
      </c>
      <c r="D1225" s="131"/>
      <c r="E1225" s="134" t="s">
        <v>354</v>
      </c>
      <c r="F1225" s="135"/>
      <c r="G1225" s="126"/>
    </row>
    <row r="1226" spans="2:7" ht="13.5" thickBot="1">
      <c r="B1226" s="125"/>
      <c r="G1226" s="126"/>
    </row>
    <row r="1227" spans="2:7" ht="13.5" thickBot="1">
      <c r="B1227" s="125"/>
      <c r="C1227" s="136" t="s">
        <v>29</v>
      </c>
      <c r="D1227" s="137"/>
      <c r="E1227" s="138" t="s">
        <v>226</v>
      </c>
      <c r="F1227" s="139"/>
      <c r="G1227" s="126"/>
    </row>
    <row r="1228" spans="2:7">
      <c r="B1228" s="125"/>
      <c r="G1228" s="126"/>
    </row>
    <row r="1229" spans="2:7">
      <c r="B1229" s="125"/>
      <c r="C1229" s="45" t="s">
        <v>5</v>
      </c>
      <c r="G1229" s="126"/>
    </row>
    <row r="1230" spans="2:7">
      <c r="B1230" s="125"/>
      <c r="G1230" s="126"/>
    </row>
    <row r="1231" spans="2:7">
      <c r="B1231" s="59">
        <v>1</v>
      </c>
      <c r="C1231" s="45" t="s">
        <v>53</v>
      </c>
      <c r="G1231" s="126"/>
    </row>
    <row r="1232" spans="2:7">
      <c r="B1232" s="59">
        <v>2</v>
      </c>
      <c r="C1232" s="45" t="s">
        <v>223</v>
      </c>
      <c r="G1232" s="126"/>
    </row>
    <row r="1233" spans="2:7">
      <c r="B1233" s="59">
        <v>3</v>
      </c>
      <c r="C1233" s="45" t="s">
        <v>35</v>
      </c>
      <c r="G1233" s="126"/>
    </row>
    <row r="1234" spans="2:7">
      <c r="B1234" s="59">
        <v>4</v>
      </c>
      <c r="C1234" s="45" t="s">
        <v>218</v>
      </c>
      <c r="G1234" s="126"/>
    </row>
    <row r="1235" spans="2:7">
      <c r="B1235" s="59">
        <v>5</v>
      </c>
      <c r="C1235" s="45" t="s">
        <v>207</v>
      </c>
      <c r="G1235" s="126"/>
    </row>
    <row r="1236" spans="2:7">
      <c r="B1236" s="59">
        <v>6</v>
      </c>
      <c r="C1236" s="45" t="s">
        <v>145</v>
      </c>
      <c r="G1236" s="126"/>
    </row>
    <row r="1237" spans="2:7">
      <c r="B1237" s="59">
        <v>7</v>
      </c>
      <c r="C1237" s="45" t="s">
        <v>34</v>
      </c>
      <c r="G1237" s="126"/>
    </row>
    <row r="1238" spans="2:7">
      <c r="B1238" s="59">
        <v>8</v>
      </c>
      <c r="C1238" s="45" t="s">
        <v>33</v>
      </c>
      <c r="G1238" s="126"/>
    </row>
    <row r="1239" spans="2:7">
      <c r="B1239" s="59">
        <v>9</v>
      </c>
      <c r="C1239" s="45" t="s">
        <v>217</v>
      </c>
      <c r="G1239" s="126"/>
    </row>
    <row r="1240" spans="2:7">
      <c r="B1240" s="59">
        <v>10</v>
      </c>
      <c r="C1240" s="45" t="s">
        <v>607</v>
      </c>
      <c r="G1240" s="126"/>
    </row>
    <row r="1241" spans="2:7">
      <c r="B1241" s="59">
        <v>11</v>
      </c>
      <c r="C1241" s="45" t="s">
        <v>214</v>
      </c>
      <c r="G1241" s="126"/>
    </row>
    <row r="1242" spans="2:7">
      <c r="B1242" s="59">
        <v>12</v>
      </c>
      <c r="C1242" s="45" t="s">
        <v>910</v>
      </c>
      <c r="G1242" s="126"/>
    </row>
    <row r="1243" spans="2:7">
      <c r="B1243" s="59">
        <v>13</v>
      </c>
      <c r="C1243" s="45" t="s">
        <v>18</v>
      </c>
      <c r="G1243" s="126"/>
    </row>
    <row r="1244" spans="2:7">
      <c r="B1244" s="59">
        <v>14</v>
      </c>
      <c r="C1244" s="45" t="s">
        <v>19</v>
      </c>
      <c r="G1244" s="126"/>
    </row>
    <row r="1245" spans="2:7">
      <c r="B1245" s="59">
        <v>15</v>
      </c>
      <c r="C1245" s="45" t="s">
        <v>144</v>
      </c>
      <c r="G1245" s="126"/>
    </row>
    <row r="1246" spans="2:7">
      <c r="B1246" s="125"/>
      <c r="G1246" s="126"/>
    </row>
    <row r="1247" spans="2:7">
      <c r="B1247" s="125"/>
      <c r="C1247" s="45" t="s">
        <v>924</v>
      </c>
      <c r="G1247" s="126"/>
    </row>
    <row r="1248" spans="2:7">
      <c r="B1248" s="125"/>
      <c r="C1248" s="45" t="s">
        <v>925</v>
      </c>
      <c r="G1248" s="126"/>
    </row>
    <row r="1249" spans="2:7">
      <c r="B1249" s="125"/>
      <c r="C1249" s="45" t="s">
        <v>926</v>
      </c>
      <c r="G1249" s="126"/>
    </row>
    <row r="1250" spans="2:7">
      <c r="B1250" s="125"/>
      <c r="C1250" s="45" t="s">
        <v>906</v>
      </c>
      <c r="G1250" s="126"/>
    </row>
    <row r="1251" spans="2:7">
      <c r="B1251" s="125"/>
      <c r="C1251" s="45" t="s">
        <v>927</v>
      </c>
      <c r="G1251" s="126"/>
    </row>
    <row r="1252" spans="2:7">
      <c r="B1252" s="125"/>
      <c r="C1252" s="147" t="s">
        <v>863</v>
      </c>
      <c r="G1252" s="126"/>
    </row>
    <row r="1253" spans="2:7">
      <c r="B1253" s="125"/>
      <c r="G1253" s="126"/>
    </row>
    <row r="1254" spans="2:7">
      <c r="B1254" s="125"/>
      <c r="C1254" s="124" t="s">
        <v>21</v>
      </c>
      <c r="G1254" s="126"/>
    </row>
    <row r="1255" spans="2:7">
      <c r="B1255" s="125" t="s">
        <v>336</v>
      </c>
      <c r="C1255" s="45" t="s">
        <v>33</v>
      </c>
      <c r="G1255" s="126"/>
    </row>
    <row r="1256" spans="2:7">
      <c r="B1256" s="125" t="s">
        <v>352</v>
      </c>
      <c r="C1256" s="45" t="s">
        <v>53</v>
      </c>
      <c r="G1256" s="126"/>
    </row>
    <row r="1257" spans="2:7">
      <c r="B1257" s="125" t="s">
        <v>352</v>
      </c>
      <c r="C1257" s="45" t="s">
        <v>214</v>
      </c>
      <c r="G1257" s="126"/>
    </row>
    <row r="1258" spans="2:7">
      <c r="B1258" s="125" t="s">
        <v>336</v>
      </c>
      <c r="C1258" s="45" t="s">
        <v>18</v>
      </c>
      <c r="G1258" s="126"/>
    </row>
    <row r="1259" spans="2:7">
      <c r="B1259" s="125" t="s">
        <v>336</v>
      </c>
      <c r="C1259" s="45" t="s">
        <v>59</v>
      </c>
      <c r="G1259" s="126"/>
    </row>
    <row r="1260" spans="2:7">
      <c r="B1260" s="125"/>
      <c r="G1260" s="126"/>
    </row>
    <row r="1261" spans="2:7">
      <c r="B1261" s="125"/>
      <c r="C1261" s="44" t="s">
        <v>337</v>
      </c>
      <c r="G1261" s="126"/>
    </row>
    <row r="1262" spans="2:7">
      <c r="B1262" s="125" t="s">
        <v>335</v>
      </c>
      <c r="C1262" s="112" t="s">
        <v>607</v>
      </c>
      <c r="G1262" s="126"/>
    </row>
    <row r="1263" spans="2:7">
      <c r="B1263" s="125" t="s">
        <v>336</v>
      </c>
      <c r="C1263" s="112" t="s">
        <v>227</v>
      </c>
      <c r="G1263" s="126"/>
    </row>
    <row r="1264" spans="2:7">
      <c r="B1264" s="125"/>
      <c r="G1264" s="126"/>
    </row>
    <row r="1265" spans="2:7">
      <c r="B1265" s="125"/>
      <c r="C1265" s="44" t="s">
        <v>23</v>
      </c>
      <c r="G1265" s="126"/>
    </row>
    <row r="1266" spans="2:7">
      <c r="B1266" s="125" t="s">
        <v>336</v>
      </c>
      <c r="C1266" s="112" t="s">
        <v>339</v>
      </c>
      <c r="G1266" s="126"/>
    </row>
    <row r="1267" spans="2:7" ht="13.5" thickBot="1">
      <c r="B1267" s="140"/>
      <c r="C1267" s="131"/>
      <c r="D1267" s="131"/>
      <c r="E1267" s="141"/>
      <c r="F1267" s="131"/>
      <c r="G1267" s="135"/>
    </row>
    <row r="1269" spans="2:7" ht="13.5" thickBot="1"/>
    <row r="1270" spans="2:7" ht="13.5" thickBot="1">
      <c r="B1270" s="239" t="s">
        <v>928</v>
      </c>
      <c r="C1270" s="240"/>
      <c r="D1270" s="240"/>
      <c r="E1270" s="240"/>
      <c r="F1270" s="240"/>
      <c r="G1270" s="241"/>
    </row>
    <row r="1271" spans="2:7" ht="13.5" thickBot="1">
      <c r="B1271" s="125"/>
      <c r="G1271" s="126"/>
    </row>
    <row r="1272" spans="2:7">
      <c r="B1272" s="125"/>
      <c r="C1272" s="127" t="s">
        <v>27</v>
      </c>
      <c r="D1272" s="128"/>
      <c r="E1272" s="128" t="s">
        <v>104</v>
      </c>
      <c r="F1272" s="129">
        <v>22</v>
      </c>
      <c r="G1272" s="126"/>
    </row>
    <row r="1273" spans="2:7" ht="13.5" thickBot="1">
      <c r="B1273" s="125"/>
      <c r="C1273" s="130"/>
      <c r="D1273" s="131"/>
      <c r="E1273" s="131" t="s">
        <v>1</v>
      </c>
      <c r="F1273" s="132">
        <v>16</v>
      </c>
      <c r="G1273" s="126"/>
    </row>
    <row r="1274" spans="2:7" ht="13.5" thickBot="1">
      <c r="B1274" s="125"/>
      <c r="G1274" s="126"/>
    </row>
    <row r="1275" spans="2:7">
      <c r="B1275" s="125"/>
      <c r="C1275" s="127" t="s">
        <v>4</v>
      </c>
      <c r="D1275" s="128"/>
      <c r="E1275" s="128" t="s">
        <v>104</v>
      </c>
      <c r="F1275" s="133"/>
      <c r="G1275" s="126"/>
    </row>
    <row r="1276" spans="2:7">
      <c r="B1276" s="125"/>
      <c r="C1276" s="59" t="s">
        <v>2</v>
      </c>
      <c r="E1276" s="45" t="s">
        <v>384</v>
      </c>
      <c r="F1276" s="126"/>
      <c r="G1276" s="126"/>
    </row>
    <row r="1277" spans="2:7" ht="13.5" thickBot="1">
      <c r="B1277" s="125"/>
      <c r="C1277" s="130" t="s">
        <v>3</v>
      </c>
      <c r="D1277" s="131"/>
      <c r="E1277" s="134" t="s">
        <v>757</v>
      </c>
      <c r="F1277" s="135"/>
      <c r="G1277" s="126"/>
    </row>
    <row r="1278" spans="2:7" ht="13.5" thickBot="1">
      <c r="B1278" s="125"/>
      <c r="G1278" s="126"/>
    </row>
    <row r="1279" spans="2:7" ht="13.5" thickBot="1">
      <c r="B1279" s="125"/>
      <c r="C1279" s="136" t="s">
        <v>29</v>
      </c>
      <c r="D1279" s="137"/>
      <c r="E1279" s="138" t="s">
        <v>228</v>
      </c>
      <c r="F1279" s="139"/>
      <c r="G1279" s="126"/>
    </row>
    <row r="1280" spans="2:7">
      <c r="B1280" s="125"/>
      <c r="G1280" s="126"/>
    </row>
    <row r="1281" spans="2:7">
      <c r="B1281" s="125"/>
      <c r="C1281" s="45" t="s">
        <v>5</v>
      </c>
      <c r="G1281" s="126"/>
    </row>
    <row r="1282" spans="2:7">
      <c r="B1282" s="125"/>
      <c r="G1282" s="126"/>
    </row>
    <row r="1283" spans="2:7">
      <c r="B1283" s="59">
        <v>1</v>
      </c>
      <c r="C1283" s="45" t="s">
        <v>182</v>
      </c>
      <c r="G1283" s="126"/>
    </row>
    <row r="1284" spans="2:7">
      <c r="B1284" s="59">
        <v>2</v>
      </c>
      <c r="C1284" s="45" t="s">
        <v>223</v>
      </c>
      <c r="G1284" s="126"/>
    </row>
    <row r="1285" spans="2:7">
      <c r="B1285" s="59">
        <v>3</v>
      </c>
      <c r="C1285" s="45" t="s">
        <v>53</v>
      </c>
      <c r="G1285" s="126"/>
    </row>
    <row r="1286" spans="2:7">
      <c r="B1286" s="59">
        <v>4</v>
      </c>
      <c r="C1286" s="45" t="s">
        <v>218</v>
      </c>
      <c r="G1286" s="126"/>
    </row>
    <row r="1287" spans="2:7">
      <c r="B1287" s="59">
        <v>5</v>
      </c>
      <c r="C1287" s="45" t="s">
        <v>207</v>
      </c>
      <c r="G1287" s="126"/>
    </row>
    <row r="1288" spans="2:7">
      <c r="B1288" s="59">
        <v>6</v>
      </c>
      <c r="C1288" s="45" t="s">
        <v>145</v>
      </c>
      <c r="G1288" s="126"/>
    </row>
    <row r="1289" spans="2:7">
      <c r="B1289" s="59">
        <v>7</v>
      </c>
      <c r="C1289" s="45" t="s">
        <v>34</v>
      </c>
      <c r="G1289" s="126"/>
    </row>
    <row r="1290" spans="2:7">
      <c r="B1290" s="59">
        <v>8</v>
      </c>
      <c r="C1290" s="45" t="s">
        <v>33</v>
      </c>
      <c r="G1290" s="126"/>
    </row>
    <row r="1291" spans="2:7">
      <c r="B1291" s="59">
        <v>9</v>
      </c>
      <c r="C1291" s="45" t="s">
        <v>217</v>
      </c>
      <c r="G1291" s="126"/>
    </row>
    <row r="1292" spans="2:7">
      <c r="B1292" s="59">
        <v>10</v>
      </c>
      <c r="C1292" s="45" t="s">
        <v>607</v>
      </c>
      <c r="G1292" s="126"/>
    </row>
    <row r="1293" spans="2:7">
      <c r="B1293" s="59">
        <v>11</v>
      </c>
      <c r="C1293" s="45" t="s">
        <v>214</v>
      </c>
      <c r="G1293" s="126"/>
    </row>
    <row r="1294" spans="2:7">
      <c r="B1294" s="59">
        <v>12</v>
      </c>
      <c r="C1294" s="45" t="s">
        <v>910</v>
      </c>
      <c r="G1294" s="126"/>
    </row>
    <row r="1295" spans="2:7">
      <c r="B1295" s="59">
        <v>13</v>
      </c>
      <c r="C1295" s="45" t="s">
        <v>18</v>
      </c>
      <c r="G1295" s="126"/>
    </row>
    <row r="1296" spans="2:7">
      <c r="B1296" s="59">
        <v>14</v>
      </c>
      <c r="C1296" s="45" t="s">
        <v>19</v>
      </c>
      <c r="G1296" s="126"/>
    </row>
    <row r="1297" spans="2:7">
      <c r="B1297" s="59">
        <v>15</v>
      </c>
      <c r="C1297" s="45" t="s">
        <v>144</v>
      </c>
      <c r="G1297" s="126"/>
    </row>
    <row r="1298" spans="2:7">
      <c r="B1298" s="125"/>
      <c r="G1298" s="126"/>
    </row>
    <row r="1299" spans="2:7">
      <c r="B1299" s="125"/>
      <c r="C1299" s="45" t="s">
        <v>929</v>
      </c>
      <c r="G1299" s="126"/>
    </row>
    <row r="1300" spans="2:7">
      <c r="B1300" s="125"/>
      <c r="G1300" s="126"/>
    </row>
    <row r="1301" spans="2:7">
      <c r="B1301" s="125"/>
      <c r="C1301" s="124" t="s">
        <v>21</v>
      </c>
      <c r="G1301" s="126"/>
    </row>
    <row r="1302" spans="2:7">
      <c r="B1302" s="125" t="s">
        <v>336</v>
      </c>
      <c r="C1302" s="45" t="s">
        <v>19</v>
      </c>
      <c r="G1302" s="126"/>
    </row>
    <row r="1303" spans="2:7">
      <c r="B1303" s="125" t="s">
        <v>336</v>
      </c>
      <c r="C1303" s="45" t="s">
        <v>207</v>
      </c>
      <c r="G1303" s="126"/>
    </row>
    <row r="1304" spans="2:7">
      <c r="B1304" s="125"/>
      <c r="G1304" s="126"/>
    </row>
    <row r="1305" spans="2:7">
      <c r="B1305" s="125"/>
      <c r="C1305" s="44" t="s">
        <v>22</v>
      </c>
      <c r="G1305" s="126"/>
    </row>
    <row r="1306" spans="2:7">
      <c r="B1306" s="125" t="s">
        <v>352</v>
      </c>
      <c r="C1306" s="112" t="s">
        <v>607</v>
      </c>
      <c r="G1306" s="126"/>
    </row>
    <row r="1307" spans="2:7">
      <c r="B1307" s="125"/>
      <c r="G1307" s="126"/>
    </row>
    <row r="1308" spans="2:7">
      <c r="B1308" s="125"/>
      <c r="C1308" s="44" t="s">
        <v>23</v>
      </c>
      <c r="G1308" s="126"/>
    </row>
    <row r="1309" spans="2:7">
      <c r="B1309" s="125" t="s">
        <v>336</v>
      </c>
      <c r="C1309" s="112" t="s">
        <v>339</v>
      </c>
      <c r="G1309" s="126"/>
    </row>
    <row r="1310" spans="2:7" ht="13.5" thickBot="1">
      <c r="B1310" s="140"/>
      <c r="C1310" s="131"/>
      <c r="D1310" s="131"/>
      <c r="E1310" s="141"/>
      <c r="F1310" s="131"/>
      <c r="G1310" s="135"/>
    </row>
  </sheetData>
  <mergeCells count="26">
    <mergeCell ref="B260:G260"/>
    <mergeCell ref="B2:G2"/>
    <mergeCell ref="B55:G55"/>
    <mergeCell ref="B107:G107"/>
    <mergeCell ref="B159:G159"/>
    <mergeCell ref="B210:G210"/>
    <mergeCell ref="B868:G868"/>
    <mergeCell ref="B310:G310"/>
    <mergeCell ref="B356:G356"/>
    <mergeCell ref="B403:G403"/>
    <mergeCell ref="B455:G455"/>
    <mergeCell ref="B505:G505"/>
    <mergeCell ref="B556:G556"/>
    <mergeCell ref="B612:G612"/>
    <mergeCell ref="B658:G658"/>
    <mergeCell ref="B713:G713"/>
    <mergeCell ref="B763:G763"/>
    <mergeCell ref="B814:G814"/>
    <mergeCell ref="B1218:G1218"/>
    <mergeCell ref="B1270:G1270"/>
    <mergeCell ref="B920:G920"/>
    <mergeCell ref="B968:G968"/>
    <mergeCell ref="B1018:G1018"/>
    <mergeCell ref="B1071:G1071"/>
    <mergeCell ref="B1122:G1122"/>
    <mergeCell ref="B1170:G1170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1311"/>
  <sheetViews>
    <sheetView topLeftCell="A42" workbookViewId="0">
      <selection activeCell="C422" sqref="C422"/>
    </sheetView>
  </sheetViews>
  <sheetFormatPr baseColWidth="10" defaultColWidth="11.42578125" defaultRowHeight="12.75"/>
  <cols>
    <col min="1" max="2" width="5.5703125" style="124" customWidth="1"/>
    <col min="3" max="3" width="24.28515625" style="45" customWidth="1"/>
    <col min="4" max="4" width="10.140625" style="45" bestFit="1" customWidth="1"/>
    <col min="5" max="5" width="30.85546875" style="44" bestFit="1" customWidth="1"/>
    <col min="6" max="16384" width="11.42578125" style="45"/>
  </cols>
  <sheetData>
    <row r="1" spans="2:7" ht="13.5" thickBot="1"/>
    <row r="2" spans="2:7" ht="13.5" thickBot="1">
      <c r="B2" s="239" t="s">
        <v>930</v>
      </c>
      <c r="C2" s="240"/>
      <c r="D2" s="240"/>
      <c r="E2" s="240"/>
      <c r="F2" s="240"/>
      <c r="G2" s="241"/>
    </row>
    <row r="3" spans="2:7" ht="13.5" thickBot="1">
      <c r="B3" s="125"/>
      <c r="G3" s="126"/>
    </row>
    <row r="4" spans="2:7">
      <c r="B4" s="125"/>
      <c r="C4" s="127" t="s">
        <v>27</v>
      </c>
      <c r="D4" s="128"/>
      <c r="E4" s="128" t="s">
        <v>1</v>
      </c>
      <c r="F4" s="129">
        <v>13</v>
      </c>
      <c r="G4" s="126"/>
    </row>
    <row r="5" spans="2:7" ht="13.5" thickBot="1">
      <c r="B5" s="125"/>
      <c r="C5" s="130"/>
      <c r="D5" s="131"/>
      <c r="E5" s="131" t="s">
        <v>184</v>
      </c>
      <c r="F5" s="132">
        <v>25</v>
      </c>
      <c r="G5" s="126"/>
    </row>
    <row r="6" spans="2:7" ht="13.5" thickBot="1">
      <c r="B6" s="125"/>
      <c r="G6" s="126"/>
    </row>
    <row r="7" spans="2:7">
      <c r="B7" s="125"/>
      <c r="C7" s="127" t="s">
        <v>4</v>
      </c>
      <c r="D7" s="128"/>
      <c r="E7" s="128" t="s">
        <v>1</v>
      </c>
      <c r="F7" s="133" t="s">
        <v>205</v>
      </c>
      <c r="G7" s="126"/>
    </row>
    <row r="8" spans="2:7">
      <c r="B8" s="125"/>
      <c r="C8" s="59" t="s">
        <v>2</v>
      </c>
      <c r="E8" s="45" t="s">
        <v>326</v>
      </c>
      <c r="F8" s="126"/>
      <c r="G8" s="126"/>
    </row>
    <row r="9" spans="2:7" ht="13.5" thickBot="1">
      <c r="B9" s="125"/>
      <c r="C9" s="130" t="s">
        <v>3</v>
      </c>
      <c r="D9" s="131"/>
      <c r="E9" s="134" t="s">
        <v>326</v>
      </c>
      <c r="F9" s="135"/>
      <c r="G9" s="126"/>
    </row>
    <row r="10" spans="2:7" ht="13.5" thickBot="1">
      <c r="B10" s="125"/>
      <c r="G10" s="126"/>
    </row>
    <row r="11" spans="2:7" ht="13.5" thickBot="1">
      <c r="B11" s="125"/>
      <c r="C11" s="136" t="s">
        <v>29</v>
      </c>
      <c r="D11" s="137"/>
      <c r="E11" s="138" t="s">
        <v>219</v>
      </c>
      <c r="F11" s="139"/>
      <c r="G11" s="126"/>
    </row>
    <row r="12" spans="2:7">
      <c r="B12" s="125"/>
      <c r="G12" s="126"/>
    </row>
    <row r="13" spans="2:7">
      <c r="B13" s="125"/>
      <c r="C13" s="45" t="s">
        <v>5</v>
      </c>
      <c r="G13" s="126"/>
    </row>
    <row r="14" spans="2:7">
      <c r="B14" s="125"/>
      <c r="G14" s="126"/>
    </row>
    <row r="15" spans="2:7">
      <c r="B15" s="59">
        <v>1</v>
      </c>
      <c r="C15" s="45" t="s">
        <v>182</v>
      </c>
      <c r="G15" s="126"/>
    </row>
    <row r="16" spans="2:7">
      <c r="B16" s="59">
        <v>2</v>
      </c>
      <c r="C16" s="45" t="s">
        <v>220</v>
      </c>
      <c r="G16" s="126"/>
    </row>
    <row r="17" spans="2:7">
      <c r="B17" s="59">
        <v>3</v>
      </c>
      <c r="C17" s="45" t="s">
        <v>206</v>
      </c>
      <c r="G17" s="126"/>
    </row>
    <row r="18" spans="2:7">
      <c r="B18" s="59">
        <v>4</v>
      </c>
      <c r="C18" s="45" t="s">
        <v>218</v>
      </c>
      <c r="G18" s="126"/>
    </row>
    <row r="19" spans="2:7">
      <c r="B19" s="59">
        <v>5</v>
      </c>
      <c r="C19" s="45" t="s">
        <v>207</v>
      </c>
      <c r="G19" s="126"/>
    </row>
    <row r="20" spans="2:7">
      <c r="B20" s="59">
        <v>6</v>
      </c>
      <c r="C20" s="45" t="s">
        <v>211</v>
      </c>
      <c r="G20" s="126"/>
    </row>
    <row r="21" spans="2:7">
      <c r="B21" s="59">
        <v>7</v>
      </c>
      <c r="C21" s="45" t="s">
        <v>143</v>
      </c>
      <c r="G21" s="126"/>
    </row>
    <row r="22" spans="2:7">
      <c r="B22" s="59">
        <v>8</v>
      </c>
      <c r="C22" s="45" t="s">
        <v>34</v>
      </c>
      <c r="G22" s="126"/>
    </row>
    <row r="23" spans="2:7">
      <c r="B23" s="59">
        <v>9</v>
      </c>
      <c r="C23" s="45" t="s">
        <v>361</v>
      </c>
      <c r="G23" s="126"/>
    </row>
    <row r="24" spans="2:7">
      <c r="B24" s="59">
        <v>10</v>
      </c>
      <c r="C24" s="45" t="s">
        <v>18</v>
      </c>
      <c r="G24" s="126"/>
    </row>
    <row r="25" spans="2:7">
      <c r="B25" s="59">
        <v>11</v>
      </c>
      <c r="C25" s="45" t="s">
        <v>217</v>
      </c>
      <c r="G25" s="126"/>
    </row>
    <row r="26" spans="2:7">
      <c r="B26" s="59">
        <v>12</v>
      </c>
      <c r="C26" s="45" t="s">
        <v>15</v>
      </c>
      <c r="G26" s="126"/>
    </row>
    <row r="27" spans="2:7">
      <c r="B27" s="59">
        <v>13</v>
      </c>
      <c r="C27" s="45" t="s">
        <v>142</v>
      </c>
      <c r="G27" s="126"/>
    </row>
    <row r="28" spans="2:7">
      <c r="B28" s="59">
        <v>14</v>
      </c>
      <c r="C28" s="45" t="s">
        <v>214</v>
      </c>
      <c r="G28" s="126"/>
    </row>
    <row r="29" spans="2:7">
      <c r="B29" s="59">
        <v>15</v>
      </c>
      <c r="C29" s="45" t="s">
        <v>144</v>
      </c>
      <c r="G29" s="126"/>
    </row>
    <row r="30" spans="2:7">
      <c r="B30" s="125"/>
      <c r="G30" s="126"/>
    </row>
    <row r="31" spans="2:7">
      <c r="B31" s="125"/>
      <c r="C31" s="45" t="s">
        <v>931</v>
      </c>
      <c r="G31" s="126"/>
    </row>
    <row r="32" spans="2:7">
      <c r="B32" s="125"/>
      <c r="C32" s="45" t="s">
        <v>932</v>
      </c>
      <c r="G32" s="126"/>
    </row>
    <row r="33" spans="2:7">
      <c r="B33" s="125"/>
      <c r="C33" s="45" t="s">
        <v>933</v>
      </c>
      <c r="G33" s="126"/>
    </row>
    <row r="34" spans="2:7">
      <c r="B34" s="125"/>
      <c r="C34" s="45" t="s">
        <v>934</v>
      </c>
      <c r="G34" s="126"/>
    </row>
    <row r="35" spans="2:7">
      <c r="B35" s="125"/>
      <c r="C35" s="45" t="s">
        <v>935</v>
      </c>
      <c r="G35" s="126"/>
    </row>
    <row r="36" spans="2:7">
      <c r="B36" s="125"/>
      <c r="C36" s="45" t="s">
        <v>936</v>
      </c>
      <c r="G36" s="126"/>
    </row>
    <row r="37" spans="2:7">
      <c r="B37" s="125"/>
      <c r="G37" s="126"/>
    </row>
    <row r="38" spans="2:7">
      <c r="B38" s="125"/>
      <c r="C38" s="124" t="s">
        <v>21</v>
      </c>
      <c r="G38" s="126"/>
    </row>
    <row r="39" spans="2:7">
      <c r="B39" s="125" t="s">
        <v>336</v>
      </c>
      <c r="C39" s="45" t="s">
        <v>230</v>
      </c>
      <c r="G39" s="126"/>
    </row>
    <row r="40" spans="2:7">
      <c r="B40" s="125" t="s">
        <v>336</v>
      </c>
      <c r="C40" s="45" t="s">
        <v>20</v>
      </c>
      <c r="G40" s="126"/>
    </row>
    <row r="41" spans="2:7">
      <c r="B41" s="125"/>
      <c r="G41" s="126"/>
    </row>
    <row r="42" spans="2:7">
      <c r="B42" s="125"/>
      <c r="C42" s="44" t="s">
        <v>22</v>
      </c>
      <c r="G42" s="126"/>
    </row>
    <row r="43" spans="2:7">
      <c r="B43" s="125" t="s">
        <v>336</v>
      </c>
      <c r="C43" s="45" t="s">
        <v>214</v>
      </c>
      <c r="G43" s="126"/>
    </row>
    <row r="44" spans="2:7">
      <c r="B44" s="125"/>
      <c r="G44" s="126"/>
    </row>
    <row r="45" spans="2:7">
      <c r="B45" s="125"/>
      <c r="C45" s="44" t="s">
        <v>23</v>
      </c>
      <c r="G45" s="126"/>
    </row>
    <row r="46" spans="2:7">
      <c r="B46" s="125"/>
      <c r="C46" s="112" t="s">
        <v>339</v>
      </c>
      <c r="G46" s="126"/>
    </row>
    <row r="47" spans="2:7" ht="13.5" thickBot="1">
      <c r="B47" s="140"/>
      <c r="C47" s="131"/>
      <c r="D47" s="131"/>
      <c r="E47" s="141"/>
      <c r="F47" s="131"/>
      <c r="G47" s="135"/>
    </row>
    <row r="49" spans="2:7" ht="13.5" thickBot="1"/>
    <row r="50" spans="2:7" ht="13.5" thickBot="1">
      <c r="B50" s="239" t="s">
        <v>937</v>
      </c>
      <c r="C50" s="240"/>
      <c r="D50" s="240"/>
      <c r="E50" s="240"/>
      <c r="F50" s="240"/>
      <c r="G50" s="241"/>
    </row>
    <row r="51" spans="2:7" ht="13.5" thickBot="1">
      <c r="B51" s="125"/>
      <c r="G51" s="126"/>
    </row>
    <row r="52" spans="2:7">
      <c r="B52" s="125"/>
      <c r="C52" s="127" t="s">
        <v>27</v>
      </c>
      <c r="D52" s="128"/>
      <c r="E52" s="128" t="s">
        <v>1</v>
      </c>
      <c r="F52" s="129">
        <v>17</v>
      </c>
      <c r="G52" s="126"/>
    </row>
    <row r="53" spans="2:7" ht="13.5" thickBot="1">
      <c r="B53" s="125"/>
      <c r="C53" s="130"/>
      <c r="D53" s="131"/>
      <c r="E53" s="131" t="s">
        <v>170</v>
      </c>
      <c r="F53" s="132">
        <v>24</v>
      </c>
      <c r="G53" s="126"/>
    </row>
    <row r="54" spans="2:7" ht="13.5" thickBot="1">
      <c r="B54" s="125"/>
      <c r="G54" s="126"/>
    </row>
    <row r="55" spans="2:7">
      <c r="B55" s="125"/>
      <c r="C55" s="127" t="s">
        <v>4</v>
      </c>
      <c r="D55" s="128"/>
      <c r="E55" s="128" t="s">
        <v>1</v>
      </c>
      <c r="F55" s="133" t="s">
        <v>205</v>
      </c>
      <c r="G55" s="126"/>
    </row>
    <row r="56" spans="2:7">
      <c r="B56" s="125"/>
      <c r="C56" s="59" t="s">
        <v>2</v>
      </c>
      <c r="E56" s="45" t="s">
        <v>326</v>
      </c>
      <c r="F56" s="126"/>
      <c r="G56" s="126"/>
    </row>
    <row r="57" spans="2:7" ht="13.5" thickBot="1">
      <c r="B57" s="125"/>
      <c r="C57" s="130" t="s">
        <v>3</v>
      </c>
      <c r="D57" s="131"/>
      <c r="E57" s="134" t="s">
        <v>326</v>
      </c>
      <c r="F57" s="135"/>
      <c r="G57" s="126"/>
    </row>
    <row r="58" spans="2:7" ht="13.5" thickBot="1">
      <c r="B58" s="125"/>
      <c r="G58" s="126"/>
    </row>
    <row r="59" spans="2:7" ht="13.5" thickBot="1">
      <c r="B59" s="125"/>
      <c r="C59" s="136" t="s">
        <v>29</v>
      </c>
      <c r="D59" s="137"/>
      <c r="E59" s="138" t="s">
        <v>215</v>
      </c>
      <c r="F59" s="139"/>
      <c r="G59" s="126"/>
    </row>
    <row r="60" spans="2:7">
      <c r="B60" s="125"/>
      <c r="G60" s="126"/>
    </row>
    <row r="61" spans="2:7">
      <c r="B61" s="125"/>
      <c r="C61" s="45" t="s">
        <v>5</v>
      </c>
      <c r="G61" s="126"/>
    </row>
    <row r="62" spans="2:7">
      <c r="B62" s="125"/>
      <c r="G62" s="126"/>
    </row>
    <row r="63" spans="2:7">
      <c r="B63" s="59">
        <v>1</v>
      </c>
      <c r="C63" s="45" t="s">
        <v>182</v>
      </c>
      <c r="G63" s="126"/>
    </row>
    <row r="64" spans="2:7">
      <c r="B64" s="59">
        <v>2</v>
      </c>
      <c r="C64" s="45" t="s">
        <v>220</v>
      </c>
      <c r="G64" s="126"/>
    </row>
    <row r="65" spans="2:7">
      <c r="B65" s="59">
        <v>3</v>
      </c>
      <c r="C65" s="45" t="s">
        <v>206</v>
      </c>
      <c r="G65" s="126"/>
    </row>
    <row r="66" spans="2:7">
      <c r="B66" s="59">
        <v>4</v>
      </c>
      <c r="C66" s="45" t="s">
        <v>32</v>
      </c>
      <c r="G66" s="126"/>
    </row>
    <row r="67" spans="2:7">
      <c r="B67" s="59">
        <v>5</v>
      </c>
      <c r="C67" s="45" t="s">
        <v>207</v>
      </c>
      <c r="G67" s="126"/>
    </row>
    <row r="68" spans="2:7">
      <c r="B68" s="59">
        <v>6</v>
      </c>
      <c r="C68" s="45" t="s">
        <v>211</v>
      </c>
      <c r="G68" s="126"/>
    </row>
    <row r="69" spans="2:7">
      <c r="B69" s="59">
        <v>7</v>
      </c>
      <c r="C69" s="45" t="s">
        <v>218</v>
      </c>
      <c r="G69" s="126"/>
    </row>
    <row r="70" spans="2:7">
      <c r="B70" s="59">
        <v>8</v>
      </c>
      <c r="C70" s="45" t="s">
        <v>34</v>
      </c>
      <c r="G70" s="126"/>
    </row>
    <row r="71" spans="2:7">
      <c r="B71" s="59">
        <v>9</v>
      </c>
      <c r="C71" s="45" t="s">
        <v>361</v>
      </c>
      <c r="G71" s="126"/>
    </row>
    <row r="72" spans="2:7">
      <c r="B72" s="59">
        <v>10</v>
      </c>
      <c r="C72" s="45" t="s">
        <v>18</v>
      </c>
      <c r="G72" s="126"/>
    </row>
    <row r="73" spans="2:7">
      <c r="B73" s="59">
        <v>11</v>
      </c>
      <c r="C73" s="45" t="s">
        <v>20</v>
      </c>
      <c r="G73" s="126"/>
    </row>
    <row r="74" spans="2:7">
      <c r="B74" s="59">
        <v>12</v>
      </c>
      <c r="C74" s="45" t="s">
        <v>15</v>
      </c>
      <c r="G74" s="126"/>
    </row>
    <row r="75" spans="2:7">
      <c r="B75" s="59">
        <v>13</v>
      </c>
      <c r="C75" s="45" t="s">
        <v>142</v>
      </c>
      <c r="G75" s="126"/>
    </row>
    <row r="76" spans="2:7">
      <c r="B76" s="59">
        <v>14</v>
      </c>
      <c r="C76" s="45" t="s">
        <v>214</v>
      </c>
      <c r="G76" s="126"/>
    </row>
    <row r="77" spans="2:7">
      <c r="B77" s="59">
        <v>15</v>
      </c>
      <c r="C77" s="45" t="s">
        <v>144</v>
      </c>
      <c r="G77" s="126"/>
    </row>
    <row r="78" spans="2:7">
      <c r="B78" s="125"/>
      <c r="G78" s="126"/>
    </row>
    <row r="79" spans="2:7">
      <c r="B79" s="125"/>
      <c r="C79" s="45" t="s">
        <v>931</v>
      </c>
      <c r="G79" s="126"/>
    </row>
    <row r="80" spans="2:7">
      <c r="B80" s="125"/>
      <c r="C80" s="45" t="s">
        <v>938</v>
      </c>
      <c r="G80" s="126"/>
    </row>
    <row r="81" spans="2:7">
      <c r="B81" s="125"/>
      <c r="C81" s="45" t="s">
        <v>939</v>
      </c>
      <c r="G81" s="126"/>
    </row>
    <row r="82" spans="2:7">
      <c r="B82" s="125"/>
      <c r="C82" s="45" t="s">
        <v>940</v>
      </c>
      <c r="G82" s="126"/>
    </row>
    <row r="83" spans="2:7">
      <c r="B83" s="125"/>
      <c r="C83" s="45" t="s">
        <v>941</v>
      </c>
      <c r="G83" s="126"/>
    </row>
    <row r="84" spans="2:7">
      <c r="B84" s="125"/>
      <c r="G84" s="126"/>
    </row>
    <row r="85" spans="2:7">
      <c r="B85" s="125"/>
      <c r="C85" s="124" t="s">
        <v>21</v>
      </c>
      <c r="G85" s="126"/>
    </row>
    <row r="86" spans="2:7">
      <c r="B86" s="125" t="s">
        <v>336</v>
      </c>
      <c r="C86" s="45" t="s">
        <v>20</v>
      </c>
      <c r="G86" s="126"/>
    </row>
    <row r="87" spans="2:7">
      <c r="B87" s="125" t="s">
        <v>336</v>
      </c>
      <c r="C87" s="45" t="s">
        <v>231</v>
      </c>
      <c r="G87" s="126"/>
    </row>
    <row r="88" spans="2:7">
      <c r="B88" s="125"/>
      <c r="G88" s="126"/>
    </row>
    <row r="89" spans="2:7">
      <c r="B89" s="125"/>
      <c r="C89" s="44" t="s">
        <v>337</v>
      </c>
      <c r="G89" s="126"/>
    </row>
    <row r="90" spans="2:7">
      <c r="B90" s="125" t="s">
        <v>352</v>
      </c>
      <c r="C90" s="45" t="s">
        <v>18</v>
      </c>
      <c r="G90" s="126"/>
    </row>
    <row r="91" spans="2:7">
      <c r="B91" s="125"/>
      <c r="G91" s="126"/>
    </row>
    <row r="92" spans="2:7">
      <c r="B92" s="125"/>
      <c r="C92" s="44" t="s">
        <v>22</v>
      </c>
      <c r="G92" s="126"/>
    </row>
    <row r="93" spans="2:7">
      <c r="B93" s="125" t="s">
        <v>336</v>
      </c>
      <c r="C93" s="45" t="s">
        <v>18</v>
      </c>
      <c r="G93" s="126"/>
    </row>
    <row r="94" spans="2:7">
      <c r="B94" s="125"/>
      <c r="G94" s="126"/>
    </row>
    <row r="95" spans="2:7">
      <c r="B95" s="125"/>
      <c r="C95" s="44" t="s">
        <v>23</v>
      </c>
      <c r="G95" s="126"/>
    </row>
    <row r="96" spans="2:7">
      <c r="B96" s="125" t="s">
        <v>352</v>
      </c>
      <c r="C96" s="112" t="s">
        <v>35</v>
      </c>
      <c r="G96" s="126"/>
    </row>
    <row r="97" spans="2:7" ht="13.5" thickBot="1">
      <c r="B97" s="140"/>
      <c r="C97" s="131"/>
      <c r="D97" s="131"/>
      <c r="E97" s="141"/>
      <c r="F97" s="131"/>
      <c r="G97" s="135"/>
    </row>
    <row r="99" spans="2:7" ht="13.5" thickBot="1"/>
    <row r="100" spans="2:7" ht="13.5" thickBot="1">
      <c r="B100" s="239" t="s">
        <v>942</v>
      </c>
      <c r="C100" s="240"/>
      <c r="D100" s="240"/>
      <c r="E100" s="240"/>
      <c r="F100" s="240"/>
      <c r="G100" s="241"/>
    </row>
    <row r="101" spans="2:7" ht="13.5" thickBot="1">
      <c r="B101" s="125"/>
      <c r="G101" s="126"/>
    </row>
    <row r="102" spans="2:7">
      <c r="B102" s="125"/>
      <c r="C102" s="127" t="s">
        <v>27</v>
      </c>
      <c r="D102" s="128"/>
      <c r="E102" s="128" t="s">
        <v>73</v>
      </c>
      <c r="F102" s="129">
        <v>21</v>
      </c>
      <c r="G102" s="126"/>
    </row>
    <row r="103" spans="2:7" ht="13.5" thickBot="1">
      <c r="B103" s="125"/>
      <c r="C103" s="130"/>
      <c r="D103" s="131"/>
      <c r="E103" s="131" t="s">
        <v>1</v>
      </c>
      <c r="F103" s="132">
        <v>17</v>
      </c>
      <c r="G103" s="126"/>
    </row>
    <row r="104" spans="2:7" ht="13.5" thickBot="1">
      <c r="B104" s="125"/>
      <c r="G104" s="126"/>
    </row>
    <row r="105" spans="2:7">
      <c r="B105" s="125"/>
      <c r="C105" s="127" t="s">
        <v>4</v>
      </c>
      <c r="D105" s="128"/>
      <c r="E105" s="128" t="s">
        <v>73</v>
      </c>
      <c r="F105" s="133"/>
      <c r="G105" s="126"/>
    </row>
    <row r="106" spans="2:7">
      <c r="B106" s="125"/>
      <c r="C106" s="59" t="s">
        <v>2</v>
      </c>
      <c r="E106" s="45" t="s">
        <v>326</v>
      </c>
      <c r="F106" s="126"/>
      <c r="G106" s="126"/>
    </row>
    <row r="107" spans="2:7" ht="13.5" thickBot="1">
      <c r="B107" s="125"/>
      <c r="C107" s="130" t="s">
        <v>3</v>
      </c>
      <c r="D107" s="131"/>
      <c r="E107" s="134" t="s">
        <v>326</v>
      </c>
      <c r="F107" s="135"/>
      <c r="G107" s="126"/>
    </row>
    <row r="108" spans="2:7" ht="13.5" thickBot="1">
      <c r="B108" s="125"/>
      <c r="G108" s="126"/>
    </row>
    <row r="109" spans="2:7" ht="13.5" thickBot="1">
      <c r="B109" s="125"/>
      <c r="C109" s="136" t="s">
        <v>29</v>
      </c>
      <c r="D109" s="137"/>
      <c r="E109" s="138" t="s">
        <v>232</v>
      </c>
      <c r="F109" s="139"/>
      <c r="G109" s="126"/>
    </row>
    <row r="110" spans="2:7">
      <c r="B110" s="125"/>
      <c r="G110" s="126"/>
    </row>
    <row r="111" spans="2:7">
      <c r="B111" s="125"/>
      <c r="C111" s="45" t="s">
        <v>5</v>
      </c>
      <c r="G111" s="126"/>
    </row>
    <row r="112" spans="2:7">
      <c r="B112" s="125"/>
      <c r="G112" s="126"/>
    </row>
    <row r="113" spans="2:7">
      <c r="B113" s="59">
        <v>1</v>
      </c>
      <c r="C113" s="45" t="s">
        <v>220</v>
      </c>
      <c r="G113" s="126"/>
    </row>
    <row r="114" spans="2:7">
      <c r="B114" s="59">
        <v>2</v>
      </c>
      <c r="C114" s="45" t="s">
        <v>223</v>
      </c>
      <c r="G114" s="126"/>
    </row>
    <row r="115" spans="2:7">
      <c r="B115" s="59">
        <v>3</v>
      </c>
      <c r="C115" s="45" t="s">
        <v>233</v>
      </c>
      <c r="G115" s="126"/>
    </row>
    <row r="116" spans="2:7">
      <c r="B116" s="59">
        <v>4</v>
      </c>
      <c r="C116" s="45" t="s">
        <v>32</v>
      </c>
      <c r="G116" s="126"/>
    </row>
    <row r="117" spans="2:7">
      <c r="B117" s="59">
        <v>5</v>
      </c>
      <c r="C117" s="45" t="s">
        <v>34</v>
      </c>
      <c r="G117" s="126"/>
    </row>
    <row r="118" spans="2:7">
      <c r="B118" s="59">
        <v>6</v>
      </c>
      <c r="C118" s="45" t="s">
        <v>211</v>
      </c>
      <c r="G118" s="126"/>
    </row>
    <row r="119" spans="2:7">
      <c r="B119" s="59">
        <v>7</v>
      </c>
      <c r="C119" s="45" t="s">
        <v>143</v>
      </c>
      <c r="G119" s="126"/>
    </row>
    <row r="120" spans="2:7">
      <c r="B120" s="59">
        <v>8</v>
      </c>
      <c r="C120" s="45" t="s">
        <v>230</v>
      </c>
      <c r="G120" s="126"/>
    </row>
    <row r="121" spans="2:7">
      <c r="B121" s="59">
        <v>9</v>
      </c>
      <c r="C121" s="45" t="s">
        <v>361</v>
      </c>
      <c r="G121" s="126"/>
    </row>
    <row r="122" spans="2:7">
      <c r="B122" s="59">
        <v>10</v>
      </c>
      <c r="C122" s="45" t="s">
        <v>18</v>
      </c>
      <c r="G122" s="126"/>
    </row>
    <row r="123" spans="2:7">
      <c r="B123" s="59">
        <v>11</v>
      </c>
      <c r="C123" s="45" t="s">
        <v>20</v>
      </c>
      <c r="G123" s="126"/>
    </row>
    <row r="124" spans="2:7">
      <c r="B124" s="59">
        <v>12</v>
      </c>
      <c r="C124" s="45" t="s">
        <v>15</v>
      </c>
      <c r="G124" s="126"/>
    </row>
    <row r="125" spans="2:7">
      <c r="B125" s="59">
        <v>13</v>
      </c>
      <c r="C125" s="45" t="s">
        <v>142</v>
      </c>
      <c r="G125" s="126"/>
    </row>
    <row r="126" spans="2:7">
      <c r="B126" s="59">
        <v>14</v>
      </c>
      <c r="C126" s="45" t="s">
        <v>214</v>
      </c>
      <c r="G126" s="126"/>
    </row>
    <row r="127" spans="2:7">
      <c r="B127" s="59">
        <v>15</v>
      </c>
      <c r="C127" s="45" t="s">
        <v>144</v>
      </c>
      <c r="G127" s="126"/>
    </row>
    <row r="128" spans="2:7">
      <c r="B128" s="125"/>
      <c r="G128" s="126"/>
    </row>
    <row r="129" spans="2:7">
      <c r="B129" s="125"/>
      <c r="C129" s="45" t="s">
        <v>943</v>
      </c>
      <c r="G129" s="126"/>
    </row>
    <row r="130" spans="2:7">
      <c r="B130" s="125"/>
      <c r="C130" s="45" t="s">
        <v>944</v>
      </c>
      <c r="G130" s="126"/>
    </row>
    <row r="131" spans="2:7">
      <c r="B131" s="125"/>
      <c r="C131" s="45" t="s">
        <v>940</v>
      </c>
      <c r="G131" s="126"/>
    </row>
    <row r="132" spans="2:7">
      <c r="B132" s="125"/>
      <c r="G132" s="126"/>
    </row>
    <row r="133" spans="2:7">
      <c r="B133" s="125"/>
      <c r="C133" s="124" t="s">
        <v>21</v>
      </c>
      <c r="G133" s="126"/>
    </row>
    <row r="134" spans="2:7">
      <c r="B134" s="125" t="s">
        <v>336</v>
      </c>
      <c r="C134" s="45" t="s">
        <v>214</v>
      </c>
      <c r="G134" s="126"/>
    </row>
    <row r="135" spans="2:7">
      <c r="B135" s="125" t="s">
        <v>352</v>
      </c>
      <c r="C135" s="45" t="s">
        <v>233</v>
      </c>
      <c r="G135" s="126"/>
    </row>
    <row r="136" spans="2:7">
      <c r="B136" s="125"/>
      <c r="G136" s="126"/>
    </row>
    <row r="137" spans="2:7">
      <c r="B137" s="125"/>
      <c r="C137" s="44" t="s">
        <v>337</v>
      </c>
      <c r="G137" s="126"/>
    </row>
    <row r="138" spans="2:7">
      <c r="B138" s="125" t="s">
        <v>336</v>
      </c>
      <c r="C138" s="45" t="s">
        <v>18</v>
      </c>
      <c r="G138" s="126"/>
    </row>
    <row r="139" spans="2:7">
      <c r="B139" s="125"/>
      <c r="G139" s="126"/>
    </row>
    <row r="140" spans="2:7">
      <c r="B140" s="125"/>
      <c r="C140" s="44" t="s">
        <v>23</v>
      </c>
      <c r="G140" s="126"/>
    </row>
    <row r="141" spans="2:7">
      <c r="B141" s="125" t="s">
        <v>336</v>
      </c>
      <c r="C141" s="112" t="s">
        <v>211</v>
      </c>
      <c r="G141" s="126"/>
    </row>
    <row r="142" spans="2:7" ht="13.5" thickBot="1">
      <c r="B142" s="140"/>
      <c r="C142" s="131"/>
      <c r="D142" s="131"/>
      <c r="E142" s="141"/>
      <c r="F142" s="131"/>
      <c r="G142" s="135"/>
    </row>
    <row r="144" spans="2:7" ht="13.5" thickBot="1"/>
    <row r="145" spans="2:7" ht="13.5" thickBot="1">
      <c r="B145" s="239" t="s">
        <v>945</v>
      </c>
      <c r="C145" s="240"/>
      <c r="D145" s="240"/>
      <c r="E145" s="240"/>
      <c r="F145" s="240"/>
      <c r="G145" s="241"/>
    </row>
    <row r="146" spans="2:7" ht="13.5" thickBot="1">
      <c r="B146" s="125"/>
      <c r="G146" s="126"/>
    </row>
    <row r="147" spans="2:7">
      <c r="B147" s="125"/>
      <c r="C147" s="127" t="s">
        <v>27</v>
      </c>
      <c r="D147" s="128"/>
      <c r="E147" s="128" t="s">
        <v>1</v>
      </c>
      <c r="F147" s="129">
        <v>15</v>
      </c>
      <c r="G147" s="126"/>
    </row>
    <row r="148" spans="2:7" ht="13.5" thickBot="1">
      <c r="B148" s="125"/>
      <c r="C148" s="130"/>
      <c r="D148" s="131"/>
      <c r="E148" s="131" t="s">
        <v>123</v>
      </c>
      <c r="F148" s="132">
        <v>29</v>
      </c>
      <c r="G148" s="126"/>
    </row>
    <row r="149" spans="2:7" ht="13.5" thickBot="1">
      <c r="B149" s="125"/>
      <c r="G149" s="126"/>
    </row>
    <row r="150" spans="2:7">
      <c r="B150" s="125"/>
      <c r="C150" s="127" t="s">
        <v>4</v>
      </c>
      <c r="D150" s="128"/>
      <c r="E150" s="128" t="s">
        <v>1</v>
      </c>
      <c r="F150" s="133" t="s">
        <v>205</v>
      </c>
      <c r="G150" s="126"/>
    </row>
    <row r="151" spans="2:7">
      <c r="B151" s="125"/>
      <c r="C151" s="59" t="s">
        <v>2</v>
      </c>
      <c r="E151" s="45" t="s">
        <v>326</v>
      </c>
      <c r="F151" s="126"/>
      <c r="G151" s="126"/>
    </row>
    <row r="152" spans="2:7" ht="13.5" thickBot="1">
      <c r="B152" s="125"/>
      <c r="C152" s="130" t="s">
        <v>3</v>
      </c>
      <c r="D152" s="131"/>
      <c r="E152" s="134" t="s">
        <v>326</v>
      </c>
      <c r="F152" s="135"/>
      <c r="G152" s="126"/>
    </row>
    <row r="153" spans="2:7" ht="13.5" thickBot="1">
      <c r="B153" s="125"/>
      <c r="G153" s="126"/>
    </row>
    <row r="154" spans="2:7" ht="13.5" thickBot="1">
      <c r="B154" s="125"/>
      <c r="C154" s="136" t="s">
        <v>29</v>
      </c>
      <c r="D154" s="137"/>
      <c r="E154" s="138" t="s">
        <v>213</v>
      </c>
      <c r="F154" s="139"/>
      <c r="G154" s="126"/>
    </row>
    <row r="155" spans="2:7">
      <c r="B155" s="125"/>
      <c r="G155" s="126"/>
    </row>
    <row r="156" spans="2:7">
      <c r="B156" s="125"/>
      <c r="C156" s="45" t="s">
        <v>5</v>
      </c>
      <c r="G156" s="126"/>
    </row>
    <row r="157" spans="2:7">
      <c r="B157" s="125"/>
      <c r="G157" s="126"/>
    </row>
    <row r="158" spans="2:7">
      <c r="B158" s="59">
        <v>1</v>
      </c>
      <c r="C158" s="45" t="s">
        <v>220</v>
      </c>
      <c r="G158" s="126"/>
    </row>
    <row r="159" spans="2:7">
      <c r="B159" s="59">
        <v>2</v>
      </c>
      <c r="C159" s="45" t="s">
        <v>223</v>
      </c>
      <c r="G159" s="126"/>
    </row>
    <row r="160" spans="2:7">
      <c r="B160" s="59">
        <v>3</v>
      </c>
      <c r="C160" s="45" t="s">
        <v>233</v>
      </c>
      <c r="G160" s="126"/>
    </row>
    <row r="161" spans="2:7">
      <c r="B161" s="59">
        <v>4</v>
      </c>
      <c r="C161" s="45" t="s">
        <v>32</v>
      </c>
      <c r="G161" s="126"/>
    </row>
    <row r="162" spans="2:7">
      <c r="B162" s="59">
        <v>5</v>
      </c>
      <c r="C162" s="45" t="s">
        <v>34</v>
      </c>
      <c r="G162" s="126"/>
    </row>
    <row r="163" spans="2:7">
      <c r="B163" s="59">
        <v>6</v>
      </c>
      <c r="C163" s="45" t="s">
        <v>211</v>
      </c>
      <c r="G163" s="126"/>
    </row>
    <row r="164" spans="2:7">
      <c r="B164" s="59">
        <v>7</v>
      </c>
      <c r="C164" s="45" t="s">
        <v>231</v>
      </c>
      <c r="G164" s="126"/>
    </row>
    <row r="165" spans="2:7">
      <c r="B165" s="59">
        <v>8</v>
      </c>
      <c r="C165" s="45" t="s">
        <v>230</v>
      </c>
      <c r="G165" s="126"/>
    </row>
    <row r="166" spans="2:7">
      <c r="B166" s="59">
        <v>9</v>
      </c>
      <c r="C166" s="45" t="s">
        <v>361</v>
      </c>
      <c r="G166" s="126"/>
    </row>
    <row r="167" spans="2:7">
      <c r="B167" s="59">
        <v>10</v>
      </c>
      <c r="C167" s="45" t="s">
        <v>208</v>
      </c>
      <c r="G167" s="126"/>
    </row>
    <row r="168" spans="2:7">
      <c r="B168" s="59">
        <v>11</v>
      </c>
      <c r="C168" s="45" t="s">
        <v>20</v>
      </c>
      <c r="G168" s="126"/>
    </row>
    <row r="169" spans="2:7">
      <c r="B169" s="59">
        <v>12</v>
      </c>
      <c r="C169" s="45" t="s">
        <v>15</v>
      </c>
      <c r="G169" s="126"/>
    </row>
    <row r="170" spans="2:7">
      <c r="B170" s="59">
        <v>13</v>
      </c>
      <c r="C170" s="45" t="s">
        <v>18</v>
      </c>
      <c r="G170" s="126"/>
    </row>
    <row r="171" spans="2:7">
      <c r="B171" s="59">
        <v>14</v>
      </c>
      <c r="C171" s="45" t="s">
        <v>214</v>
      </c>
      <c r="G171" s="126"/>
    </row>
    <row r="172" spans="2:7">
      <c r="B172" s="59">
        <v>15</v>
      </c>
      <c r="C172" s="45" t="s">
        <v>144</v>
      </c>
      <c r="G172" s="126"/>
    </row>
    <row r="173" spans="2:7">
      <c r="B173" s="125"/>
      <c r="G173" s="126"/>
    </row>
    <row r="174" spans="2:7">
      <c r="B174" s="125"/>
      <c r="C174" s="45" t="s">
        <v>946</v>
      </c>
      <c r="G174" s="126"/>
    </row>
    <row r="175" spans="2:7">
      <c r="B175" s="125"/>
      <c r="C175" s="45" t="s">
        <v>947</v>
      </c>
      <c r="G175" s="126"/>
    </row>
    <row r="176" spans="2:7">
      <c r="B176" s="125"/>
      <c r="C176" s="45" t="s">
        <v>948</v>
      </c>
      <c r="G176" s="126"/>
    </row>
    <row r="177" spans="2:9">
      <c r="B177" s="125"/>
      <c r="C177" s="45" t="s">
        <v>949</v>
      </c>
      <c r="G177" s="126"/>
    </row>
    <row r="178" spans="2:9">
      <c r="B178" s="125"/>
      <c r="G178" s="126"/>
    </row>
    <row r="179" spans="2:9">
      <c r="B179" s="125"/>
      <c r="C179" s="124" t="s">
        <v>21</v>
      </c>
      <c r="G179" s="126"/>
    </row>
    <row r="180" spans="2:9">
      <c r="B180" s="125" t="s">
        <v>352</v>
      </c>
      <c r="C180" s="45" t="s">
        <v>18</v>
      </c>
      <c r="G180" s="126"/>
    </row>
    <row r="181" spans="2:9">
      <c r="B181" s="125"/>
      <c r="G181" s="126"/>
      <c r="I181" s="45">
        <v>25</v>
      </c>
    </row>
    <row r="182" spans="2:9">
      <c r="B182" s="125"/>
      <c r="C182" s="44" t="s">
        <v>337</v>
      </c>
      <c r="G182" s="126"/>
      <c r="I182" s="45">
        <v>8</v>
      </c>
    </row>
    <row r="183" spans="2:9">
      <c r="B183" s="125" t="s">
        <v>336</v>
      </c>
      <c r="C183" s="45" t="s">
        <v>214</v>
      </c>
      <c r="G183" s="126"/>
      <c r="I183" s="45">
        <v>12</v>
      </c>
    </row>
    <row r="184" spans="2:9">
      <c r="B184" s="125"/>
      <c r="G184" s="126"/>
      <c r="I184" s="45">
        <v>3</v>
      </c>
    </row>
    <row r="185" spans="2:9">
      <c r="B185" s="125"/>
      <c r="C185" s="44" t="s">
        <v>22</v>
      </c>
      <c r="G185" s="126"/>
      <c r="I185" s="45">
        <f>SUM(I181:I184)</f>
        <v>48</v>
      </c>
    </row>
    <row r="186" spans="2:9">
      <c r="B186" s="125" t="s">
        <v>336</v>
      </c>
      <c r="C186" s="45" t="s">
        <v>214</v>
      </c>
      <c r="G186" s="126"/>
    </row>
    <row r="187" spans="2:9">
      <c r="B187" s="125"/>
      <c r="G187" s="126"/>
    </row>
    <row r="188" spans="2:9">
      <c r="B188" s="125"/>
      <c r="C188" s="44" t="s">
        <v>23</v>
      </c>
      <c r="G188" s="126"/>
    </row>
    <row r="189" spans="2:9">
      <c r="B189" s="125" t="s">
        <v>336</v>
      </c>
      <c r="C189" s="112" t="s">
        <v>53</v>
      </c>
      <c r="G189" s="126"/>
    </row>
    <row r="190" spans="2:9" ht="13.5" thickBot="1">
      <c r="B190" s="140"/>
      <c r="C190" s="131"/>
      <c r="D190" s="131"/>
      <c r="E190" s="141"/>
      <c r="F190" s="131"/>
      <c r="G190" s="135"/>
    </row>
    <row r="192" spans="2:9" ht="13.5" thickBot="1"/>
    <row r="193" spans="2:7" ht="13.5" thickBot="1">
      <c r="B193" s="239" t="s">
        <v>950</v>
      </c>
      <c r="C193" s="240"/>
      <c r="D193" s="240"/>
      <c r="E193" s="240"/>
      <c r="F193" s="240"/>
      <c r="G193" s="241"/>
    </row>
    <row r="194" spans="2:7" ht="13.5" thickBot="1">
      <c r="B194" s="125"/>
      <c r="G194" s="126"/>
    </row>
    <row r="195" spans="2:7">
      <c r="B195" s="125"/>
      <c r="C195" s="127" t="s">
        <v>27</v>
      </c>
      <c r="D195" s="128"/>
      <c r="E195" s="128" t="s">
        <v>138</v>
      </c>
      <c r="F195" s="129">
        <v>20</v>
      </c>
      <c r="G195" s="126"/>
    </row>
    <row r="196" spans="2:7" ht="13.5" thickBot="1">
      <c r="B196" s="125"/>
      <c r="C196" s="130"/>
      <c r="D196" s="131"/>
      <c r="E196" s="131" t="s">
        <v>1</v>
      </c>
      <c r="F196" s="132">
        <v>17</v>
      </c>
      <c r="G196" s="126"/>
    </row>
    <row r="197" spans="2:7" ht="13.5" thickBot="1">
      <c r="B197" s="125"/>
      <c r="G197" s="126"/>
    </row>
    <row r="198" spans="2:7">
      <c r="B198" s="125"/>
      <c r="C198" s="127" t="s">
        <v>4</v>
      </c>
      <c r="D198" s="128"/>
      <c r="E198" s="128" t="s">
        <v>951</v>
      </c>
      <c r="F198" s="133" t="s">
        <v>569</v>
      </c>
      <c r="G198" s="126"/>
    </row>
    <row r="199" spans="2:7">
      <c r="B199" s="125"/>
      <c r="C199" s="59" t="s">
        <v>2</v>
      </c>
      <c r="E199" s="45" t="s">
        <v>644</v>
      </c>
      <c r="F199" s="126"/>
      <c r="G199" s="126"/>
    </row>
    <row r="200" spans="2:7" ht="13.5" thickBot="1">
      <c r="B200" s="125"/>
      <c r="C200" s="130" t="s">
        <v>3</v>
      </c>
      <c r="D200" s="131"/>
      <c r="E200" s="134" t="s">
        <v>326</v>
      </c>
      <c r="F200" s="135"/>
      <c r="G200" s="126"/>
    </row>
    <row r="201" spans="2:7" ht="13.5" thickBot="1">
      <c r="B201" s="125"/>
      <c r="G201" s="126"/>
    </row>
    <row r="202" spans="2:7" ht="13.5" thickBot="1">
      <c r="B202" s="125"/>
      <c r="C202" s="136" t="s">
        <v>29</v>
      </c>
      <c r="D202" s="137"/>
      <c r="E202" s="138" t="s">
        <v>952</v>
      </c>
      <c r="F202" s="139"/>
      <c r="G202" s="126"/>
    </row>
    <row r="203" spans="2:7">
      <c r="B203" s="125"/>
      <c r="G203" s="126"/>
    </row>
    <row r="204" spans="2:7">
      <c r="B204" s="125"/>
      <c r="C204" s="45" t="s">
        <v>5</v>
      </c>
      <c r="G204" s="126"/>
    </row>
    <row r="205" spans="2:7">
      <c r="B205" s="125"/>
      <c r="G205" s="126"/>
    </row>
    <row r="206" spans="2:7">
      <c r="B206" s="59">
        <v>1</v>
      </c>
      <c r="C206" s="45" t="s">
        <v>220</v>
      </c>
      <c r="G206" s="126"/>
    </row>
    <row r="207" spans="2:7">
      <c r="B207" s="59">
        <v>2</v>
      </c>
      <c r="C207" s="45" t="s">
        <v>223</v>
      </c>
      <c r="G207" s="126"/>
    </row>
    <row r="208" spans="2:7">
      <c r="B208" s="59">
        <v>3</v>
      </c>
      <c r="C208" s="45" t="s">
        <v>233</v>
      </c>
      <c r="G208" s="126"/>
    </row>
    <row r="209" spans="2:7">
      <c r="B209" s="59">
        <v>4</v>
      </c>
      <c r="C209" s="45" t="s">
        <v>32</v>
      </c>
      <c r="G209" s="126"/>
    </row>
    <row r="210" spans="2:7">
      <c r="B210" s="59">
        <v>5</v>
      </c>
      <c r="C210" s="45" t="s">
        <v>34</v>
      </c>
      <c r="G210" s="126"/>
    </row>
    <row r="211" spans="2:7">
      <c r="B211" s="59">
        <v>6</v>
      </c>
      <c r="C211" s="45" t="s">
        <v>211</v>
      </c>
      <c r="G211" s="126"/>
    </row>
    <row r="212" spans="2:7">
      <c r="B212" s="59">
        <v>7</v>
      </c>
      <c r="C212" s="45" t="s">
        <v>231</v>
      </c>
      <c r="G212" s="126"/>
    </row>
    <row r="213" spans="2:7">
      <c r="B213" s="59">
        <v>8</v>
      </c>
      <c r="C213" s="45" t="s">
        <v>230</v>
      </c>
      <c r="G213" s="126"/>
    </row>
    <row r="214" spans="2:7">
      <c r="B214" s="59">
        <v>9</v>
      </c>
      <c r="C214" s="45" t="s">
        <v>361</v>
      </c>
      <c r="G214" s="126"/>
    </row>
    <row r="215" spans="2:7">
      <c r="B215" s="59">
        <v>10</v>
      </c>
      <c r="C215" s="45" t="s">
        <v>208</v>
      </c>
      <c r="G215" s="126"/>
    </row>
    <row r="216" spans="2:7">
      <c r="B216" s="59">
        <v>11</v>
      </c>
      <c r="C216" s="45" t="s">
        <v>20</v>
      </c>
      <c r="G216" s="126"/>
    </row>
    <row r="217" spans="2:7">
      <c r="B217" s="59">
        <v>12</v>
      </c>
      <c r="C217" s="45" t="s">
        <v>15</v>
      </c>
      <c r="G217" s="126"/>
    </row>
    <row r="218" spans="2:7">
      <c r="B218" s="59">
        <v>13</v>
      </c>
      <c r="C218" s="45" t="s">
        <v>18</v>
      </c>
      <c r="G218" s="126"/>
    </row>
    <row r="219" spans="2:7">
      <c r="B219" s="59">
        <v>14</v>
      </c>
      <c r="C219" s="45" t="s">
        <v>214</v>
      </c>
      <c r="G219" s="126"/>
    </row>
    <row r="220" spans="2:7">
      <c r="B220" s="59">
        <v>15</v>
      </c>
      <c r="C220" s="45" t="s">
        <v>144</v>
      </c>
      <c r="G220" s="126"/>
    </row>
    <row r="221" spans="2:7">
      <c r="B221" s="125"/>
      <c r="G221" s="126"/>
    </row>
    <row r="222" spans="2:7">
      <c r="B222" s="125"/>
      <c r="C222" s="45" t="s">
        <v>946</v>
      </c>
      <c r="G222" s="126"/>
    </row>
    <row r="223" spans="2:7">
      <c r="B223" s="125"/>
      <c r="C223" s="45" t="s">
        <v>953</v>
      </c>
      <c r="G223" s="126"/>
    </row>
    <row r="224" spans="2:7">
      <c r="B224" s="125"/>
      <c r="C224" s="45" t="s">
        <v>954</v>
      </c>
      <c r="G224" s="126"/>
    </row>
    <row r="225" spans="2:7">
      <c r="B225" s="125"/>
      <c r="C225" s="45" t="s">
        <v>955</v>
      </c>
      <c r="G225" s="126"/>
    </row>
    <row r="226" spans="2:7">
      <c r="B226" s="125"/>
      <c r="C226" s="45" t="s">
        <v>956</v>
      </c>
      <c r="G226" s="126"/>
    </row>
    <row r="227" spans="2:7">
      <c r="B227" s="125"/>
      <c r="C227" s="45" t="s">
        <v>706</v>
      </c>
      <c r="G227" s="126"/>
    </row>
    <row r="228" spans="2:7">
      <c r="B228" s="125"/>
      <c r="C228" s="45" t="s">
        <v>957</v>
      </c>
      <c r="G228" s="126"/>
    </row>
    <row r="229" spans="2:7">
      <c r="B229" s="125"/>
      <c r="G229" s="126"/>
    </row>
    <row r="230" spans="2:7">
      <c r="B230" s="125"/>
      <c r="C230" s="124" t="s">
        <v>21</v>
      </c>
      <c r="G230" s="126"/>
    </row>
    <row r="231" spans="2:7">
      <c r="B231" s="125" t="s">
        <v>336</v>
      </c>
      <c r="C231" s="45" t="s">
        <v>231</v>
      </c>
      <c r="G231" s="126"/>
    </row>
    <row r="232" spans="2:7">
      <c r="B232" s="125" t="s">
        <v>336</v>
      </c>
      <c r="C232" s="45" t="s">
        <v>214</v>
      </c>
      <c r="G232" s="126"/>
    </row>
    <row r="233" spans="2:7">
      <c r="B233" s="125"/>
      <c r="G233" s="126"/>
    </row>
    <row r="234" spans="2:7">
      <c r="B234" s="125"/>
      <c r="C234" s="44" t="s">
        <v>337</v>
      </c>
      <c r="G234" s="126"/>
    </row>
    <row r="235" spans="2:7">
      <c r="B235" s="125" t="s">
        <v>352</v>
      </c>
      <c r="C235" s="45" t="s">
        <v>214</v>
      </c>
      <c r="G235" s="126"/>
    </row>
    <row r="236" spans="2:7">
      <c r="B236" s="125"/>
      <c r="G236" s="126"/>
    </row>
    <row r="237" spans="2:7">
      <c r="B237" s="125"/>
      <c r="C237" s="44" t="s">
        <v>22</v>
      </c>
      <c r="G237" s="126"/>
    </row>
    <row r="238" spans="2:7">
      <c r="B238" s="125" t="s">
        <v>336</v>
      </c>
      <c r="C238" s="45" t="s">
        <v>214</v>
      </c>
      <c r="G238" s="126"/>
    </row>
    <row r="239" spans="2:7">
      <c r="B239" s="125"/>
      <c r="G239" s="126"/>
    </row>
    <row r="240" spans="2:7">
      <c r="B240" s="125"/>
      <c r="C240" s="44" t="s">
        <v>23</v>
      </c>
      <c r="G240" s="126"/>
    </row>
    <row r="241" spans="2:7">
      <c r="B241" s="125" t="s">
        <v>352</v>
      </c>
      <c r="C241" s="112" t="s">
        <v>231</v>
      </c>
      <c r="G241" s="126"/>
    </row>
    <row r="242" spans="2:7" ht="13.5" thickBot="1">
      <c r="B242" s="140"/>
      <c r="C242" s="131"/>
      <c r="D242" s="131"/>
      <c r="E242" s="141"/>
      <c r="F242" s="131"/>
      <c r="G242" s="135"/>
    </row>
    <row r="244" spans="2:7" ht="13.5" thickBot="1"/>
    <row r="245" spans="2:7" ht="13.5" thickBot="1">
      <c r="B245" s="239" t="s">
        <v>958</v>
      </c>
      <c r="C245" s="240"/>
      <c r="D245" s="240"/>
      <c r="E245" s="240"/>
      <c r="F245" s="240"/>
      <c r="G245" s="241"/>
    </row>
    <row r="246" spans="2:7" ht="13.5" thickBot="1">
      <c r="B246" s="125"/>
      <c r="G246" s="126"/>
    </row>
    <row r="247" spans="2:7">
      <c r="B247" s="125"/>
      <c r="C247" s="127" t="s">
        <v>27</v>
      </c>
      <c r="D247" s="128"/>
      <c r="E247" s="128" t="s">
        <v>1</v>
      </c>
      <c r="F247" s="129">
        <v>27</v>
      </c>
      <c r="G247" s="126"/>
    </row>
    <row r="248" spans="2:7" ht="13.5" thickBot="1">
      <c r="B248" s="125"/>
      <c r="C248" s="130"/>
      <c r="D248" s="131"/>
      <c r="E248" s="131" t="s">
        <v>76</v>
      </c>
      <c r="F248" s="132">
        <v>32</v>
      </c>
      <c r="G248" s="126"/>
    </row>
    <row r="249" spans="2:7" ht="13.5" thickBot="1">
      <c r="B249" s="125"/>
      <c r="G249" s="126"/>
    </row>
    <row r="250" spans="2:7">
      <c r="B250" s="125"/>
      <c r="C250" s="127" t="s">
        <v>4</v>
      </c>
      <c r="D250" s="128"/>
      <c r="E250" s="128" t="s">
        <v>1</v>
      </c>
      <c r="F250" s="133" t="s">
        <v>205</v>
      </c>
      <c r="G250" s="126"/>
    </row>
    <row r="251" spans="2:7">
      <c r="B251" s="125"/>
      <c r="C251" s="59" t="s">
        <v>2</v>
      </c>
      <c r="E251" s="45" t="s">
        <v>326</v>
      </c>
      <c r="F251" s="126"/>
      <c r="G251" s="126"/>
    </row>
    <row r="252" spans="2:7" ht="13.5" thickBot="1">
      <c r="B252" s="125"/>
      <c r="C252" s="130" t="s">
        <v>3</v>
      </c>
      <c r="D252" s="131"/>
      <c r="E252" s="134" t="s">
        <v>354</v>
      </c>
      <c r="F252" s="135"/>
      <c r="G252" s="126"/>
    </row>
    <row r="253" spans="2:7" ht="13.5" thickBot="1">
      <c r="B253" s="125"/>
      <c r="G253" s="126"/>
    </row>
    <row r="254" spans="2:7" ht="13.5" thickBot="1">
      <c r="B254" s="125"/>
      <c r="C254" s="136" t="s">
        <v>29</v>
      </c>
      <c r="D254" s="137"/>
      <c r="E254" s="138" t="s">
        <v>651</v>
      </c>
      <c r="F254" s="139"/>
      <c r="G254" s="126"/>
    </row>
    <row r="255" spans="2:7">
      <c r="B255" s="125"/>
      <c r="G255" s="126"/>
    </row>
    <row r="256" spans="2:7">
      <c r="B256" s="125"/>
      <c r="C256" s="45" t="s">
        <v>5</v>
      </c>
      <c r="G256" s="126"/>
    </row>
    <row r="257" spans="2:7">
      <c r="B257" s="125"/>
      <c r="G257" s="126"/>
    </row>
    <row r="258" spans="2:7">
      <c r="B258" s="59">
        <v>1</v>
      </c>
      <c r="C258" s="45" t="s">
        <v>220</v>
      </c>
      <c r="G258" s="126"/>
    </row>
    <row r="259" spans="2:7">
      <c r="B259" s="59">
        <v>2</v>
      </c>
      <c r="C259" s="45" t="s">
        <v>223</v>
      </c>
      <c r="G259" s="126"/>
    </row>
    <row r="260" spans="2:7">
      <c r="B260" s="59">
        <v>3</v>
      </c>
      <c r="C260" s="45" t="s">
        <v>233</v>
      </c>
      <c r="G260" s="126"/>
    </row>
    <row r="261" spans="2:7">
      <c r="B261" s="59">
        <v>4</v>
      </c>
      <c r="C261" s="45" t="s">
        <v>32</v>
      </c>
      <c r="G261" s="126"/>
    </row>
    <row r="262" spans="2:7">
      <c r="B262" s="59">
        <v>5</v>
      </c>
      <c r="C262" s="45" t="s">
        <v>10</v>
      </c>
      <c r="G262" s="126"/>
    </row>
    <row r="263" spans="2:7">
      <c r="B263" s="59">
        <v>6</v>
      </c>
      <c r="C263" s="45" t="s">
        <v>34</v>
      </c>
      <c r="G263" s="126"/>
    </row>
    <row r="264" spans="2:7">
      <c r="B264" s="59">
        <v>7</v>
      </c>
      <c r="C264" s="45" t="s">
        <v>231</v>
      </c>
      <c r="G264" s="126"/>
    </row>
    <row r="265" spans="2:7">
      <c r="B265" s="59">
        <v>8</v>
      </c>
      <c r="C265" s="45" t="s">
        <v>230</v>
      </c>
      <c r="G265" s="126"/>
    </row>
    <row r="266" spans="2:7">
      <c r="B266" s="59">
        <v>9</v>
      </c>
      <c r="C266" s="45" t="s">
        <v>140</v>
      </c>
      <c r="G266" s="126"/>
    </row>
    <row r="267" spans="2:7">
      <c r="B267" s="59">
        <v>10</v>
      </c>
      <c r="C267" s="45" t="s">
        <v>607</v>
      </c>
      <c r="G267" s="126"/>
    </row>
    <row r="268" spans="2:7">
      <c r="B268" s="59">
        <v>11</v>
      </c>
      <c r="C268" s="45" t="s">
        <v>959</v>
      </c>
      <c r="G268" s="126"/>
    </row>
    <row r="269" spans="2:7">
      <c r="B269" s="59">
        <v>12</v>
      </c>
      <c r="C269" s="45" t="s">
        <v>15</v>
      </c>
      <c r="G269" s="126"/>
    </row>
    <row r="270" spans="2:7">
      <c r="B270" s="59">
        <v>13</v>
      </c>
      <c r="C270" s="45" t="s">
        <v>18</v>
      </c>
      <c r="G270" s="126"/>
    </row>
    <row r="271" spans="2:7">
      <c r="B271" s="59">
        <v>14</v>
      </c>
      <c r="C271" s="45" t="s">
        <v>214</v>
      </c>
      <c r="G271" s="126"/>
    </row>
    <row r="272" spans="2:7">
      <c r="B272" s="59">
        <v>15</v>
      </c>
      <c r="C272" s="45" t="s">
        <v>20</v>
      </c>
      <c r="G272" s="126"/>
    </row>
    <row r="273" spans="2:7">
      <c r="B273" s="125"/>
      <c r="G273" s="126"/>
    </row>
    <row r="274" spans="2:7">
      <c r="B274" s="125"/>
      <c r="C274" s="45" t="s">
        <v>946</v>
      </c>
      <c r="G274" s="126"/>
    </row>
    <row r="275" spans="2:7">
      <c r="B275" s="125"/>
      <c r="C275" s="45" t="s">
        <v>765</v>
      </c>
      <c r="G275" s="126"/>
    </row>
    <row r="276" spans="2:7">
      <c r="B276" s="125"/>
      <c r="C276" s="45" t="s">
        <v>960</v>
      </c>
      <c r="G276" s="126"/>
    </row>
    <row r="277" spans="2:7">
      <c r="B277" s="125"/>
      <c r="C277" s="45" t="s">
        <v>847</v>
      </c>
      <c r="G277" s="126"/>
    </row>
    <row r="278" spans="2:7">
      <c r="B278" s="125"/>
      <c r="G278" s="126"/>
    </row>
    <row r="279" spans="2:7">
      <c r="B279" s="125"/>
      <c r="C279" s="124" t="s">
        <v>21</v>
      </c>
      <c r="G279" s="126"/>
    </row>
    <row r="280" spans="2:7">
      <c r="B280" s="125" t="s">
        <v>336</v>
      </c>
      <c r="C280" s="45" t="s">
        <v>214</v>
      </c>
      <c r="G280" s="126"/>
    </row>
    <row r="281" spans="2:7">
      <c r="B281" s="125" t="s">
        <v>336</v>
      </c>
      <c r="C281" s="45" t="s">
        <v>607</v>
      </c>
      <c r="G281" s="126"/>
    </row>
    <row r="282" spans="2:7">
      <c r="B282" s="125" t="s">
        <v>336</v>
      </c>
      <c r="C282" s="45" t="s">
        <v>18</v>
      </c>
      <c r="G282" s="126"/>
    </row>
    <row r="283" spans="2:7">
      <c r="B283" s="125" t="s">
        <v>336</v>
      </c>
      <c r="C283" s="45" t="s">
        <v>231</v>
      </c>
      <c r="G283" s="126"/>
    </row>
    <row r="284" spans="2:7">
      <c r="B284" s="125" t="s">
        <v>336</v>
      </c>
      <c r="C284" s="45" t="s">
        <v>20</v>
      </c>
      <c r="G284" s="126"/>
    </row>
    <row r="285" spans="2:7">
      <c r="B285" s="125"/>
      <c r="G285" s="126"/>
    </row>
    <row r="286" spans="2:7">
      <c r="B286" s="125"/>
      <c r="C286" s="44" t="s">
        <v>337</v>
      </c>
      <c r="G286" s="126"/>
    </row>
    <row r="287" spans="2:7">
      <c r="B287" s="125" t="s">
        <v>336</v>
      </c>
      <c r="C287" s="45" t="s">
        <v>607</v>
      </c>
      <c r="G287" s="126"/>
    </row>
    <row r="288" spans="2:7">
      <c r="B288" s="125"/>
      <c r="G288" s="126"/>
    </row>
    <row r="289" spans="2:7">
      <c r="B289" s="125"/>
      <c r="C289" s="44" t="s">
        <v>23</v>
      </c>
      <c r="G289" s="126"/>
    </row>
    <row r="290" spans="2:7">
      <c r="B290" s="125" t="s">
        <v>336</v>
      </c>
      <c r="C290" s="45" t="s">
        <v>223</v>
      </c>
      <c r="G290" s="126"/>
    </row>
    <row r="291" spans="2:7" ht="13.5" thickBot="1">
      <c r="B291" s="140"/>
      <c r="C291" s="131"/>
      <c r="D291" s="131"/>
      <c r="E291" s="141"/>
      <c r="F291" s="131"/>
      <c r="G291" s="135"/>
    </row>
    <row r="293" spans="2:7" ht="13.5" thickBot="1"/>
    <row r="294" spans="2:7" ht="13.5" thickBot="1">
      <c r="B294" s="239" t="s">
        <v>961</v>
      </c>
      <c r="C294" s="240"/>
      <c r="D294" s="240"/>
      <c r="E294" s="240"/>
      <c r="F294" s="240"/>
      <c r="G294" s="241"/>
    </row>
    <row r="295" spans="2:7" ht="13.5" thickBot="1">
      <c r="B295" s="125"/>
      <c r="G295" s="126"/>
    </row>
    <row r="296" spans="2:7">
      <c r="B296" s="125"/>
      <c r="C296" s="127" t="s">
        <v>27</v>
      </c>
      <c r="D296" s="128"/>
      <c r="E296" s="128" t="s">
        <v>74</v>
      </c>
      <c r="F296" s="129">
        <v>48</v>
      </c>
      <c r="G296" s="126"/>
    </row>
    <row r="297" spans="2:7" ht="13.5" thickBot="1">
      <c r="B297" s="125"/>
      <c r="C297" s="130"/>
      <c r="D297" s="131"/>
      <c r="E297" s="131" t="s">
        <v>1</v>
      </c>
      <c r="F297" s="132">
        <v>13</v>
      </c>
      <c r="G297" s="126"/>
    </row>
    <row r="298" spans="2:7" ht="13.5" thickBot="1">
      <c r="B298" s="125"/>
      <c r="G298" s="126"/>
    </row>
    <row r="299" spans="2:7">
      <c r="B299" s="125"/>
      <c r="C299" s="127" t="s">
        <v>4</v>
      </c>
      <c r="D299" s="128"/>
      <c r="E299" s="128" t="s">
        <v>74</v>
      </c>
      <c r="F299" s="133"/>
      <c r="G299" s="126"/>
    </row>
    <row r="300" spans="2:7">
      <c r="B300" s="125"/>
      <c r="C300" s="59" t="s">
        <v>2</v>
      </c>
      <c r="E300" s="45" t="s">
        <v>326</v>
      </c>
      <c r="F300" s="126"/>
      <c r="G300" s="126"/>
    </row>
    <row r="301" spans="2:7" ht="13.5" thickBot="1">
      <c r="B301" s="125"/>
      <c r="C301" s="130" t="s">
        <v>3</v>
      </c>
      <c r="D301" s="131"/>
      <c r="E301" s="134" t="s">
        <v>326</v>
      </c>
      <c r="F301" s="135"/>
      <c r="G301" s="126"/>
    </row>
    <row r="302" spans="2:7" ht="13.5" thickBot="1">
      <c r="B302" s="125"/>
      <c r="G302" s="126"/>
    </row>
    <row r="303" spans="2:7" ht="13.5" thickBot="1">
      <c r="B303" s="125"/>
      <c r="C303" s="136" t="s">
        <v>29</v>
      </c>
      <c r="D303" s="137"/>
      <c r="E303" s="138" t="s">
        <v>228</v>
      </c>
      <c r="F303" s="139"/>
      <c r="G303" s="126"/>
    </row>
    <row r="304" spans="2:7">
      <c r="B304" s="125"/>
      <c r="G304" s="126"/>
    </row>
    <row r="305" spans="2:7">
      <c r="B305" s="125"/>
      <c r="C305" s="45" t="s">
        <v>5</v>
      </c>
      <c r="G305" s="126"/>
    </row>
    <row r="306" spans="2:7">
      <c r="B306" s="125"/>
      <c r="G306" s="126"/>
    </row>
    <row r="307" spans="2:7">
      <c r="B307" s="59">
        <v>1</v>
      </c>
      <c r="C307" s="45" t="s">
        <v>220</v>
      </c>
      <c r="G307" s="126"/>
    </row>
    <row r="308" spans="2:7">
      <c r="B308" s="59">
        <v>2</v>
      </c>
      <c r="C308" s="45" t="s">
        <v>223</v>
      </c>
      <c r="G308" s="126"/>
    </row>
    <row r="309" spans="2:7">
      <c r="B309" s="59">
        <v>3</v>
      </c>
      <c r="C309" s="45" t="s">
        <v>160</v>
      </c>
      <c r="G309" s="126"/>
    </row>
    <row r="310" spans="2:7">
      <c r="B310" s="59">
        <v>4</v>
      </c>
      <c r="C310" s="45" t="s">
        <v>32</v>
      </c>
      <c r="G310" s="126"/>
    </row>
    <row r="311" spans="2:7">
      <c r="B311" s="59">
        <v>5</v>
      </c>
      <c r="C311" s="45" t="s">
        <v>207</v>
      </c>
      <c r="G311" s="126"/>
    </row>
    <row r="312" spans="2:7">
      <c r="B312" s="59">
        <v>6</v>
      </c>
      <c r="C312" s="45" t="s">
        <v>34</v>
      </c>
      <c r="G312" s="126"/>
    </row>
    <row r="313" spans="2:7">
      <c r="B313" s="59">
        <v>7</v>
      </c>
      <c r="C313" s="45" t="s">
        <v>231</v>
      </c>
      <c r="G313" s="126"/>
    </row>
    <row r="314" spans="2:7">
      <c r="B314" s="59">
        <v>8</v>
      </c>
      <c r="C314" s="45" t="s">
        <v>230</v>
      </c>
      <c r="G314" s="126"/>
    </row>
    <row r="315" spans="2:7">
      <c r="B315" s="59">
        <v>9</v>
      </c>
      <c r="C315" s="45" t="s">
        <v>140</v>
      </c>
      <c r="G315" s="126"/>
    </row>
    <row r="316" spans="2:7">
      <c r="B316" s="59">
        <v>10</v>
      </c>
      <c r="C316" s="45" t="s">
        <v>607</v>
      </c>
      <c r="G316" s="126"/>
    </row>
    <row r="317" spans="2:7">
      <c r="B317" s="59">
        <v>11</v>
      </c>
      <c r="C317" s="45" t="s">
        <v>959</v>
      </c>
      <c r="G317" s="126"/>
    </row>
    <row r="318" spans="2:7">
      <c r="B318" s="59">
        <v>12</v>
      </c>
      <c r="C318" s="45" t="s">
        <v>15</v>
      </c>
      <c r="G318" s="126"/>
    </row>
    <row r="319" spans="2:7">
      <c r="B319" s="59">
        <v>13</v>
      </c>
      <c r="C319" s="45" t="s">
        <v>18</v>
      </c>
      <c r="G319" s="126"/>
    </row>
    <row r="320" spans="2:7">
      <c r="B320" s="59">
        <v>14</v>
      </c>
      <c r="C320" s="45" t="s">
        <v>214</v>
      </c>
      <c r="G320" s="126"/>
    </row>
    <row r="321" spans="2:7">
      <c r="B321" s="59">
        <v>15</v>
      </c>
      <c r="C321" s="45" t="s">
        <v>234</v>
      </c>
      <c r="G321" s="126"/>
    </row>
    <row r="322" spans="2:7">
      <c r="B322" s="125"/>
      <c r="G322" s="126"/>
    </row>
    <row r="323" spans="2:7">
      <c r="B323" s="125"/>
      <c r="C323" s="45" t="s">
        <v>962</v>
      </c>
      <c r="G323" s="126"/>
    </row>
    <row r="324" spans="2:7">
      <c r="B324" s="125"/>
      <c r="C324" s="45" t="s">
        <v>963</v>
      </c>
      <c r="G324" s="126"/>
    </row>
    <row r="325" spans="2:7">
      <c r="B325" s="125"/>
      <c r="C325" s="45" t="s">
        <v>940</v>
      </c>
      <c r="G325" s="126"/>
    </row>
    <row r="326" spans="2:7">
      <c r="B326" s="125"/>
      <c r="C326" s="45" t="s">
        <v>925</v>
      </c>
      <c r="G326" s="126"/>
    </row>
    <row r="327" spans="2:7">
      <c r="B327" s="125"/>
      <c r="C327" s="45" t="s">
        <v>964</v>
      </c>
      <c r="G327" s="126"/>
    </row>
    <row r="328" spans="2:7">
      <c r="B328" s="125"/>
      <c r="C328" s="45" t="s">
        <v>965</v>
      </c>
      <c r="G328" s="126"/>
    </row>
    <row r="329" spans="2:7">
      <c r="B329" s="125"/>
      <c r="G329" s="126"/>
    </row>
    <row r="330" spans="2:7">
      <c r="B330" s="125"/>
      <c r="C330" s="124" t="s">
        <v>21</v>
      </c>
      <c r="G330" s="126"/>
    </row>
    <row r="331" spans="2:7">
      <c r="B331" s="125" t="s">
        <v>336</v>
      </c>
      <c r="C331" s="45" t="s">
        <v>234</v>
      </c>
      <c r="G331" s="126"/>
    </row>
    <row r="332" spans="2:7">
      <c r="B332" s="125" t="s">
        <v>336</v>
      </c>
      <c r="C332" s="45" t="s">
        <v>607</v>
      </c>
      <c r="G332" s="126"/>
    </row>
    <row r="333" spans="2:7">
      <c r="B333" s="125"/>
      <c r="G333" s="126"/>
    </row>
    <row r="334" spans="2:7">
      <c r="B334" s="125"/>
      <c r="C334" s="44" t="s">
        <v>22</v>
      </c>
      <c r="G334" s="126"/>
    </row>
    <row r="335" spans="2:7">
      <c r="B335" s="125" t="s">
        <v>336</v>
      </c>
      <c r="C335" s="45" t="s">
        <v>214</v>
      </c>
      <c r="G335" s="126"/>
    </row>
    <row r="336" spans="2:7">
      <c r="B336" s="125"/>
      <c r="G336" s="126"/>
    </row>
    <row r="337" spans="2:7">
      <c r="B337" s="125"/>
      <c r="C337" s="44" t="s">
        <v>23</v>
      </c>
      <c r="G337" s="126"/>
    </row>
    <row r="338" spans="2:7">
      <c r="B338" s="125" t="s">
        <v>336</v>
      </c>
      <c r="C338" s="112" t="s">
        <v>234</v>
      </c>
      <c r="G338" s="126"/>
    </row>
    <row r="339" spans="2:7" ht="13.5" thickBot="1">
      <c r="B339" s="140"/>
      <c r="C339" s="131"/>
      <c r="D339" s="131"/>
      <c r="E339" s="141"/>
      <c r="F339" s="131"/>
      <c r="G339" s="135"/>
    </row>
    <row r="341" spans="2:7" ht="13.5" thickBot="1"/>
    <row r="342" spans="2:7" ht="13.5" thickBot="1">
      <c r="B342" s="239" t="s">
        <v>966</v>
      </c>
      <c r="C342" s="240"/>
      <c r="D342" s="240"/>
      <c r="E342" s="240"/>
      <c r="F342" s="240"/>
      <c r="G342" s="241"/>
    </row>
    <row r="343" spans="2:7" ht="13.5" thickBot="1">
      <c r="B343" s="125"/>
      <c r="G343" s="126"/>
    </row>
    <row r="344" spans="2:7">
      <c r="B344" s="125"/>
      <c r="C344" s="127" t="s">
        <v>27</v>
      </c>
      <c r="D344" s="128"/>
      <c r="E344" s="128" t="s">
        <v>1</v>
      </c>
      <c r="F344" s="129">
        <v>36</v>
      </c>
      <c r="G344" s="126"/>
    </row>
    <row r="345" spans="2:7" ht="13.5" thickBot="1">
      <c r="B345" s="125"/>
      <c r="C345" s="130"/>
      <c r="D345" s="131"/>
      <c r="E345" s="131" t="s">
        <v>92</v>
      </c>
      <c r="F345" s="132">
        <v>37</v>
      </c>
      <c r="G345" s="126"/>
    </row>
    <row r="346" spans="2:7" ht="13.5" thickBot="1">
      <c r="B346" s="125"/>
      <c r="G346" s="126"/>
    </row>
    <row r="347" spans="2:7">
      <c r="B347" s="125"/>
      <c r="C347" s="127" t="s">
        <v>4</v>
      </c>
      <c r="D347" s="128"/>
      <c r="E347" s="128" t="s">
        <v>1</v>
      </c>
      <c r="F347" s="133" t="s">
        <v>205</v>
      </c>
      <c r="G347" s="126"/>
    </row>
    <row r="348" spans="2:7">
      <c r="B348" s="125"/>
      <c r="C348" s="59" t="s">
        <v>2</v>
      </c>
      <c r="E348" s="45"/>
      <c r="F348" s="126"/>
      <c r="G348" s="126"/>
    </row>
    <row r="349" spans="2:7" ht="13.5" thickBot="1">
      <c r="B349" s="125"/>
      <c r="C349" s="130" t="s">
        <v>3</v>
      </c>
      <c r="D349" s="131"/>
      <c r="E349" s="134"/>
      <c r="F349" s="135"/>
      <c r="G349" s="126"/>
    </row>
    <row r="350" spans="2:7" ht="13.5" thickBot="1">
      <c r="B350" s="125"/>
      <c r="G350" s="126"/>
    </row>
    <row r="351" spans="2:7" ht="13.5" thickBot="1">
      <c r="B351" s="125"/>
      <c r="C351" s="136" t="s">
        <v>29</v>
      </c>
      <c r="D351" s="137"/>
      <c r="E351" s="138" t="s">
        <v>235</v>
      </c>
      <c r="F351" s="139"/>
      <c r="G351" s="126"/>
    </row>
    <row r="352" spans="2:7">
      <c r="B352" s="125"/>
      <c r="G352" s="126"/>
    </row>
    <row r="353" spans="2:7">
      <c r="B353" s="125"/>
      <c r="C353" s="45" t="s">
        <v>5</v>
      </c>
      <c r="G353" s="126"/>
    </row>
    <row r="354" spans="2:7">
      <c r="B354" s="125"/>
      <c r="G354" s="126"/>
    </row>
    <row r="355" spans="2:7">
      <c r="B355" s="59">
        <v>1</v>
      </c>
      <c r="C355" s="45" t="s">
        <v>220</v>
      </c>
      <c r="G355" s="126"/>
    </row>
    <row r="356" spans="2:7">
      <c r="B356" s="59">
        <v>2</v>
      </c>
      <c r="C356" s="45" t="s">
        <v>223</v>
      </c>
      <c r="G356" s="126"/>
    </row>
    <row r="357" spans="2:7">
      <c r="B357" s="59">
        <v>3</v>
      </c>
      <c r="C357" s="45" t="s">
        <v>160</v>
      </c>
      <c r="G357" s="126"/>
    </row>
    <row r="358" spans="2:7">
      <c r="B358" s="59">
        <v>4</v>
      </c>
      <c r="C358" s="45" t="s">
        <v>32</v>
      </c>
      <c r="G358" s="126"/>
    </row>
    <row r="359" spans="2:7">
      <c r="B359" s="59">
        <v>5</v>
      </c>
      <c r="C359" s="45" t="s">
        <v>207</v>
      </c>
      <c r="G359" s="126"/>
    </row>
    <row r="360" spans="2:7">
      <c r="B360" s="59">
        <v>6</v>
      </c>
      <c r="C360" s="45" t="s">
        <v>34</v>
      </c>
      <c r="G360" s="126"/>
    </row>
    <row r="361" spans="2:7">
      <c r="B361" s="59">
        <v>7</v>
      </c>
      <c r="C361" s="45" t="s">
        <v>230</v>
      </c>
      <c r="G361" s="126"/>
    </row>
    <row r="362" spans="2:7">
      <c r="B362" s="59">
        <v>8</v>
      </c>
      <c r="C362" s="45" t="s">
        <v>33</v>
      </c>
      <c r="G362" s="126"/>
    </row>
    <row r="363" spans="2:7">
      <c r="B363" s="59">
        <v>9</v>
      </c>
      <c r="C363" s="45" t="s">
        <v>140</v>
      </c>
      <c r="G363" s="126"/>
    </row>
    <row r="364" spans="2:7">
      <c r="B364" s="59">
        <v>10</v>
      </c>
      <c r="C364" s="45" t="s">
        <v>607</v>
      </c>
      <c r="G364" s="126"/>
    </row>
    <row r="365" spans="2:7">
      <c r="B365" s="59">
        <v>11</v>
      </c>
      <c r="C365" s="45" t="s">
        <v>959</v>
      </c>
      <c r="G365" s="126"/>
    </row>
    <row r="366" spans="2:7">
      <c r="B366" s="59">
        <v>12</v>
      </c>
      <c r="C366" s="45" t="s">
        <v>15</v>
      </c>
      <c r="G366" s="126"/>
    </row>
    <row r="367" spans="2:7">
      <c r="B367" s="59">
        <v>13</v>
      </c>
      <c r="C367" s="45" t="s">
        <v>18</v>
      </c>
      <c r="G367" s="126"/>
    </row>
    <row r="368" spans="2:7">
      <c r="B368" s="59">
        <v>14</v>
      </c>
      <c r="C368" s="45" t="s">
        <v>214</v>
      </c>
      <c r="G368" s="126"/>
    </row>
    <row r="369" spans="2:7">
      <c r="B369" s="59">
        <v>15</v>
      </c>
      <c r="C369" s="45" t="s">
        <v>234</v>
      </c>
      <c r="G369" s="126"/>
    </row>
    <row r="370" spans="2:7">
      <c r="B370" s="125"/>
      <c r="G370" s="126"/>
    </row>
    <row r="371" spans="2:7">
      <c r="B371" s="125"/>
      <c r="C371" s="45" t="s">
        <v>962</v>
      </c>
      <c r="G371" s="126"/>
    </row>
    <row r="372" spans="2:7">
      <c r="B372" s="125"/>
      <c r="C372" s="45" t="s">
        <v>965</v>
      </c>
      <c r="G372" s="126"/>
    </row>
    <row r="373" spans="2:7">
      <c r="B373" s="125"/>
      <c r="C373" s="45" t="s">
        <v>940</v>
      </c>
      <c r="G373" s="126"/>
    </row>
    <row r="374" spans="2:7">
      <c r="B374" s="125"/>
      <c r="C374" s="45" t="s">
        <v>967</v>
      </c>
      <c r="G374" s="126"/>
    </row>
    <row r="375" spans="2:7">
      <c r="B375" s="125"/>
      <c r="C375" s="45" t="s">
        <v>925</v>
      </c>
      <c r="G375" s="126"/>
    </row>
    <row r="376" spans="2:7">
      <c r="B376" s="125"/>
      <c r="C376" s="45" t="s">
        <v>968</v>
      </c>
      <c r="G376" s="126"/>
    </row>
    <row r="377" spans="2:7">
      <c r="B377" s="125"/>
      <c r="G377" s="126"/>
    </row>
    <row r="378" spans="2:7">
      <c r="B378" s="125"/>
      <c r="C378" s="124" t="s">
        <v>21</v>
      </c>
      <c r="G378" s="126"/>
    </row>
    <row r="379" spans="2:7">
      <c r="B379" s="125" t="s">
        <v>336</v>
      </c>
      <c r="C379" s="45" t="s">
        <v>18</v>
      </c>
      <c r="G379" s="126"/>
    </row>
    <row r="380" spans="2:7">
      <c r="B380" s="125" t="s">
        <v>352</v>
      </c>
      <c r="C380" s="45" t="s">
        <v>214</v>
      </c>
      <c r="G380" s="126"/>
    </row>
    <row r="381" spans="2:7">
      <c r="B381" s="125" t="s">
        <v>352</v>
      </c>
      <c r="C381" s="45" t="s">
        <v>234</v>
      </c>
      <c r="G381" s="126"/>
    </row>
    <row r="382" spans="2:7">
      <c r="B382" s="125"/>
      <c r="G382" s="126"/>
    </row>
    <row r="383" spans="2:7">
      <c r="B383" s="125"/>
      <c r="C383" s="44" t="s">
        <v>22</v>
      </c>
      <c r="G383" s="126"/>
    </row>
    <row r="384" spans="2:7">
      <c r="B384" s="125" t="s">
        <v>336</v>
      </c>
      <c r="C384" s="45" t="s">
        <v>607</v>
      </c>
      <c r="G384" s="126"/>
    </row>
    <row r="385" spans="2:7">
      <c r="B385" s="125"/>
      <c r="G385" s="126"/>
    </row>
    <row r="386" spans="2:7">
      <c r="B386" s="125"/>
      <c r="C386" s="44" t="s">
        <v>337</v>
      </c>
      <c r="G386" s="126"/>
    </row>
    <row r="387" spans="2:7">
      <c r="B387" s="125" t="s">
        <v>338</v>
      </c>
      <c r="C387" s="45" t="s">
        <v>607</v>
      </c>
      <c r="G387" s="126"/>
    </row>
    <row r="388" spans="2:7">
      <c r="B388" s="125"/>
      <c r="G388" s="126"/>
    </row>
    <row r="389" spans="2:7">
      <c r="B389" s="125"/>
      <c r="C389" s="44" t="s">
        <v>642</v>
      </c>
      <c r="G389" s="126"/>
    </row>
    <row r="390" spans="2:7">
      <c r="B390" s="125" t="s">
        <v>336</v>
      </c>
      <c r="C390" s="112" t="s">
        <v>18</v>
      </c>
      <c r="G390" s="126"/>
    </row>
    <row r="391" spans="2:7" ht="13.5" thickBot="1">
      <c r="B391" s="140"/>
      <c r="C391" s="131"/>
      <c r="D391" s="131"/>
      <c r="E391" s="141"/>
      <c r="F391" s="131"/>
      <c r="G391" s="135"/>
    </row>
    <row r="393" spans="2:7" ht="13.5" thickBot="1"/>
    <row r="394" spans="2:7" ht="13.5" thickBot="1">
      <c r="B394" s="239" t="s">
        <v>969</v>
      </c>
      <c r="C394" s="240"/>
      <c r="D394" s="240"/>
      <c r="E394" s="240"/>
      <c r="F394" s="240"/>
      <c r="G394" s="241"/>
    </row>
    <row r="395" spans="2:7" ht="13.5" thickBot="1">
      <c r="B395" s="125"/>
      <c r="G395" s="126"/>
    </row>
    <row r="396" spans="2:7">
      <c r="B396" s="125"/>
      <c r="C396" s="127" t="s">
        <v>27</v>
      </c>
      <c r="D396" s="128"/>
      <c r="E396" s="128" t="s">
        <v>49</v>
      </c>
      <c r="F396" s="129">
        <v>27</v>
      </c>
      <c r="G396" s="126"/>
    </row>
    <row r="397" spans="2:7" ht="13.5" thickBot="1">
      <c r="B397" s="125"/>
      <c r="C397" s="130"/>
      <c r="D397" s="131"/>
      <c r="E397" s="131" t="s">
        <v>1</v>
      </c>
      <c r="F397" s="132">
        <v>32</v>
      </c>
      <c r="G397" s="126"/>
    </row>
    <row r="398" spans="2:7" ht="13.5" thickBot="1">
      <c r="B398" s="125"/>
      <c r="G398" s="126"/>
    </row>
    <row r="399" spans="2:7">
      <c r="B399" s="125"/>
      <c r="C399" s="127" t="s">
        <v>4</v>
      </c>
      <c r="D399" s="128"/>
      <c r="E399" s="128" t="s">
        <v>49</v>
      </c>
      <c r="F399" s="133"/>
      <c r="G399" s="126"/>
    </row>
    <row r="400" spans="2:7">
      <c r="B400" s="125"/>
      <c r="C400" s="59" t="s">
        <v>2</v>
      </c>
      <c r="E400" s="45" t="s">
        <v>326</v>
      </c>
      <c r="F400" s="126"/>
      <c r="G400" s="126"/>
    </row>
    <row r="401" spans="2:7" ht="13.5" thickBot="1">
      <c r="B401" s="125"/>
      <c r="C401" s="130" t="s">
        <v>3</v>
      </c>
      <c r="D401" s="131"/>
      <c r="E401" s="134" t="s">
        <v>354</v>
      </c>
      <c r="F401" s="135"/>
      <c r="G401" s="126"/>
    </row>
    <row r="402" spans="2:7" ht="13.5" thickBot="1">
      <c r="B402" s="125"/>
      <c r="G402" s="126"/>
    </row>
    <row r="403" spans="2:7" ht="13.5" thickBot="1">
      <c r="B403" s="125"/>
      <c r="C403" s="136" t="s">
        <v>29</v>
      </c>
      <c r="D403" s="137"/>
      <c r="E403" s="138" t="s">
        <v>226</v>
      </c>
      <c r="F403" s="139"/>
      <c r="G403" s="126"/>
    </row>
    <row r="404" spans="2:7">
      <c r="B404" s="125"/>
      <c r="G404" s="126"/>
    </row>
    <row r="405" spans="2:7">
      <c r="B405" s="125"/>
      <c r="C405" s="45" t="s">
        <v>5</v>
      </c>
      <c r="G405" s="126"/>
    </row>
    <row r="406" spans="2:7">
      <c r="B406" s="125"/>
      <c r="G406" s="126"/>
    </row>
    <row r="407" spans="2:7">
      <c r="B407" s="59">
        <v>1</v>
      </c>
      <c r="C407" s="45" t="s">
        <v>220</v>
      </c>
      <c r="G407" s="126"/>
    </row>
    <row r="408" spans="2:7">
      <c r="B408" s="59">
        <v>2</v>
      </c>
      <c r="C408" s="45" t="s">
        <v>223</v>
      </c>
      <c r="G408" s="126"/>
    </row>
    <row r="409" spans="2:7">
      <c r="B409" s="59">
        <v>3</v>
      </c>
      <c r="C409" s="45" t="s">
        <v>6</v>
      </c>
      <c r="G409" s="126"/>
    </row>
    <row r="410" spans="2:7">
      <c r="B410" s="59">
        <v>4</v>
      </c>
      <c r="C410" s="45" t="s">
        <v>32</v>
      </c>
      <c r="G410" s="126"/>
    </row>
    <row r="411" spans="2:7">
      <c r="B411" s="59">
        <v>5</v>
      </c>
      <c r="C411" s="45" t="s">
        <v>207</v>
      </c>
      <c r="G411" s="126"/>
    </row>
    <row r="412" spans="2:7">
      <c r="B412" s="59">
        <v>6</v>
      </c>
      <c r="C412" s="45" t="s">
        <v>34</v>
      </c>
      <c r="G412" s="126"/>
    </row>
    <row r="413" spans="2:7">
      <c r="B413" s="59">
        <v>7</v>
      </c>
      <c r="C413" s="45" t="s">
        <v>164</v>
      </c>
      <c r="G413" s="126"/>
    </row>
    <row r="414" spans="2:7">
      <c r="B414" s="59">
        <v>8</v>
      </c>
      <c r="C414" s="45" t="s">
        <v>33</v>
      </c>
      <c r="G414" s="126"/>
    </row>
    <row r="415" spans="2:7">
      <c r="B415" s="59">
        <v>9</v>
      </c>
      <c r="C415" s="45" t="s">
        <v>140</v>
      </c>
      <c r="G415" s="126"/>
    </row>
    <row r="416" spans="2:7">
      <c r="B416" s="59">
        <v>10</v>
      </c>
      <c r="C416" s="45" t="s">
        <v>607</v>
      </c>
      <c r="G416" s="126"/>
    </row>
    <row r="417" spans="2:7">
      <c r="B417" s="59">
        <v>11</v>
      </c>
      <c r="C417" s="45" t="s">
        <v>959</v>
      </c>
      <c r="G417" s="126"/>
    </row>
    <row r="418" spans="2:7">
      <c r="B418" s="59">
        <v>12</v>
      </c>
      <c r="C418" s="45" t="s">
        <v>15</v>
      </c>
      <c r="G418" s="126"/>
    </row>
    <row r="419" spans="2:7">
      <c r="B419" s="59">
        <v>13</v>
      </c>
      <c r="C419" s="45" t="s">
        <v>236</v>
      </c>
      <c r="G419" s="126"/>
    </row>
    <row r="420" spans="2:7">
      <c r="B420" s="59">
        <v>14</v>
      </c>
      <c r="C420" s="45" t="s">
        <v>214</v>
      </c>
      <c r="G420" s="126"/>
    </row>
    <row r="421" spans="2:7">
      <c r="B421" s="59">
        <v>15</v>
      </c>
      <c r="C421" s="45" t="s">
        <v>234</v>
      </c>
      <c r="G421" s="126"/>
    </row>
    <row r="422" spans="2:7">
      <c r="B422" s="125"/>
      <c r="G422" s="126"/>
    </row>
    <row r="423" spans="2:7">
      <c r="B423" s="125"/>
      <c r="C423" s="45" t="s">
        <v>970</v>
      </c>
      <c r="G423" s="126"/>
    </row>
    <row r="424" spans="2:7">
      <c r="B424" s="125"/>
      <c r="C424" s="45" t="s">
        <v>971</v>
      </c>
      <c r="G424" s="126"/>
    </row>
    <row r="425" spans="2:7">
      <c r="B425" s="125"/>
      <c r="C425" s="45" t="s">
        <v>863</v>
      </c>
      <c r="G425" s="126"/>
    </row>
    <row r="426" spans="2:7">
      <c r="B426" s="125"/>
      <c r="C426" s="45" t="s">
        <v>972</v>
      </c>
      <c r="G426" s="126"/>
    </row>
    <row r="427" spans="2:7">
      <c r="B427" s="125"/>
      <c r="C427" s="45" t="s">
        <v>948</v>
      </c>
      <c r="G427" s="126"/>
    </row>
    <row r="428" spans="2:7">
      <c r="B428" s="125"/>
      <c r="C428" s="45" t="s">
        <v>965</v>
      </c>
      <c r="G428" s="126"/>
    </row>
    <row r="429" spans="2:7">
      <c r="B429" s="125"/>
      <c r="C429" s="45" t="s">
        <v>833</v>
      </c>
      <c r="G429" s="126"/>
    </row>
    <row r="430" spans="2:7">
      <c r="B430" s="125"/>
      <c r="G430" s="126"/>
    </row>
    <row r="431" spans="2:7">
      <c r="B431" s="125"/>
      <c r="C431" s="124" t="s">
        <v>21</v>
      </c>
      <c r="G431" s="126"/>
    </row>
    <row r="432" spans="2:7">
      <c r="B432" s="125" t="s">
        <v>336</v>
      </c>
      <c r="C432" s="45" t="s">
        <v>6</v>
      </c>
      <c r="G432" s="126"/>
    </row>
    <row r="433" spans="2:7">
      <c r="B433" s="125" t="s">
        <v>336</v>
      </c>
      <c r="C433" s="45" t="s">
        <v>144</v>
      </c>
      <c r="G433" s="126"/>
    </row>
    <row r="434" spans="2:7">
      <c r="B434" s="125" t="s">
        <v>336</v>
      </c>
      <c r="C434" s="45" t="s">
        <v>214</v>
      </c>
      <c r="G434" s="126"/>
    </row>
    <row r="435" spans="2:7">
      <c r="B435" s="125" t="s">
        <v>336</v>
      </c>
      <c r="C435" s="45" t="s">
        <v>236</v>
      </c>
      <c r="G435" s="126"/>
    </row>
    <row r="436" spans="2:7">
      <c r="B436" s="125"/>
      <c r="G436" s="126"/>
    </row>
    <row r="437" spans="2:7">
      <c r="B437" s="125"/>
      <c r="C437" s="44" t="s">
        <v>22</v>
      </c>
      <c r="G437" s="126"/>
    </row>
    <row r="438" spans="2:7">
      <c r="B438" s="125" t="s">
        <v>336</v>
      </c>
      <c r="C438" s="45" t="s">
        <v>607</v>
      </c>
      <c r="G438" s="126"/>
    </row>
    <row r="439" spans="2:7">
      <c r="B439" s="125"/>
      <c r="G439" s="126"/>
    </row>
    <row r="440" spans="2:7">
      <c r="B440" s="125"/>
      <c r="C440" s="44" t="s">
        <v>24</v>
      </c>
      <c r="G440" s="126"/>
    </row>
    <row r="441" spans="2:7">
      <c r="B441" s="125" t="s">
        <v>336</v>
      </c>
      <c r="C441" s="45" t="s">
        <v>607</v>
      </c>
      <c r="G441" s="126"/>
    </row>
    <row r="442" spans="2:7">
      <c r="B442" s="125"/>
      <c r="G442" s="126"/>
    </row>
    <row r="443" spans="2:7">
      <c r="B443" s="125"/>
      <c r="C443" s="44" t="s">
        <v>337</v>
      </c>
      <c r="G443" s="126"/>
    </row>
    <row r="444" spans="2:7">
      <c r="B444" s="125" t="s">
        <v>335</v>
      </c>
      <c r="C444" s="45" t="s">
        <v>607</v>
      </c>
      <c r="G444" s="126"/>
    </row>
    <row r="445" spans="2:7">
      <c r="B445" s="125"/>
      <c r="G445" s="126"/>
    </row>
    <row r="446" spans="2:7">
      <c r="B446" s="125"/>
      <c r="C446" s="44" t="s">
        <v>23</v>
      </c>
      <c r="G446" s="126"/>
    </row>
    <row r="447" spans="2:7">
      <c r="B447" s="125" t="s">
        <v>336</v>
      </c>
      <c r="C447" s="112" t="s">
        <v>217</v>
      </c>
      <c r="G447" s="126"/>
    </row>
    <row r="448" spans="2:7" ht="13.5" thickBot="1">
      <c r="B448" s="140"/>
      <c r="C448" s="131"/>
      <c r="D448" s="131"/>
      <c r="E448" s="141"/>
      <c r="F448" s="131"/>
      <c r="G448" s="135"/>
    </row>
    <row r="450" spans="2:7" ht="13.5" thickBot="1"/>
    <row r="451" spans="2:7" ht="13.5" thickBot="1">
      <c r="B451" s="239" t="s">
        <v>973</v>
      </c>
      <c r="C451" s="240"/>
      <c r="D451" s="240"/>
      <c r="E451" s="240"/>
      <c r="F451" s="240"/>
      <c r="G451" s="241"/>
    </row>
    <row r="452" spans="2:7" ht="13.5" thickBot="1">
      <c r="B452" s="125"/>
      <c r="G452" s="126"/>
    </row>
    <row r="453" spans="2:7">
      <c r="B453" s="125"/>
      <c r="C453" s="127" t="s">
        <v>27</v>
      </c>
      <c r="D453" s="128"/>
      <c r="E453" s="128" t="s">
        <v>1</v>
      </c>
      <c r="F453" s="129">
        <v>40</v>
      </c>
      <c r="G453" s="126"/>
    </row>
    <row r="454" spans="2:7" ht="13.5" thickBot="1">
      <c r="B454" s="125"/>
      <c r="C454" s="130"/>
      <c r="D454" s="131"/>
      <c r="E454" s="131" t="s">
        <v>102</v>
      </c>
      <c r="F454" s="132">
        <v>35</v>
      </c>
      <c r="G454" s="126"/>
    </row>
    <row r="455" spans="2:7" ht="13.5" thickBot="1">
      <c r="B455" s="125"/>
      <c r="G455" s="126"/>
    </row>
    <row r="456" spans="2:7">
      <c r="B456" s="125"/>
      <c r="C456" s="127" t="s">
        <v>4</v>
      </c>
      <c r="D456" s="128"/>
      <c r="E456" s="128" t="s">
        <v>1</v>
      </c>
      <c r="F456" s="133" t="s">
        <v>205</v>
      </c>
      <c r="G456" s="126"/>
    </row>
    <row r="457" spans="2:7">
      <c r="B457" s="125"/>
      <c r="C457" s="59" t="s">
        <v>2</v>
      </c>
      <c r="E457" s="45" t="s">
        <v>326</v>
      </c>
      <c r="F457" s="126"/>
      <c r="G457" s="126"/>
    </row>
    <row r="458" spans="2:7" ht="13.5" thickBot="1">
      <c r="B458" s="125"/>
      <c r="C458" s="130" t="s">
        <v>3</v>
      </c>
      <c r="D458" s="131"/>
      <c r="E458" s="134" t="s">
        <v>354</v>
      </c>
      <c r="F458" s="135"/>
      <c r="G458" s="126"/>
    </row>
    <row r="459" spans="2:7" ht="13.5" thickBot="1">
      <c r="B459" s="125"/>
      <c r="G459" s="126"/>
    </row>
    <row r="460" spans="2:7" ht="13.5" thickBot="1">
      <c r="B460" s="125"/>
      <c r="C460" s="136" t="s">
        <v>29</v>
      </c>
      <c r="D460" s="137"/>
      <c r="E460" s="138" t="s">
        <v>245</v>
      </c>
      <c r="F460" s="139"/>
      <c r="G460" s="126"/>
    </row>
    <row r="461" spans="2:7">
      <c r="B461" s="125"/>
      <c r="G461" s="126"/>
    </row>
    <row r="462" spans="2:7">
      <c r="B462" s="125"/>
      <c r="C462" s="45" t="s">
        <v>5</v>
      </c>
      <c r="G462" s="126"/>
    </row>
    <row r="463" spans="2:7">
      <c r="B463" s="125"/>
      <c r="G463" s="126"/>
    </row>
    <row r="464" spans="2:7">
      <c r="B464" s="59">
        <v>1</v>
      </c>
      <c r="C464" s="45" t="s">
        <v>220</v>
      </c>
      <c r="G464" s="126"/>
    </row>
    <row r="465" spans="2:7">
      <c r="B465" s="59">
        <v>2</v>
      </c>
      <c r="C465" s="45" t="s">
        <v>223</v>
      </c>
      <c r="G465" s="126"/>
    </row>
    <row r="466" spans="2:7">
      <c r="B466" s="59">
        <v>3</v>
      </c>
      <c r="C466" s="45" t="s">
        <v>6</v>
      </c>
      <c r="G466" s="126"/>
    </row>
    <row r="467" spans="2:7">
      <c r="B467" s="59">
        <v>4</v>
      </c>
      <c r="C467" s="45" t="s">
        <v>32</v>
      </c>
      <c r="G467" s="126"/>
    </row>
    <row r="468" spans="2:7">
      <c r="B468" s="59">
        <v>5</v>
      </c>
      <c r="C468" s="45" t="s">
        <v>207</v>
      </c>
      <c r="G468" s="126"/>
    </row>
    <row r="469" spans="2:7">
      <c r="B469" s="59">
        <v>6</v>
      </c>
      <c r="C469" s="45" t="s">
        <v>34</v>
      </c>
      <c r="G469" s="126"/>
    </row>
    <row r="470" spans="2:7">
      <c r="B470" s="59">
        <v>7</v>
      </c>
      <c r="C470" s="45" t="s">
        <v>164</v>
      </c>
      <c r="G470" s="126"/>
    </row>
    <row r="471" spans="2:7">
      <c r="B471" s="59">
        <v>8</v>
      </c>
      <c r="C471" s="45" t="s">
        <v>33</v>
      </c>
      <c r="G471" s="126"/>
    </row>
    <row r="472" spans="2:7">
      <c r="B472" s="59">
        <v>9</v>
      </c>
      <c r="C472" s="45" t="s">
        <v>140</v>
      </c>
      <c r="G472" s="126"/>
    </row>
    <row r="473" spans="2:7">
      <c r="B473" s="59">
        <v>10</v>
      </c>
      <c r="C473" s="45" t="s">
        <v>607</v>
      </c>
      <c r="G473" s="126"/>
    </row>
    <row r="474" spans="2:7">
      <c r="B474" s="59">
        <v>11</v>
      </c>
      <c r="C474" s="45" t="s">
        <v>959</v>
      </c>
      <c r="G474" s="126"/>
    </row>
    <row r="475" spans="2:7">
      <c r="B475" s="59">
        <v>12</v>
      </c>
      <c r="C475" s="45" t="s">
        <v>15</v>
      </c>
      <c r="G475" s="126"/>
    </row>
    <row r="476" spans="2:7">
      <c r="B476" s="59">
        <v>13</v>
      </c>
      <c r="C476" s="45" t="s">
        <v>236</v>
      </c>
      <c r="G476" s="126"/>
    </row>
    <row r="477" spans="2:7">
      <c r="B477" s="59">
        <v>14</v>
      </c>
      <c r="C477" s="45" t="s">
        <v>214</v>
      </c>
      <c r="G477" s="126"/>
    </row>
    <row r="478" spans="2:7">
      <c r="B478" s="59">
        <v>15</v>
      </c>
      <c r="C478" s="45" t="s">
        <v>234</v>
      </c>
      <c r="G478" s="126"/>
    </row>
    <row r="479" spans="2:7">
      <c r="B479" s="125"/>
      <c r="G479" s="126"/>
    </row>
    <row r="480" spans="2:7">
      <c r="B480" s="125"/>
      <c r="C480" s="45" t="s">
        <v>974</v>
      </c>
      <c r="G480" s="126"/>
    </row>
    <row r="481" spans="2:7">
      <c r="B481" s="125"/>
      <c r="C481" s="45" t="s">
        <v>925</v>
      </c>
      <c r="G481" s="126"/>
    </row>
    <row r="482" spans="2:7">
      <c r="B482" s="125"/>
      <c r="C482" s="45" t="s">
        <v>975</v>
      </c>
      <c r="G482" s="126"/>
    </row>
    <row r="483" spans="2:7">
      <c r="B483" s="125"/>
      <c r="C483" s="45" t="s">
        <v>971</v>
      </c>
      <c r="G483" s="126"/>
    </row>
    <row r="484" spans="2:7">
      <c r="B484" s="125"/>
      <c r="C484" s="45" t="s">
        <v>948</v>
      </c>
      <c r="G484" s="126"/>
    </row>
    <row r="485" spans="2:7">
      <c r="B485" s="125"/>
      <c r="C485" s="45" t="s">
        <v>972</v>
      </c>
      <c r="G485" s="126"/>
    </row>
    <row r="486" spans="2:7">
      <c r="B486" s="125"/>
      <c r="C486" s="45" t="s">
        <v>833</v>
      </c>
      <c r="G486" s="126"/>
    </row>
    <row r="487" spans="2:7">
      <c r="B487" s="125"/>
      <c r="G487" s="126"/>
    </row>
    <row r="488" spans="2:7">
      <c r="B488" s="125"/>
      <c r="C488" s="124" t="s">
        <v>21</v>
      </c>
      <c r="G488" s="126"/>
    </row>
    <row r="489" spans="2:7">
      <c r="B489" s="125" t="s">
        <v>336</v>
      </c>
      <c r="C489" s="45" t="s">
        <v>236</v>
      </c>
      <c r="G489" s="126"/>
    </row>
    <row r="490" spans="2:7">
      <c r="B490" s="125" t="s">
        <v>336</v>
      </c>
      <c r="C490" s="45" t="s">
        <v>34</v>
      </c>
      <c r="G490" s="126"/>
    </row>
    <row r="491" spans="2:7">
      <c r="B491" s="125" t="s">
        <v>336</v>
      </c>
      <c r="C491" s="45" t="s">
        <v>214</v>
      </c>
      <c r="G491" s="126"/>
    </row>
    <row r="492" spans="2:7">
      <c r="B492" s="125" t="s">
        <v>336</v>
      </c>
      <c r="C492" s="45" t="s">
        <v>234</v>
      </c>
      <c r="G492" s="126"/>
    </row>
    <row r="493" spans="2:7">
      <c r="B493" s="125" t="s">
        <v>336</v>
      </c>
      <c r="C493" s="45" t="s">
        <v>208</v>
      </c>
      <c r="G493" s="126"/>
    </row>
    <row r="494" spans="2:7">
      <c r="B494" s="125"/>
      <c r="G494" s="126"/>
    </row>
    <row r="495" spans="2:7">
      <c r="B495" s="125"/>
      <c r="C495" s="44" t="s">
        <v>22</v>
      </c>
      <c r="G495" s="126"/>
    </row>
    <row r="496" spans="2:7">
      <c r="B496" s="125" t="s">
        <v>335</v>
      </c>
      <c r="C496" s="45" t="s">
        <v>607</v>
      </c>
      <c r="G496" s="126"/>
    </row>
    <row r="497" spans="2:7">
      <c r="B497" s="125"/>
      <c r="G497" s="126"/>
    </row>
    <row r="498" spans="2:7">
      <c r="B498" s="125"/>
      <c r="C498" s="44" t="s">
        <v>337</v>
      </c>
      <c r="G498" s="126"/>
    </row>
    <row r="499" spans="2:7">
      <c r="B499" s="125" t="s">
        <v>335</v>
      </c>
      <c r="C499" s="45" t="s">
        <v>607</v>
      </c>
      <c r="G499" s="126"/>
    </row>
    <row r="500" spans="2:7">
      <c r="B500" s="125"/>
      <c r="G500" s="126"/>
    </row>
    <row r="501" spans="2:7">
      <c r="B501" s="125"/>
      <c r="C501" s="44" t="s">
        <v>23</v>
      </c>
      <c r="G501" s="126"/>
    </row>
    <row r="502" spans="2:7">
      <c r="B502" s="125" t="s">
        <v>336</v>
      </c>
      <c r="C502" s="148" t="s">
        <v>140</v>
      </c>
      <c r="G502" s="126"/>
    </row>
    <row r="503" spans="2:7">
      <c r="B503" s="125" t="s">
        <v>336</v>
      </c>
      <c r="C503" s="112" t="s">
        <v>34</v>
      </c>
      <c r="G503" s="126"/>
    </row>
    <row r="504" spans="2:7" ht="13.5" thickBot="1">
      <c r="B504" s="140"/>
      <c r="C504" s="131"/>
      <c r="D504" s="131"/>
      <c r="E504" s="141"/>
      <c r="F504" s="131"/>
      <c r="G504" s="135"/>
    </row>
    <row r="506" spans="2:7" ht="13.5" thickBot="1"/>
    <row r="507" spans="2:7" ht="13.5" thickBot="1">
      <c r="B507" s="239" t="s">
        <v>976</v>
      </c>
      <c r="C507" s="240"/>
      <c r="D507" s="240"/>
      <c r="E507" s="240"/>
      <c r="F507" s="240"/>
      <c r="G507" s="241"/>
    </row>
    <row r="508" spans="2:7" ht="13.5" thickBot="1">
      <c r="B508" s="125"/>
      <c r="G508" s="126"/>
    </row>
    <row r="509" spans="2:7">
      <c r="B509" s="125"/>
      <c r="C509" s="127" t="s">
        <v>27</v>
      </c>
      <c r="D509" s="128"/>
      <c r="E509" s="128" t="s">
        <v>104</v>
      </c>
      <c r="F509" s="129">
        <v>12</v>
      </c>
      <c r="G509" s="126"/>
    </row>
    <row r="510" spans="2:7" ht="13.5" thickBot="1">
      <c r="B510" s="125"/>
      <c r="C510" s="130"/>
      <c r="D510" s="131"/>
      <c r="E510" s="131" t="s">
        <v>1</v>
      </c>
      <c r="F510" s="132">
        <v>21</v>
      </c>
      <c r="G510" s="126"/>
    </row>
    <row r="511" spans="2:7" ht="13.5" thickBot="1">
      <c r="B511" s="125"/>
      <c r="G511" s="126"/>
    </row>
    <row r="512" spans="2:7">
      <c r="B512" s="125"/>
      <c r="C512" s="127" t="s">
        <v>4</v>
      </c>
      <c r="D512" s="128"/>
      <c r="E512" s="128" t="s">
        <v>104</v>
      </c>
      <c r="F512" s="133"/>
      <c r="G512" s="126"/>
    </row>
    <row r="513" spans="2:7">
      <c r="B513" s="125"/>
      <c r="C513" s="59" t="s">
        <v>2</v>
      </c>
      <c r="E513" s="45" t="s">
        <v>326</v>
      </c>
      <c r="F513" s="126"/>
      <c r="G513" s="126"/>
    </row>
    <row r="514" spans="2:7" ht="13.5" thickBot="1">
      <c r="B514" s="125"/>
      <c r="C514" s="130" t="s">
        <v>3</v>
      </c>
      <c r="D514" s="131"/>
      <c r="E514" s="134" t="s">
        <v>354</v>
      </c>
      <c r="F514" s="135"/>
      <c r="G514" s="126"/>
    </row>
    <row r="515" spans="2:7" ht="13.5" thickBot="1">
      <c r="B515" s="125"/>
      <c r="G515" s="126"/>
    </row>
    <row r="516" spans="2:7" ht="13.5" thickBot="1">
      <c r="B516" s="125"/>
      <c r="C516" s="136" t="s">
        <v>29</v>
      </c>
      <c r="D516" s="137"/>
      <c r="E516" s="138" t="s">
        <v>246</v>
      </c>
      <c r="F516" s="139"/>
      <c r="G516" s="126"/>
    </row>
    <row r="517" spans="2:7">
      <c r="B517" s="125"/>
      <c r="G517" s="126"/>
    </row>
    <row r="518" spans="2:7">
      <c r="B518" s="125"/>
      <c r="C518" s="45" t="s">
        <v>5</v>
      </c>
      <c r="G518" s="126"/>
    </row>
    <row r="519" spans="2:7">
      <c r="B519" s="125"/>
      <c r="G519" s="126"/>
    </row>
    <row r="520" spans="2:7">
      <c r="B520" s="59">
        <v>1</v>
      </c>
      <c r="C520" s="45" t="s">
        <v>220</v>
      </c>
      <c r="G520" s="126"/>
    </row>
    <row r="521" spans="2:7">
      <c r="B521" s="59">
        <v>2</v>
      </c>
      <c r="C521" s="45" t="s">
        <v>223</v>
      </c>
      <c r="G521" s="126"/>
    </row>
    <row r="522" spans="2:7">
      <c r="B522" s="59">
        <v>3</v>
      </c>
      <c r="C522" s="45" t="s">
        <v>6</v>
      </c>
      <c r="G522" s="126"/>
    </row>
    <row r="523" spans="2:7">
      <c r="B523" s="59">
        <v>4</v>
      </c>
      <c r="C523" s="45" t="s">
        <v>32</v>
      </c>
      <c r="G523" s="126"/>
    </row>
    <row r="524" spans="2:7">
      <c r="B524" s="59">
        <v>5</v>
      </c>
      <c r="C524" s="45" t="s">
        <v>207</v>
      </c>
      <c r="G524" s="126"/>
    </row>
    <row r="525" spans="2:7">
      <c r="B525" s="59">
        <v>6</v>
      </c>
      <c r="C525" s="45" t="s">
        <v>34</v>
      </c>
      <c r="G525" s="126"/>
    </row>
    <row r="526" spans="2:7">
      <c r="B526" s="59">
        <v>7</v>
      </c>
      <c r="C526" s="45" t="s">
        <v>164</v>
      </c>
      <c r="G526" s="126"/>
    </row>
    <row r="527" spans="2:7">
      <c r="B527" s="59">
        <v>8</v>
      </c>
      <c r="C527" s="45" t="s">
        <v>33</v>
      </c>
      <c r="G527" s="126"/>
    </row>
    <row r="528" spans="2:7">
      <c r="B528" s="59">
        <v>9</v>
      </c>
      <c r="C528" s="45" t="s">
        <v>214</v>
      </c>
      <c r="G528" s="126"/>
    </row>
    <row r="529" spans="2:7">
      <c r="B529" s="59">
        <v>10</v>
      </c>
      <c r="C529" s="45" t="s">
        <v>607</v>
      </c>
      <c r="G529" s="126"/>
    </row>
    <row r="530" spans="2:7">
      <c r="B530" s="59">
        <v>11</v>
      </c>
      <c r="C530" s="45" t="s">
        <v>959</v>
      </c>
      <c r="G530" s="126"/>
    </row>
    <row r="531" spans="2:7">
      <c r="B531" s="59">
        <v>12</v>
      </c>
      <c r="C531" s="45" t="s">
        <v>15</v>
      </c>
      <c r="G531" s="126"/>
    </row>
    <row r="532" spans="2:7">
      <c r="B532" s="59">
        <v>13</v>
      </c>
      <c r="C532" s="45" t="s">
        <v>236</v>
      </c>
      <c r="G532" s="126"/>
    </row>
    <row r="533" spans="2:7">
      <c r="B533" s="59">
        <v>14</v>
      </c>
      <c r="C533" s="45" t="s">
        <v>247</v>
      </c>
      <c r="G533" s="126"/>
    </row>
    <row r="534" spans="2:7">
      <c r="B534" s="59">
        <v>15</v>
      </c>
      <c r="C534" s="45" t="s">
        <v>234</v>
      </c>
      <c r="G534" s="126"/>
    </row>
    <row r="535" spans="2:7">
      <c r="B535" s="125"/>
      <c r="G535" s="126"/>
    </row>
    <row r="536" spans="2:7">
      <c r="B536" s="125"/>
      <c r="C536" s="45" t="s">
        <v>977</v>
      </c>
      <c r="G536" s="126"/>
    </row>
    <row r="537" spans="2:7">
      <c r="B537" s="125"/>
      <c r="C537" s="45" t="s">
        <v>925</v>
      </c>
      <c r="G537" s="126"/>
    </row>
    <row r="538" spans="2:7">
      <c r="B538" s="125"/>
      <c r="C538" s="45" t="s">
        <v>411</v>
      </c>
      <c r="G538" s="126"/>
    </row>
    <row r="539" spans="2:7">
      <c r="B539" s="125"/>
      <c r="C539" s="45" t="s">
        <v>978</v>
      </c>
      <c r="G539" s="126"/>
    </row>
    <row r="540" spans="2:7">
      <c r="B540" s="125"/>
      <c r="C540" s="45" t="s">
        <v>863</v>
      </c>
      <c r="G540" s="126"/>
    </row>
    <row r="541" spans="2:7">
      <c r="B541" s="125"/>
      <c r="G541" s="126"/>
    </row>
    <row r="542" spans="2:7">
      <c r="B542" s="125"/>
      <c r="C542" s="124" t="s">
        <v>21</v>
      </c>
      <c r="G542" s="126"/>
    </row>
    <row r="543" spans="2:7">
      <c r="B543" s="125" t="s">
        <v>336</v>
      </c>
      <c r="C543" s="45" t="s">
        <v>234</v>
      </c>
      <c r="G543" s="126"/>
    </row>
    <row r="544" spans="2:7">
      <c r="B544" s="125" t="s">
        <v>336</v>
      </c>
      <c r="C544" s="45" t="s">
        <v>144</v>
      </c>
      <c r="G544" s="126"/>
    </row>
    <row r="545" spans="2:7">
      <c r="B545" s="125"/>
      <c r="G545" s="126"/>
    </row>
    <row r="546" spans="2:7">
      <c r="B546" s="125"/>
      <c r="C546" s="44" t="s">
        <v>337</v>
      </c>
      <c r="G546" s="126"/>
    </row>
    <row r="547" spans="2:7">
      <c r="B547" s="125" t="s">
        <v>336</v>
      </c>
      <c r="C547" s="45" t="s">
        <v>607</v>
      </c>
      <c r="G547" s="126"/>
    </row>
    <row r="548" spans="2:7">
      <c r="B548" s="125"/>
      <c r="G548" s="126"/>
    </row>
    <row r="549" spans="2:7">
      <c r="B549" s="125"/>
      <c r="C549" s="44" t="s">
        <v>22</v>
      </c>
      <c r="G549" s="126"/>
    </row>
    <row r="550" spans="2:7">
      <c r="B550" s="125" t="s">
        <v>335</v>
      </c>
      <c r="C550" s="45" t="s">
        <v>607</v>
      </c>
      <c r="G550" s="126"/>
    </row>
    <row r="551" spans="2:7">
      <c r="B551" s="125"/>
      <c r="G551" s="126"/>
    </row>
    <row r="552" spans="2:7">
      <c r="B552" s="125"/>
      <c r="C552" s="44" t="s">
        <v>23</v>
      </c>
      <c r="G552" s="126"/>
    </row>
    <row r="553" spans="2:7">
      <c r="B553" s="125" t="s">
        <v>336</v>
      </c>
      <c r="C553" s="112" t="s">
        <v>207</v>
      </c>
      <c r="G553" s="126"/>
    </row>
    <row r="554" spans="2:7" ht="13.5" thickBot="1">
      <c r="B554" s="140"/>
      <c r="C554" s="131"/>
      <c r="D554" s="131"/>
      <c r="E554" s="141"/>
      <c r="F554" s="131"/>
      <c r="G554" s="135"/>
    </row>
    <row r="556" spans="2:7" ht="13.5" thickBot="1"/>
    <row r="557" spans="2:7" ht="13.5" thickBot="1">
      <c r="B557" s="239" t="s">
        <v>979</v>
      </c>
      <c r="C557" s="240"/>
      <c r="D557" s="240"/>
      <c r="E557" s="240"/>
      <c r="F557" s="240"/>
      <c r="G557" s="241"/>
    </row>
    <row r="558" spans="2:7" ht="13.5" thickBot="1">
      <c r="B558" s="125"/>
      <c r="G558" s="126"/>
    </row>
    <row r="559" spans="2:7">
      <c r="B559" s="125"/>
      <c r="C559" s="127" t="s">
        <v>27</v>
      </c>
      <c r="D559" s="128"/>
      <c r="E559" s="128" t="s">
        <v>1</v>
      </c>
      <c r="F559" s="129">
        <v>16</v>
      </c>
      <c r="G559" s="126"/>
    </row>
    <row r="560" spans="2:7" ht="13.5" thickBot="1">
      <c r="B560" s="125"/>
      <c r="C560" s="130"/>
      <c r="D560" s="131"/>
      <c r="E560" s="131" t="s">
        <v>58</v>
      </c>
      <c r="F560" s="132">
        <v>20</v>
      </c>
      <c r="G560" s="126"/>
    </row>
    <row r="561" spans="2:7" ht="13.5" thickBot="1">
      <c r="B561" s="125"/>
      <c r="G561" s="126"/>
    </row>
    <row r="562" spans="2:7">
      <c r="B562" s="125"/>
      <c r="C562" s="127" t="s">
        <v>4</v>
      </c>
      <c r="D562" s="128"/>
      <c r="E562" s="128" t="s">
        <v>1</v>
      </c>
      <c r="F562" s="133" t="s">
        <v>205</v>
      </c>
      <c r="G562" s="126"/>
    </row>
    <row r="563" spans="2:7">
      <c r="B563" s="125"/>
      <c r="C563" s="59" t="s">
        <v>2</v>
      </c>
      <c r="E563" s="45" t="s">
        <v>865</v>
      </c>
      <c r="F563" s="126"/>
      <c r="G563" s="126"/>
    </row>
    <row r="564" spans="2:7" ht="13.5" thickBot="1">
      <c r="B564" s="125"/>
      <c r="C564" s="130" t="s">
        <v>3</v>
      </c>
      <c r="D564" s="131"/>
      <c r="E564" s="134" t="s">
        <v>326</v>
      </c>
      <c r="F564" s="135"/>
      <c r="G564" s="126"/>
    </row>
    <row r="565" spans="2:7" ht="13.5" thickBot="1">
      <c r="B565" s="125"/>
      <c r="G565" s="126"/>
    </row>
    <row r="566" spans="2:7" ht="13.5" thickBot="1">
      <c r="B566" s="125"/>
      <c r="C566" s="136" t="s">
        <v>29</v>
      </c>
      <c r="D566" s="137"/>
      <c r="E566" s="138" t="s">
        <v>248</v>
      </c>
      <c r="F566" s="139"/>
      <c r="G566" s="126"/>
    </row>
    <row r="567" spans="2:7">
      <c r="B567" s="125"/>
      <c r="G567" s="126"/>
    </row>
    <row r="568" spans="2:7">
      <c r="B568" s="125"/>
      <c r="C568" s="45" t="s">
        <v>5</v>
      </c>
      <c r="G568" s="126"/>
    </row>
    <row r="569" spans="2:7">
      <c r="B569" s="125"/>
      <c r="G569" s="126"/>
    </row>
    <row r="570" spans="2:7">
      <c r="B570" s="59">
        <v>1</v>
      </c>
      <c r="C570" s="45" t="s">
        <v>220</v>
      </c>
      <c r="G570" s="126"/>
    </row>
    <row r="571" spans="2:7">
      <c r="B571" s="59">
        <v>2</v>
      </c>
      <c r="C571" s="45" t="s">
        <v>223</v>
      </c>
      <c r="G571" s="126"/>
    </row>
    <row r="572" spans="2:7">
      <c r="B572" s="59">
        <v>3</v>
      </c>
      <c r="C572" s="45" t="s">
        <v>6</v>
      </c>
      <c r="G572" s="126"/>
    </row>
    <row r="573" spans="2:7">
      <c r="B573" s="59">
        <v>4</v>
      </c>
      <c r="C573" s="45" t="s">
        <v>32</v>
      </c>
      <c r="G573" s="126"/>
    </row>
    <row r="574" spans="2:7">
      <c r="B574" s="59">
        <v>5</v>
      </c>
      <c r="C574" s="45" t="s">
        <v>207</v>
      </c>
      <c r="G574" s="126"/>
    </row>
    <row r="575" spans="2:7">
      <c r="B575" s="59">
        <v>6</v>
      </c>
      <c r="C575" s="45" t="s">
        <v>34</v>
      </c>
      <c r="G575" s="126"/>
    </row>
    <row r="576" spans="2:7">
      <c r="B576" s="59">
        <v>7</v>
      </c>
      <c r="C576" s="45" t="s">
        <v>13</v>
      </c>
      <c r="G576" s="126"/>
    </row>
    <row r="577" spans="2:7">
      <c r="B577" s="59">
        <v>8</v>
      </c>
      <c r="C577" s="45" t="s">
        <v>33</v>
      </c>
      <c r="G577" s="126"/>
    </row>
    <row r="578" spans="2:7">
      <c r="B578" s="59">
        <v>9</v>
      </c>
      <c r="C578" s="45" t="s">
        <v>140</v>
      </c>
      <c r="G578" s="126"/>
    </row>
    <row r="579" spans="2:7">
      <c r="B579" s="59">
        <v>10</v>
      </c>
      <c r="C579" s="45" t="s">
        <v>607</v>
      </c>
      <c r="G579" s="126"/>
    </row>
    <row r="580" spans="2:7">
      <c r="B580" s="59">
        <v>11</v>
      </c>
      <c r="C580" s="45" t="s">
        <v>959</v>
      </c>
      <c r="G580" s="126"/>
    </row>
    <row r="581" spans="2:7">
      <c r="B581" s="59">
        <v>12</v>
      </c>
      <c r="C581" s="45" t="s">
        <v>15</v>
      </c>
      <c r="G581" s="126"/>
    </row>
    <row r="582" spans="2:7">
      <c r="B582" s="59">
        <v>13</v>
      </c>
      <c r="C582" s="45" t="s">
        <v>236</v>
      </c>
      <c r="G582" s="126"/>
    </row>
    <row r="583" spans="2:7">
      <c r="B583" s="59">
        <v>14</v>
      </c>
      <c r="C583" s="45" t="s">
        <v>214</v>
      </c>
      <c r="G583" s="126"/>
    </row>
    <row r="584" spans="2:7">
      <c r="B584" s="59">
        <v>15</v>
      </c>
      <c r="C584" s="45" t="s">
        <v>234</v>
      </c>
      <c r="G584" s="126"/>
    </row>
    <row r="585" spans="2:7">
      <c r="B585" s="125"/>
      <c r="G585" s="126"/>
    </row>
    <row r="586" spans="2:7">
      <c r="B586" s="125"/>
      <c r="C586" s="45" t="s">
        <v>977</v>
      </c>
      <c r="G586" s="126"/>
    </row>
    <row r="587" spans="2:7">
      <c r="B587" s="125"/>
      <c r="C587" s="45" t="s">
        <v>925</v>
      </c>
      <c r="G587" s="126"/>
    </row>
    <row r="588" spans="2:7">
      <c r="B588" s="125"/>
      <c r="C588" s="45" t="s">
        <v>411</v>
      </c>
      <c r="G588" s="126"/>
    </row>
    <row r="589" spans="2:7">
      <c r="B589" s="125"/>
      <c r="C589" s="45" t="s">
        <v>980</v>
      </c>
      <c r="G589" s="126"/>
    </row>
    <row r="590" spans="2:7">
      <c r="B590" s="125"/>
      <c r="C590" s="45" t="s">
        <v>981</v>
      </c>
      <c r="G590" s="126"/>
    </row>
    <row r="591" spans="2:7">
      <c r="B591" s="125"/>
      <c r="G591" s="126"/>
    </row>
    <row r="592" spans="2:7">
      <c r="B592" s="125"/>
      <c r="C592" s="124" t="s">
        <v>21</v>
      </c>
      <c r="G592" s="126"/>
    </row>
    <row r="593" spans="2:7">
      <c r="B593" s="125" t="s">
        <v>336</v>
      </c>
      <c r="C593" s="45" t="s">
        <v>457</v>
      </c>
      <c r="G593" s="126"/>
    </row>
    <row r="594" spans="2:7">
      <c r="B594" s="125"/>
      <c r="G594" s="126"/>
    </row>
    <row r="595" spans="2:7">
      <c r="B595" s="125"/>
      <c r="C595" s="44" t="s">
        <v>337</v>
      </c>
      <c r="G595" s="126"/>
    </row>
    <row r="596" spans="2:7">
      <c r="B596" s="125" t="s">
        <v>336</v>
      </c>
      <c r="C596" s="112" t="s">
        <v>607</v>
      </c>
      <c r="G596" s="126"/>
    </row>
    <row r="597" spans="2:7">
      <c r="B597" s="125"/>
      <c r="G597" s="126"/>
    </row>
    <row r="598" spans="2:7">
      <c r="B598" s="125"/>
      <c r="C598" s="44" t="s">
        <v>22</v>
      </c>
      <c r="G598" s="126"/>
    </row>
    <row r="599" spans="2:7">
      <c r="B599" s="125" t="s">
        <v>335</v>
      </c>
      <c r="C599" s="45" t="s">
        <v>607</v>
      </c>
      <c r="G599" s="126"/>
    </row>
    <row r="600" spans="2:7">
      <c r="B600" s="125"/>
      <c r="G600" s="126"/>
    </row>
    <row r="601" spans="2:7">
      <c r="B601" s="125"/>
      <c r="C601" s="44" t="s">
        <v>23</v>
      </c>
      <c r="G601" s="126"/>
    </row>
    <row r="602" spans="2:7">
      <c r="B602" s="125"/>
      <c r="C602" s="112" t="s">
        <v>339</v>
      </c>
      <c r="G602" s="126"/>
    </row>
    <row r="603" spans="2:7" ht="13.5" thickBot="1">
      <c r="B603" s="140"/>
      <c r="C603" s="131"/>
      <c r="D603" s="131"/>
      <c r="E603" s="141"/>
      <c r="F603" s="131"/>
      <c r="G603" s="135"/>
    </row>
    <row r="605" spans="2:7" ht="13.5" thickBot="1"/>
    <row r="606" spans="2:7" ht="13.5" thickBot="1">
      <c r="B606" s="239" t="s">
        <v>982</v>
      </c>
      <c r="C606" s="240"/>
      <c r="D606" s="240"/>
      <c r="E606" s="240"/>
      <c r="F606" s="240"/>
      <c r="G606" s="241"/>
    </row>
    <row r="607" spans="2:7" ht="13.5" thickBot="1">
      <c r="B607" s="125"/>
      <c r="G607" s="126"/>
    </row>
    <row r="608" spans="2:7">
      <c r="B608" s="125"/>
      <c r="C608" s="127" t="s">
        <v>27</v>
      </c>
      <c r="D608" s="128"/>
      <c r="E608" s="128" t="s">
        <v>126</v>
      </c>
      <c r="F608" s="129">
        <v>48</v>
      </c>
      <c r="G608" s="126"/>
    </row>
    <row r="609" spans="2:7" ht="13.5" thickBot="1">
      <c r="B609" s="125"/>
      <c r="C609" s="130"/>
      <c r="D609" s="131"/>
      <c r="E609" s="131" t="s">
        <v>1</v>
      </c>
      <c r="F609" s="132">
        <v>17</v>
      </c>
      <c r="G609" s="126"/>
    </row>
    <row r="610" spans="2:7" ht="13.5" thickBot="1">
      <c r="B610" s="125"/>
      <c r="G610" s="126"/>
    </row>
    <row r="611" spans="2:7">
      <c r="B611" s="125"/>
      <c r="C611" s="127" t="s">
        <v>4</v>
      </c>
      <c r="D611" s="128"/>
      <c r="E611" s="128" t="s">
        <v>126</v>
      </c>
      <c r="F611" s="133"/>
      <c r="G611" s="126"/>
    </row>
    <row r="612" spans="2:7">
      <c r="B612" s="125"/>
      <c r="C612" s="59" t="s">
        <v>2</v>
      </c>
      <c r="E612" s="45" t="s">
        <v>326</v>
      </c>
      <c r="F612" s="126"/>
      <c r="G612" s="126"/>
    </row>
    <row r="613" spans="2:7" ht="13.5" thickBot="1">
      <c r="B613" s="125"/>
      <c r="C613" s="130" t="s">
        <v>3</v>
      </c>
      <c r="D613" s="131"/>
      <c r="E613" s="134" t="s">
        <v>344</v>
      </c>
      <c r="F613" s="135"/>
      <c r="G613" s="126"/>
    </row>
    <row r="614" spans="2:7" ht="13.5" thickBot="1">
      <c r="B614" s="125"/>
      <c r="G614" s="126"/>
    </row>
    <row r="615" spans="2:7" ht="13.5" thickBot="1">
      <c r="B615" s="125"/>
      <c r="C615" s="136" t="s">
        <v>29</v>
      </c>
      <c r="D615" s="137"/>
      <c r="E615" s="138" t="s">
        <v>216</v>
      </c>
      <c r="F615" s="139"/>
      <c r="G615" s="126"/>
    </row>
    <row r="616" spans="2:7">
      <c r="B616" s="125"/>
      <c r="G616" s="126"/>
    </row>
    <row r="617" spans="2:7">
      <c r="B617" s="125"/>
      <c r="C617" s="45" t="s">
        <v>5</v>
      </c>
      <c r="G617" s="126"/>
    </row>
    <row r="618" spans="2:7">
      <c r="B618" s="125"/>
      <c r="G618" s="126"/>
    </row>
    <row r="619" spans="2:7">
      <c r="B619" s="59">
        <v>1</v>
      </c>
      <c r="C619" s="45" t="s">
        <v>6</v>
      </c>
      <c r="G619" s="126"/>
    </row>
    <row r="620" spans="2:7">
      <c r="B620" s="59">
        <v>2</v>
      </c>
      <c r="C620" s="45" t="s">
        <v>223</v>
      </c>
      <c r="G620" s="126"/>
    </row>
    <row r="621" spans="2:7">
      <c r="B621" s="59">
        <v>3</v>
      </c>
      <c r="C621" s="45" t="s">
        <v>233</v>
      </c>
      <c r="G621" s="126"/>
    </row>
    <row r="622" spans="2:7">
      <c r="B622" s="59">
        <v>4</v>
      </c>
      <c r="C622" s="45" t="s">
        <v>32</v>
      </c>
      <c r="G622" s="126"/>
    </row>
    <row r="623" spans="2:7">
      <c r="B623" s="59">
        <v>5</v>
      </c>
      <c r="C623" s="45" t="s">
        <v>10</v>
      </c>
      <c r="G623" s="126"/>
    </row>
    <row r="624" spans="2:7">
      <c r="B624" s="59">
        <v>6</v>
      </c>
      <c r="C624" s="45" t="s">
        <v>34</v>
      </c>
      <c r="G624" s="126"/>
    </row>
    <row r="625" spans="2:7">
      <c r="B625" s="59">
        <v>7</v>
      </c>
      <c r="C625" s="45" t="s">
        <v>207</v>
      </c>
      <c r="G625" s="126"/>
    </row>
    <row r="626" spans="2:7">
      <c r="B626" s="59">
        <v>8</v>
      </c>
      <c r="C626" s="45" t="s">
        <v>230</v>
      </c>
      <c r="G626" s="126"/>
    </row>
    <row r="627" spans="2:7">
      <c r="B627" s="59">
        <v>9</v>
      </c>
      <c r="C627" s="45" t="s">
        <v>214</v>
      </c>
      <c r="G627" s="126"/>
    </row>
    <row r="628" spans="2:7">
      <c r="B628" s="59">
        <v>10</v>
      </c>
      <c r="C628" s="45" t="s">
        <v>607</v>
      </c>
      <c r="G628" s="126"/>
    </row>
    <row r="629" spans="2:7">
      <c r="B629" s="59">
        <v>11</v>
      </c>
      <c r="C629" s="45" t="s">
        <v>959</v>
      </c>
      <c r="G629" s="126"/>
    </row>
    <row r="630" spans="2:7">
      <c r="B630" s="59">
        <v>12</v>
      </c>
      <c r="C630" s="45" t="s">
        <v>15</v>
      </c>
      <c r="G630" s="126"/>
    </row>
    <row r="631" spans="2:7">
      <c r="B631" s="59">
        <v>13</v>
      </c>
      <c r="C631" s="45" t="s">
        <v>236</v>
      </c>
      <c r="G631" s="126"/>
    </row>
    <row r="632" spans="2:7">
      <c r="B632" s="59">
        <v>14</v>
      </c>
      <c r="C632" s="45" t="s">
        <v>247</v>
      </c>
      <c r="G632" s="126"/>
    </row>
    <row r="633" spans="2:7">
      <c r="B633" s="59">
        <v>15</v>
      </c>
      <c r="C633" s="45" t="s">
        <v>234</v>
      </c>
      <c r="G633" s="126"/>
    </row>
    <row r="634" spans="2:7">
      <c r="B634" s="125"/>
      <c r="G634" s="126"/>
    </row>
    <row r="635" spans="2:7">
      <c r="B635" s="125"/>
      <c r="C635" s="45" t="s">
        <v>983</v>
      </c>
      <c r="G635" s="126"/>
    </row>
    <row r="636" spans="2:7">
      <c r="B636" s="125"/>
      <c r="C636" s="45" t="s">
        <v>411</v>
      </c>
      <c r="G636" s="126"/>
    </row>
    <row r="637" spans="2:7">
      <c r="B637" s="125"/>
      <c r="C637" s="45" t="s">
        <v>925</v>
      </c>
      <c r="G637" s="126"/>
    </row>
    <row r="638" spans="2:7">
      <c r="B638" s="125"/>
      <c r="C638" s="45" t="s">
        <v>922</v>
      </c>
      <c r="G638" s="126"/>
    </row>
    <row r="639" spans="2:7">
      <c r="B639" s="125"/>
      <c r="C639" s="45" t="s">
        <v>842</v>
      </c>
      <c r="G639" s="126"/>
    </row>
    <row r="640" spans="2:7">
      <c r="B640" s="125"/>
      <c r="C640" s="45" t="s">
        <v>863</v>
      </c>
      <c r="G640" s="126"/>
    </row>
    <row r="641" spans="2:7">
      <c r="B641" s="125"/>
      <c r="C641" s="45" t="s">
        <v>984</v>
      </c>
      <c r="G641" s="126"/>
    </row>
    <row r="642" spans="2:7">
      <c r="B642" s="125"/>
      <c r="G642" s="126"/>
    </row>
    <row r="643" spans="2:7">
      <c r="B643" s="125"/>
      <c r="C643" s="124" t="s">
        <v>21</v>
      </c>
      <c r="G643" s="126"/>
    </row>
    <row r="644" spans="2:7">
      <c r="B644" s="125" t="s">
        <v>336</v>
      </c>
      <c r="C644" s="45" t="s">
        <v>144</v>
      </c>
      <c r="G644" s="126"/>
    </row>
    <row r="645" spans="2:7">
      <c r="B645" s="125" t="s">
        <v>336</v>
      </c>
      <c r="C645" s="45" t="s">
        <v>207</v>
      </c>
      <c r="G645" s="126"/>
    </row>
    <row r="646" spans="2:7">
      <c r="B646" s="125" t="s">
        <v>336</v>
      </c>
      <c r="C646" s="45" t="s">
        <v>231</v>
      </c>
      <c r="G646" s="126"/>
    </row>
    <row r="647" spans="2:7">
      <c r="B647" s="125"/>
      <c r="G647" s="126"/>
    </row>
    <row r="648" spans="2:7">
      <c r="B648" s="125"/>
      <c r="C648" s="44" t="s">
        <v>337</v>
      </c>
      <c r="G648" s="126"/>
    </row>
    <row r="649" spans="2:7">
      <c r="B649" s="125" t="s">
        <v>336</v>
      </c>
      <c r="C649" s="112" t="s">
        <v>236</v>
      </c>
      <c r="G649" s="126"/>
    </row>
    <row r="650" spans="2:7">
      <c r="B650" s="125"/>
      <c r="G650" s="126"/>
    </row>
    <row r="651" spans="2:7">
      <c r="B651" s="125"/>
      <c r="C651" s="44" t="s">
        <v>23</v>
      </c>
      <c r="G651" s="126"/>
    </row>
    <row r="652" spans="2:7">
      <c r="B652" s="125" t="s">
        <v>336</v>
      </c>
      <c r="C652" s="112" t="s">
        <v>230</v>
      </c>
      <c r="G652" s="126"/>
    </row>
    <row r="653" spans="2:7" ht="13.5" thickBot="1">
      <c r="B653" s="140"/>
      <c r="C653" s="131"/>
      <c r="D653" s="131"/>
      <c r="E653" s="141"/>
      <c r="F653" s="131"/>
      <c r="G653" s="135"/>
    </row>
    <row r="655" spans="2:7" ht="13.5" thickBot="1"/>
    <row r="656" spans="2:7" ht="13.5" thickBot="1">
      <c r="B656" s="239" t="s">
        <v>985</v>
      </c>
      <c r="C656" s="240"/>
      <c r="D656" s="240"/>
      <c r="E656" s="240"/>
      <c r="F656" s="240"/>
      <c r="G656" s="241"/>
    </row>
    <row r="657" spans="2:7" ht="13.5" thickBot="1">
      <c r="B657" s="125"/>
      <c r="G657" s="126"/>
    </row>
    <row r="658" spans="2:7">
      <c r="B658" s="125"/>
      <c r="C658" s="127" t="s">
        <v>27</v>
      </c>
      <c r="D658" s="128"/>
      <c r="E658" s="128" t="s">
        <v>184</v>
      </c>
      <c r="F658" s="129">
        <v>38</v>
      </c>
      <c r="G658" s="126"/>
    </row>
    <row r="659" spans="2:7" ht="13.5" thickBot="1">
      <c r="B659" s="125"/>
      <c r="C659" s="130"/>
      <c r="D659" s="131"/>
      <c r="E659" s="131" t="s">
        <v>1</v>
      </c>
      <c r="F659" s="132">
        <v>26</v>
      </c>
      <c r="G659" s="126"/>
    </row>
    <row r="660" spans="2:7" ht="13.5" thickBot="1">
      <c r="B660" s="125"/>
      <c r="G660" s="126"/>
    </row>
    <row r="661" spans="2:7">
      <c r="B661" s="125"/>
      <c r="C661" s="127" t="s">
        <v>4</v>
      </c>
      <c r="D661" s="128"/>
      <c r="E661" s="128" t="s">
        <v>184</v>
      </c>
      <c r="F661" s="133"/>
      <c r="G661" s="126"/>
    </row>
    <row r="662" spans="2:7">
      <c r="B662" s="125"/>
      <c r="C662" s="59" t="s">
        <v>2</v>
      </c>
      <c r="E662" s="45" t="s">
        <v>326</v>
      </c>
      <c r="F662" s="126"/>
      <c r="G662" s="126"/>
    </row>
    <row r="663" spans="2:7" ht="13.5" thickBot="1">
      <c r="B663" s="125"/>
      <c r="C663" s="130" t="s">
        <v>3</v>
      </c>
      <c r="D663" s="131"/>
      <c r="E663" s="134" t="s">
        <v>757</v>
      </c>
      <c r="F663" s="135"/>
      <c r="G663" s="126"/>
    </row>
    <row r="664" spans="2:7" ht="13.5" thickBot="1">
      <c r="B664" s="125"/>
      <c r="G664" s="126"/>
    </row>
    <row r="665" spans="2:7" ht="13.5" thickBot="1">
      <c r="B665" s="125"/>
      <c r="C665" s="136" t="s">
        <v>29</v>
      </c>
      <c r="D665" s="137"/>
      <c r="E665" s="138" t="s">
        <v>249</v>
      </c>
      <c r="F665" s="139"/>
      <c r="G665" s="126"/>
    </row>
    <row r="666" spans="2:7">
      <c r="B666" s="125"/>
      <c r="G666" s="126"/>
    </row>
    <row r="667" spans="2:7">
      <c r="B667" s="125"/>
      <c r="C667" s="45" t="s">
        <v>5</v>
      </c>
      <c r="G667" s="126"/>
    </row>
    <row r="668" spans="2:7">
      <c r="B668" s="125"/>
      <c r="G668" s="126"/>
    </row>
    <row r="669" spans="2:7">
      <c r="B669" s="59">
        <v>1</v>
      </c>
      <c r="C669" s="45" t="s">
        <v>53</v>
      </c>
      <c r="G669" s="126"/>
    </row>
    <row r="670" spans="2:7">
      <c r="B670" s="59">
        <v>2</v>
      </c>
      <c r="C670" s="45" t="s">
        <v>223</v>
      </c>
      <c r="G670" s="126"/>
    </row>
    <row r="671" spans="2:7">
      <c r="B671" s="59">
        <v>3</v>
      </c>
      <c r="C671" s="45" t="s">
        <v>6</v>
      </c>
      <c r="G671" s="126"/>
    </row>
    <row r="672" spans="2:7">
      <c r="B672" s="59">
        <v>4</v>
      </c>
      <c r="C672" s="45" t="s">
        <v>32</v>
      </c>
      <c r="G672" s="126"/>
    </row>
    <row r="673" spans="2:7">
      <c r="B673" s="59">
        <v>5</v>
      </c>
      <c r="C673" s="45" t="s">
        <v>10</v>
      </c>
      <c r="G673" s="126"/>
    </row>
    <row r="674" spans="2:7">
      <c r="B674" s="59">
        <v>6</v>
      </c>
      <c r="C674" s="45" t="s">
        <v>34</v>
      </c>
      <c r="G674" s="126"/>
    </row>
    <row r="675" spans="2:7">
      <c r="B675" s="59">
        <v>7</v>
      </c>
      <c r="C675" s="45" t="s">
        <v>207</v>
      </c>
      <c r="G675" s="126"/>
    </row>
    <row r="676" spans="2:7">
      <c r="B676" s="59">
        <v>8</v>
      </c>
      <c r="C676" s="45" t="s">
        <v>230</v>
      </c>
      <c r="G676" s="126"/>
    </row>
    <row r="677" spans="2:7">
      <c r="B677" s="59">
        <v>9</v>
      </c>
      <c r="C677" s="45" t="s">
        <v>361</v>
      </c>
      <c r="G677" s="126"/>
    </row>
    <row r="678" spans="2:7">
      <c r="B678" s="59">
        <v>10</v>
      </c>
      <c r="C678" s="45" t="s">
        <v>208</v>
      </c>
      <c r="G678" s="126"/>
    </row>
    <row r="679" spans="2:7">
      <c r="B679" s="59">
        <v>11</v>
      </c>
      <c r="C679" s="45" t="s">
        <v>144</v>
      </c>
      <c r="G679" s="126"/>
    </row>
    <row r="680" spans="2:7">
      <c r="B680" s="59">
        <v>12</v>
      </c>
      <c r="C680" s="45" t="s">
        <v>15</v>
      </c>
      <c r="G680" s="126"/>
    </row>
    <row r="681" spans="2:7">
      <c r="B681" s="59">
        <v>13</v>
      </c>
      <c r="C681" s="45" t="s">
        <v>236</v>
      </c>
      <c r="G681" s="126"/>
    </row>
    <row r="682" spans="2:7">
      <c r="B682" s="59">
        <v>14</v>
      </c>
      <c r="C682" s="45" t="s">
        <v>214</v>
      </c>
      <c r="G682" s="126"/>
    </row>
    <row r="683" spans="2:7">
      <c r="B683" s="59">
        <v>15</v>
      </c>
      <c r="C683" s="45" t="s">
        <v>234</v>
      </c>
      <c r="G683" s="126"/>
    </row>
    <row r="684" spans="2:7">
      <c r="B684" s="125"/>
      <c r="G684" s="126"/>
    </row>
    <row r="685" spans="2:7">
      <c r="B685" s="125"/>
      <c r="C685" s="45" t="s">
        <v>986</v>
      </c>
      <c r="G685" s="126"/>
    </row>
    <row r="686" spans="2:7">
      <c r="B686" s="125"/>
      <c r="C686" s="45" t="s">
        <v>987</v>
      </c>
      <c r="G686" s="126"/>
    </row>
    <row r="687" spans="2:7">
      <c r="B687" s="125"/>
      <c r="C687" s="45" t="s">
        <v>988</v>
      </c>
      <c r="G687" s="126"/>
    </row>
    <row r="688" spans="2:7">
      <c r="B688" s="125"/>
      <c r="C688" s="45" t="s">
        <v>858</v>
      </c>
      <c r="G688" s="126"/>
    </row>
    <row r="689" spans="2:7">
      <c r="B689" s="125"/>
      <c r="C689" s="45" t="s">
        <v>989</v>
      </c>
      <c r="G689" s="126"/>
    </row>
    <row r="690" spans="2:7">
      <c r="B690" s="125"/>
      <c r="C690" s="45" t="s">
        <v>990</v>
      </c>
      <c r="G690" s="126"/>
    </row>
    <row r="691" spans="2:7">
      <c r="B691" s="125"/>
      <c r="G691" s="126"/>
    </row>
    <row r="692" spans="2:7">
      <c r="B692" s="125"/>
      <c r="C692" s="124" t="s">
        <v>21</v>
      </c>
      <c r="G692" s="126"/>
    </row>
    <row r="693" spans="2:7">
      <c r="B693" s="125" t="s">
        <v>352</v>
      </c>
      <c r="C693" s="45" t="s">
        <v>230</v>
      </c>
      <c r="G693" s="126"/>
    </row>
    <row r="694" spans="2:7">
      <c r="B694" s="125" t="s">
        <v>352</v>
      </c>
      <c r="C694" s="45" t="s">
        <v>214</v>
      </c>
      <c r="G694" s="126"/>
    </row>
    <row r="695" spans="2:7">
      <c r="B695" s="125"/>
      <c r="G695" s="126"/>
    </row>
    <row r="696" spans="2:7">
      <c r="B696" s="125"/>
      <c r="C696" s="44" t="s">
        <v>337</v>
      </c>
      <c r="G696" s="126"/>
    </row>
    <row r="697" spans="2:7">
      <c r="B697" s="125" t="s">
        <v>335</v>
      </c>
      <c r="C697" s="112" t="s">
        <v>236</v>
      </c>
      <c r="G697" s="126"/>
    </row>
    <row r="698" spans="2:7">
      <c r="B698" s="125"/>
      <c r="G698" s="126"/>
    </row>
    <row r="699" spans="2:7">
      <c r="B699" s="125"/>
      <c r="C699" s="44" t="s">
        <v>23</v>
      </c>
      <c r="G699" s="126"/>
    </row>
    <row r="700" spans="2:7">
      <c r="B700" s="125" t="s">
        <v>336</v>
      </c>
      <c r="C700" s="112" t="s">
        <v>208</v>
      </c>
      <c r="G700" s="126"/>
    </row>
    <row r="701" spans="2:7" ht="13.5" thickBot="1">
      <c r="B701" s="140"/>
      <c r="C701" s="131"/>
      <c r="D701" s="131"/>
      <c r="E701" s="141"/>
      <c r="F701" s="131"/>
      <c r="G701" s="135"/>
    </row>
    <row r="703" spans="2:7" ht="13.5" thickBot="1"/>
    <row r="704" spans="2:7" ht="13.5" thickBot="1">
      <c r="B704" s="239" t="s">
        <v>991</v>
      </c>
      <c r="C704" s="240"/>
      <c r="D704" s="240"/>
      <c r="E704" s="240"/>
      <c r="F704" s="240"/>
      <c r="G704" s="241"/>
    </row>
    <row r="705" spans="2:7" ht="13.5" thickBot="1">
      <c r="B705" s="125"/>
      <c r="G705" s="126"/>
    </row>
    <row r="706" spans="2:7">
      <c r="B706" s="125"/>
      <c r="C706" s="127" t="s">
        <v>27</v>
      </c>
      <c r="D706" s="128"/>
      <c r="E706" s="128" t="s">
        <v>170</v>
      </c>
      <c r="F706" s="129">
        <v>22</v>
      </c>
      <c r="G706" s="126"/>
    </row>
    <row r="707" spans="2:7" ht="13.5" thickBot="1">
      <c r="B707" s="125"/>
      <c r="C707" s="130"/>
      <c r="D707" s="131"/>
      <c r="E707" s="131" t="s">
        <v>1</v>
      </c>
      <c r="F707" s="132">
        <v>24</v>
      </c>
      <c r="G707" s="126"/>
    </row>
    <row r="708" spans="2:7" ht="13.5" thickBot="1">
      <c r="B708" s="125"/>
      <c r="G708" s="126"/>
    </row>
    <row r="709" spans="2:7">
      <c r="B709" s="125"/>
      <c r="C709" s="127" t="s">
        <v>4</v>
      </c>
      <c r="D709" s="128"/>
      <c r="E709" s="128" t="s">
        <v>170</v>
      </c>
      <c r="F709" s="133"/>
      <c r="G709" s="126"/>
    </row>
    <row r="710" spans="2:7">
      <c r="B710" s="125"/>
      <c r="C710" s="59" t="s">
        <v>2</v>
      </c>
      <c r="E710" s="45" t="s">
        <v>326</v>
      </c>
      <c r="F710" s="126"/>
      <c r="G710" s="126"/>
    </row>
    <row r="711" spans="2:7" ht="13.5" thickBot="1">
      <c r="B711" s="125"/>
      <c r="C711" s="130" t="s">
        <v>3</v>
      </c>
      <c r="D711" s="131"/>
      <c r="E711" s="134" t="s">
        <v>344</v>
      </c>
      <c r="F711" s="135"/>
      <c r="G711" s="126"/>
    </row>
    <row r="712" spans="2:7" ht="13.5" thickBot="1">
      <c r="B712" s="125"/>
      <c r="G712" s="126"/>
    </row>
    <row r="713" spans="2:7" ht="13.5" thickBot="1">
      <c r="B713" s="125"/>
      <c r="C713" s="136" t="s">
        <v>29</v>
      </c>
      <c r="D713" s="137"/>
      <c r="E713" s="138" t="s">
        <v>250</v>
      </c>
      <c r="F713" s="139"/>
      <c r="G713" s="126"/>
    </row>
    <row r="714" spans="2:7">
      <c r="B714" s="125"/>
      <c r="G714" s="126"/>
    </row>
    <row r="715" spans="2:7">
      <c r="B715" s="125"/>
      <c r="C715" s="45" t="s">
        <v>5</v>
      </c>
      <c r="G715" s="126"/>
    </row>
    <row r="716" spans="2:7">
      <c r="B716" s="125"/>
      <c r="G716" s="126"/>
    </row>
    <row r="717" spans="2:7">
      <c r="B717" s="59">
        <v>1</v>
      </c>
      <c r="C717" s="45" t="s">
        <v>53</v>
      </c>
      <c r="G717" s="126"/>
    </row>
    <row r="718" spans="2:7">
      <c r="B718" s="59">
        <v>2</v>
      </c>
      <c r="C718" s="45" t="s">
        <v>11</v>
      </c>
      <c r="G718" s="126"/>
    </row>
    <row r="719" spans="2:7">
      <c r="B719" s="59">
        <v>3</v>
      </c>
      <c r="C719" s="45" t="s">
        <v>6</v>
      </c>
      <c r="G719" s="126"/>
    </row>
    <row r="720" spans="2:7">
      <c r="B720" s="59">
        <v>4</v>
      </c>
      <c r="C720" s="45" t="s">
        <v>32</v>
      </c>
      <c r="G720" s="126"/>
    </row>
    <row r="721" spans="2:7">
      <c r="B721" s="59">
        <v>5</v>
      </c>
      <c r="C721" s="45" t="s">
        <v>10</v>
      </c>
      <c r="G721" s="126"/>
    </row>
    <row r="722" spans="2:7">
      <c r="B722" s="59">
        <v>6</v>
      </c>
      <c r="C722" s="45" t="s">
        <v>34</v>
      </c>
      <c r="G722" s="126"/>
    </row>
    <row r="723" spans="2:7">
      <c r="B723" s="59">
        <v>7</v>
      </c>
      <c r="C723" s="45" t="s">
        <v>218</v>
      </c>
      <c r="G723" s="126"/>
    </row>
    <row r="724" spans="2:7">
      <c r="B724" s="59">
        <v>8</v>
      </c>
      <c r="C724" s="45" t="s">
        <v>230</v>
      </c>
      <c r="G724" s="126"/>
    </row>
    <row r="725" spans="2:7">
      <c r="B725" s="59">
        <v>9</v>
      </c>
      <c r="C725" s="45" t="s">
        <v>361</v>
      </c>
      <c r="G725" s="126"/>
    </row>
    <row r="726" spans="2:7">
      <c r="B726" s="59">
        <v>10</v>
      </c>
      <c r="C726" s="45" t="s">
        <v>208</v>
      </c>
      <c r="G726" s="126"/>
    </row>
    <row r="727" spans="2:7">
      <c r="B727" s="59">
        <v>11</v>
      </c>
      <c r="C727" s="45" t="s">
        <v>992</v>
      </c>
      <c r="G727" s="126"/>
    </row>
    <row r="728" spans="2:7">
      <c r="B728" s="59">
        <v>12</v>
      </c>
      <c r="C728" s="45" t="s">
        <v>15</v>
      </c>
      <c r="G728" s="126"/>
    </row>
    <row r="729" spans="2:7">
      <c r="B729" s="59">
        <v>13</v>
      </c>
      <c r="C729" s="45" t="s">
        <v>236</v>
      </c>
      <c r="G729" s="126"/>
    </row>
    <row r="730" spans="2:7">
      <c r="B730" s="59">
        <v>14</v>
      </c>
      <c r="C730" s="45" t="s">
        <v>214</v>
      </c>
      <c r="G730" s="126"/>
    </row>
    <row r="731" spans="2:7">
      <c r="B731" s="59">
        <v>15</v>
      </c>
      <c r="C731" s="45" t="s">
        <v>234</v>
      </c>
      <c r="G731" s="126"/>
    </row>
    <row r="732" spans="2:7">
      <c r="B732" s="125"/>
      <c r="G732" s="126"/>
    </row>
    <row r="733" spans="2:7">
      <c r="B733" s="125"/>
      <c r="C733" s="45" t="s">
        <v>986</v>
      </c>
      <c r="G733" s="126"/>
    </row>
    <row r="734" spans="2:7">
      <c r="B734" s="125"/>
      <c r="G734" s="126"/>
    </row>
    <row r="735" spans="2:7">
      <c r="B735" s="125"/>
      <c r="C735" s="124" t="s">
        <v>21</v>
      </c>
      <c r="G735" s="126"/>
    </row>
    <row r="736" spans="2:7">
      <c r="B736" s="125" t="s">
        <v>336</v>
      </c>
      <c r="C736" s="45" t="s">
        <v>214</v>
      </c>
      <c r="G736" s="126"/>
    </row>
    <row r="737" spans="2:7">
      <c r="B737" s="125" t="s">
        <v>336</v>
      </c>
      <c r="C737" s="45" t="s">
        <v>230</v>
      </c>
      <c r="G737" s="126"/>
    </row>
    <row r="738" spans="2:7">
      <c r="B738" s="125"/>
      <c r="G738" s="126"/>
    </row>
    <row r="739" spans="2:7">
      <c r="B739" s="125"/>
      <c r="C739" s="44" t="s">
        <v>337</v>
      </c>
      <c r="G739" s="126"/>
    </row>
    <row r="740" spans="2:7">
      <c r="B740" s="125" t="s">
        <v>336</v>
      </c>
      <c r="C740" s="112" t="s">
        <v>236</v>
      </c>
      <c r="G740" s="126"/>
    </row>
    <row r="741" spans="2:7">
      <c r="B741" s="125"/>
      <c r="G741" s="126"/>
    </row>
    <row r="742" spans="2:7">
      <c r="B742" s="125"/>
      <c r="C742" s="44" t="s">
        <v>22</v>
      </c>
      <c r="G742" s="126"/>
    </row>
    <row r="743" spans="2:7">
      <c r="B743" s="125" t="s">
        <v>338</v>
      </c>
      <c r="C743" s="45" t="s">
        <v>236</v>
      </c>
      <c r="G743" s="126"/>
    </row>
    <row r="744" spans="2:7">
      <c r="B744" s="125"/>
      <c r="G744" s="126"/>
    </row>
    <row r="745" spans="2:7">
      <c r="B745" s="125"/>
      <c r="C745" s="44" t="s">
        <v>23</v>
      </c>
      <c r="G745" s="126"/>
    </row>
    <row r="746" spans="2:7">
      <c r="B746" s="125" t="s">
        <v>336</v>
      </c>
      <c r="C746" s="112" t="s">
        <v>230</v>
      </c>
      <c r="G746" s="126"/>
    </row>
    <row r="747" spans="2:7" ht="13.5" thickBot="1">
      <c r="B747" s="140"/>
      <c r="C747" s="131"/>
      <c r="D747" s="131"/>
      <c r="E747" s="141"/>
      <c r="F747" s="131"/>
      <c r="G747" s="135"/>
    </row>
    <row r="749" spans="2:7" ht="13.5" thickBot="1"/>
    <row r="750" spans="2:7" ht="13.5" thickBot="1">
      <c r="B750" s="239" t="s">
        <v>993</v>
      </c>
      <c r="C750" s="240"/>
      <c r="D750" s="240"/>
      <c r="E750" s="240"/>
      <c r="F750" s="240"/>
      <c r="G750" s="241"/>
    </row>
    <row r="751" spans="2:7" ht="13.5" thickBot="1">
      <c r="B751" s="125"/>
      <c r="G751" s="126"/>
    </row>
    <row r="752" spans="2:7">
      <c r="B752" s="125"/>
      <c r="C752" s="127" t="s">
        <v>27</v>
      </c>
      <c r="D752" s="128"/>
      <c r="E752" s="128" t="s">
        <v>1</v>
      </c>
      <c r="F752" s="129">
        <v>29</v>
      </c>
      <c r="G752" s="126"/>
    </row>
    <row r="753" spans="2:7" ht="13.5" thickBot="1">
      <c r="B753" s="125"/>
      <c r="C753" s="130"/>
      <c r="D753" s="131"/>
      <c r="E753" s="131" t="s">
        <v>73</v>
      </c>
      <c r="F753" s="132">
        <v>5</v>
      </c>
      <c r="G753" s="126"/>
    </row>
    <row r="754" spans="2:7" ht="13.5" thickBot="1">
      <c r="B754" s="125"/>
      <c r="G754" s="126"/>
    </row>
    <row r="755" spans="2:7">
      <c r="B755" s="125"/>
      <c r="C755" s="127" t="s">
        <v>4</v>
      </c>
      <c r="D755" s="128"/>
      <c r="E755" s="128" t="s">
        <v>1</v>
      </c>
      <c r="F755" s="133" t="s">
        <v>205</v>
      </c>
      <c r="G755" s="126"/>
    </row>
    <row r="756" spans="2:7">
      <c r="B756" s="125"/>
      <c r="C756" s="59" t="s">
        <v>2</v>
      </c>
      <c r="E756" s="45" t="s">
        <v>326</v>
      </c>
      <c r="F756" s="126"/>
      <c r="G756" s="126"/>
    </row>
    <row r="757" spans="2:7" ht="13.5" thickBot="1">
      <c r="B757" s="125"/>
      <c r="C757" s="130" t="s">
        <v>3</v>
      </c>
      <c r="D757" s="131"/>
      <c r="E757" s="134" t="s">
        <v>354</v>
      </c>
      <c r="F757" s="135"/>
      <c r="G757" s="126"/>
    </row>
    <row r="758" spans="2:7" ht="13.5" thickBot="1">
      <c r="B758" s="125"/>
      <c r="G758" s="126"/>
    </row>
    <row r="759" spans="2:7" ht="13.5" thickBot="1">
      <c r="B759" s="125"/>
      <c r="C759" s="136" t="s">
        <v>29</v>
      </c>
      <c r="D759" s="137"/>
      <c r="E759" s="138" t="s">
        <v>251</v>
      </c>
      <c r="F759" s="139"/>
      <c r="G759" s="126"/>
    </row>
    <row r="760" spans="2:7">
      <c r="B760" s="125"/>
      <c r="G760" s="126"/>
    </row>
    <row r="761" spans="2:7">
      <c r="B761" s="125"/>
      <c r="C761" s="45" t="s">
        <v>5</v>
      </c>
      <c r="G761" s="126"/>
    </row>
    <row r="762" spans="2:7">
      <c r="B762" s="125"/>
      <c r="G762" s="126"/>
    </row>
    <row r="763" spans="2:7">
      <c r="B763" s="59">
        <v>1</v>
      </c>
      <c r="C763" s="45" t="s">
        <v>53</v>
      </c>
      <c r="G763" s="126"/>
    </row>
    <row r="764" spans="2:7">
      <c r="B764" s="59">
        <v>2</v>
      </c>
      <c r="C764" s="45" t="s">
        <v>11</v>
      </c>
      <c r="G764" s="126"/>
    </row>
    <row r="765" spans="2:7">
      <c r="B765" s="59">
        <v>3</v>
      </c>
      <c r="C765" s="45" t="s">
        <v>6</v>
      </c>
      <c r="G765" s="126"/>
    </row>
    <row r="766" spans="2:7">
      <c r="B766" s="59">
        <v>4</v>
      </c>
      <c r="C766" s="45" t="s">
        <v>32</v>
      </c>
      <c r="G766" s="126"/>
    </row>
    <row r="767" spans="2:7">
      <c r="B767" s="59">
        <v>5</v>
      </c>
      <c r="C767" s="45" t="s">
        <v>10</v>
      </c>
      <c r="G767" s="126"/>
    </row>
    <row r="768" spans="2:7">
      <c r="B768" s="59">
        <v>6</v>
      </c>
      <c r="C768" s="45" t="s">
        <v>34</v>
      </c>
      <c r="G768" s="126"/>
    </row>
    <row r="769" spans="2:7">
      <c r="B769" s="59">
        <v>7</v>
      </c>
      <c r="C769" s="45" t="s">
        <v>218</v>
      </c>
      <c r="G769" s="126"/>
    </row>
    <row r="770" spans="2:7">
      <c r="B770" s="59">
        <v>8</v>
      </c>
      <c r="C770" s="45" t="s">
        <v>230</v>
      </c>
      <c r="G770" s="126"/>
    </row>
    <row r="771" spans="2:7">
      <c r="B771" s="59">
        <v>9</v>
      </c>
      <c r="C771" s="45" t="s">
        <v>361</v>
      </c>
      <c r="G771" s="126"/>
    </row>
    <row r="772" spans="2:7">
      <c r="B772" s="59">
        <v>10</v>
      </c>
      <c r="C772" s="45" t="s">
        <v>208</v>
      </c>
      <c r="G772" s="126"/>
    </row>
    <row r="773" spans="2:7">
      <c r="B773" s="59">
        <v>11</v>
      </c>
      <c r="C773" s="45" t="s">
        <v>144</v>
      </c>
      <c r="G773" s="126"/>
    </row>
    <row r="774" spans="2:7">
      <c r="B774" s="59">
        <v>12</v>
      </c>
      <c r="C774" s="45" t="s">
        <v>15</v>
      </c>
      <c r="G774" s="126"/>
    </row>
    <row r="775" spans="2:7">
      <c r="B775" s="59">
        <v>13</v>
      </c>
      <c r="C775" s="45" t="s">
        <v>236</v>
      </c>
      <c r="G775" s="126"/>
    </row>
    <row r="776" spans="2:7">
      <c r="B776" s="59">
        <v>14</v>
      </c>
      <c r="C776" s="45" t="s">
        <v>214</v>
      </c>
      <c r="G776" s="126"/>
    </row>
    <row r="777" spans="2:7">
      <c r="B777" s="59">
        <v>15</v>
      </c>
      <c r="C777" s="45" t="s">
        <v>234</v>
      </c>
      <c r="G777" s="126"/>
    </row>
    <row r="778" spans="2:7">
      <c r="B778" s="125"/>
      <c r="G778" s="126"/>
    </row>
    <row r="779" spans="2:7">
      <c r="B779" s="125"/>
      <c r="C779" s="45" t="s">
        <v>986</v>
      </c>
      <c r="G779" s="126"/>
    </row>
    <row r="780" spans="2:7">
      <c r="B780" s="125"/>
      <c r="C780" s="45" t="s">
        <v>917</v>
      </c>
      <c r="G780" s="126"/>
    </row>
    <row r="781" spans="2:7">
      <c r="B781" s="125"/>
      <c r="C781" s="45" t="s">
        <v>994</v>
      </c>
      <c r="G781" s="126"/>
    </row>
    <row r="782" spans="2:7">
      <c r="B782" s="125"/>
      <c r="G782" s="126"/>
    </row>
    <row r="783" spans="2:7">
      <c r="B783" s="125"/>
      <c r="C783" s="124" t="s">
        <v>21</v>
      </c>
      <c r="G783" s="126"/>
    </row>
    <row r="784" spans="2:7">
      <c r="B784" s="125" t="s">
        <v>336</v>
      </c>
      <c r="C784" s="45" t="s">
        <v>214</v>
      </c>
      <c r="G784" s="126"/>
    </row>
    <row r="785" spans="2:7">
      <c r="B785" s="125" t="s">
        <v>336</v>
      </c>
      <c r="C785" s="45" t="s">
        <v>230</v>
      </c>
      <c r="G785" s="126"/>
    </row>
    <row r="786" spans="2:7">
      <c r="B786" s="125" t="s">
        <v>336</v>
      </c>
      <c r="C786" s="45" t="s">
        <v>14</v>
      </c>
      <c r="G786" s="126"/>
    </row>
    <row r="787" spans="2:7">
      <c r="B787" s="125" t="s">
        <v>336</v>
      </c>
      <c r="C787" s="45" t="s">
        <v>234</v>
      </c>
      <c r="G787" s="126"/>
    </row>
    <row r="788" spans="2:7">
      <c r="B788" s="125"/>
      <c r="G788" s="126"/>
    </row>
    <row r="789" spans="2:7">
      <c r="B789" s="125"/>
      <c r="C789" s="44" t="s">
        <v>337</v>
      </c>
      <c r="G789" s="126"/>
    </row>
    <row r="790" spans="2:7">
      <c r="B790" s="125" t="s">
        <v>352</v>
      </c>
      <c r="C790" s="112" t="s">
        <v>236</v>
      </c>
      <c r="G790" s="126"/>
    </row>
    <row r="791" spans="2:7">
      <c r="B791" s="125" t="s">
        <v>336</v>
      </c>
      <c r="C791" s="112" t="s">
        <v>214</v>
      </c>
      <c r="G791" s="126"/>
    </row>
    <row r="792" spans="2:7">
      <c r="B792" s="125"/>
      <c r="C792" s="112"/>
      <c r="G792" s="126"/>
    </row>
    <row r="793" spans="2:7">
      <c r="B793" s="125"/>
      <c r="C793" s="44" t="s">
        <v>22</v>
      </c>
      <c r="G793" s="126"/>
    </row>
    <row r="794" spans="2:7">
      <c r="B794" s="125" t="s">
        <v>336</v>
      </c>
      <c r="C794" s="112" t="s">
        <v>236</v>
      </c>
      <c r="G794" s="126"/>
    </row>
    <row r="795" spans="2:7">
      <c r="B795" s="125"/>
      <c r="G795" s="126"/>
    </row>
    <row r="796" spans="2:7">
      <c r="B796" s="125"/>
      <c r="C796" s="44" t="s">
        <v>23</v>
      </c>
      <c r="G796" s="126"/>
    </row>
    <row r="797" spans="2:7">
      <c r="B797" s="125" t="s">
        <v>336</v>
      </c>
      <c r="C797" s="112" t="s">
        <v>14</v>
      </c>
      <c r="G797" s="126"/>
    </row>
    <row r="798" spans="2:7" ht="13.5" thickBot="1">
      <c r="B798" s="140"/>
      <c r="C798" s="131"/>
      <c r="D798" s="131"/>
      <c r="E798" s="141"/>
      <c r="F798" s="131"/>
      <c r="G798" s="135"/>
    </row>
    <row r="800" spans="2:7" ht="13.5" thickBot="1"/>
    <row r="801" spans="2:7" ht="13.5" thickBot="1">
      <c r="B801" s="239" t="s">
        <v>995</v>
      </c>
      <c r="C801" s="240"/>
      <c r="D801" s="240"/>
      <c r="E801" s="240"/>
      <c r="F801" s="240"/>
      <c r="G801" s="241"/>
    </row>
    <row r="802" spans="2:7" ht="13.5" thickBot="1">
      <c r="B802" s="125"/>
      <c r="G802" s="126"/>
    </row>
    <row r="803" spans="2:7">
      <c r="B803" s="125"/>
      <c r="C803" s="127" t="s">
        <v>27</v>
      </c>
      <c r="D803" s="128"/>
      <c r="E803" s="128" t="s">
        <v>123</v>
      </c>
      <c r="F803" s="129">
        <v>23</v>
      </c>
      <c r="G803" s="126"/>
    </row>
    <row r="804" spans="2:7" ht="13.5" thickBot="1">
      <c r="B804" s="125"/>
      <c r="C804" s="130"/>
      <c r="D804" s="131"/>
      <c r="E804" s="131" t="s">
        <v>1</v>
      </c>
      <c r="F804" s="132">
        <v>15</v>
      </c>
      <c r="G804" s="126"/>
    </row>
    <row r="805" spans="2:7" ht="13.5" thickBot="1">
      <c r="B805" s="125"/>
      <c r="G805" s="126"/>
    </row>
    <row r="806" spans="2:7">
      <c r="B806" s="125"/>
      <c r="C806" s="127" t="s">
        <v>4</v>
      </c>
      <c r="D806" s="128"/>
      <c r="E806" s="128" t="s">
        <v>123</v>
      </c>
      <c r="F806" s="133"/>
      <c r="G806" s="126"/>
    </row>
    <row r="807" spans="2:7">
      <c r="B807" s="125"/>
      <c r="C807" s="59" t="s">
        <v>2</v>
      </c>
      <c r="E807" s="45" t="s">
        <v>326</v>
      </c>
      <c r="F807" s="126"/>
      <c r="G807" s="126"/>
    </row>
    <row r="808" spans="2:7" ht="13.5" thickBot="1">
      <c r="B808" s="125"/>
      <c r="C808" s="130" t="s">
        <v>3</v>
      </c>
      <c r="D808" s="131"/>
      <c r="E808" s="134" t="s">
        <v>326</v>
      </c>
      <c r="F808" s="135"/>
      <c r="G808" s="126"/>
    </row>
    <row r="809" spans="2:7" ht="13.5" thickBot="1">
      <c r="B809" s="125"/>
      <c r="G809" s="126"/>
    </row>
    <row r="810" spans="2:7" ht="13.5" thickBot="1">
      <c r="B810" s="125"/>
      <c r="C810" s="136" t="s">
        <v>29</v>
      </c>
      <c r="D810" s="137"/>
      <c r="E810" s="138" t="s">
        <v>252</v>
      </c>
      <c r="F810" s="139"/>
      <c r="G810" s="126"/>
    </row>
    <row r="811" spans="2:7">
      <c r="B811" s="125"/>
      <c r="G811" s="126"/>
    </row>
    <row r="812" spans="2:7">
      <c r="B812" s="125"/>
      <c r="C812" s="45" t="s">
        <v>5</v>
      </c>
      <c r="G812" s="126"/>
    </row>
    <row r="813" spans="2:7">
      <c r="B813" s="125"/>
      <c r="G813" s="126"/>
    </row>
    <row r="814" spans="2:7">
      <c r="B814" s="59">
        <v>1</v>
      </c>
      <c r="C814" s="45" t="s">
        <v>6</v>
      </c>
      <c r="G814" s="126"/>
    </row>
    <row r="815" spans="2:7">
      <c r="B815" s="59">
        <v>2</v>
      </c>
      <c r="C815" s="45" t="s">
        <v>11</v>
      </c>
      <c r="G815" s="126"/>
    </row>
    <row r="816" spans="2:7">
      <c r="B816" s="59">
        <v>3</v>
      </c>
      <c r="C816" s="45" t="s">
        <v>233</v>
      </c>
      <c r="G816" s="126"/>
    </row>
    <row r="817" spans="2:7">
      <c r="B817" s="59">
        <v>4</v>
      </c>
      <c r="C817" s="45" t="s">
        <v>164</v>
      </c>
      <c r="G817" s="126"/>
    </row>
    <row r="818" spans="2:7">
      <c r="B818" s="59">
        <v>5</v>
      </c>
      <c r="C818" s="45" t="s">
        <v>10</v>
      </c>
      <c r="G818" s="126"/>
    </row>
    <row r="819" spans="2:7">
      <c r="B819" s="59">
        <v>6</v>
      </c>
      <c r="C819" s="45" t="s">
        <v>34</v>
      </c>
      <c r="G819" s="126"/>
    </row>
    <row r="820" spans="2:7">
      <c r="B820" s="59">
        <v>7</v>
      </c>
      <c r="C820" s="45" t="s">
        <v>218</v>
      </c>
      <c r="G820" s="126"/>
    </row>
    <row r="821" spans="2:7">
      <c r="B821" s="59">
        <v>8</v>
      </c>
      <c r="C821" s="45" t="s">
        <v>230</v>
      </c>
      <c r="G821" s="126"/>
    </row>
    <row r="822" spans="2:7">
      <c r="B822" s="59">
        <v>9</v>
      </c>
      <c r="C822" s="45" t="s">
        <v>361</v>
      </c>
      <c r="G822" s="126"/>
    </row>
    <row r="823" spans="2:7">
      <c r="B823" s="59">
        <v>10</v>
      </c>
      <c r="C823" s="45" t="s">
        <v>208</v>
      </c>
      <c r="G823" s="126"/>
    </row>
    <row r="824" spans="2:7">
      <c r="B824" s="59">
        <v>11</v>
      </c>
      <c r="C824" s="45" t="s">
        <v>144</v>
      </c>
      <c r="G824" s="126"/>
    </row>
    <row r="825" spans="2:7">
      <c r="B825" s="59">
        <v>12</v>
      </c>
      <c r="C825" s="45" t="s">
        <v>15</v>
      </c>
      <c r="G825" s="126"/>
    </row>
    <row r="826" spans="2:7">
      <c r="B826" s="59">
        <v>13</v>
      </c>
      <c r="C826" s="45" t="s">
        <v>236</v>
      </c>
      <c r="G826" s="126"/>
    </row>
    <row r="827" spans="2:7">
      <c r="B827" s="59">
        <v>14</v>
      </c>
      <c r="C827" s="45" t="s">
        <v>214</v>
      </c>
      <c r="G827" s="126"/>
    </row>
    <row r="828" spans="2:7">
      <c r="B828" s="59">
        <v>15</v>
      </c>
      <c r="C828" s="45" t="s">
        <v>234</v>
      </c>
      <c r="G828" s="126"/>
    </row>
    <row r="829" spans="2:7">
      <c r="B829" s="125"/>
      <c r="G829" s="126"/>
    </row>
    <row r="830" spans="2:7">
      <c r="B830" s="125"/>
      <c r="C830" s="45" t="s">
        <v>996</v>
      </c>
      <c r="G830" s="126"/>
    </row>
    <row r="831" spans="2:7">
      <c r="B831" s="125"/>
      <c r="C831" s="45" t="s">
        <v>883</v>
      </c>
      <c r="G831" s="126"/>
    </row>
    <row r="832" spans="2:7">
      <c r="B832" s="125"/>
      <c r="C832" s="45" t="s">
        <v>997</v>
      </c>
      <c r="G832" s="126"/>
    </row>
    <row r="833" spans="2:7">
      <c r="B833" s="125"/>
      <c r="C833" s="45" t="s">
        <v>998</v>
      </c>
      <c r="G833" s="126"/>
    </row>
    <row r="834" spans="2:7">
      <c r="B834" s="125"/>
      <c r="G834" s="126"/>
    </row>
    <row r="835" spans="2:7">
      <c r="B835" s="125"/>
      <c r="C835" s="124" t="s">
        <v>21</v>
      </c>
      <c r="G835" s="126"/>
    </row>
    <row r="836" spans="2:7">
      <c r="B836" s="125" t="s">
        <v>336</v>
      </c>
      <c r="C836" s="45" t="s">
        <v>234</v>
      </c>
      <c r="G836" s="126"/>
    </row>
    <row r="837" spans="2:7">
      <c r="B837" s="125" t="s">
        <v>336</v>
      </c>
      <c r="C837" s="45" t="s">
        <v>208</v>
      </c>
      <c r="G837" s="126"/>
    </row>
    <row r="838" spans="2:7">
      <c r="B838" s="125"/>
      <c r="G838" s="126"/>
    </row>
    <row r="839" spans="2:7">
      <c r="B839" s="125"/>
      <c r="C839" s="44" t="s">
        <v>337</v>
      </c>
      <c r="G839" s="126"/>
    </row>
    <row r="840" spans="2:7">
      <c r="B840" s="125" t="s">
        <v>336</v>
      </c>
      <c r="C840" s="112" t="s">
        <v>236</v>
      </c>
      <c r="G840" s="126"/>
    </row>
    <row r="841" spans="2:7">
      <c r="B841" s="125"/>
      <c r="G841" s="126"/>
    </row>
    <row r="842" spans="2:7">
      <c r="B842" s="125"/>
      <c r="C842" s="44" t="s">
        <v>22</v>
      </c>
      <c r="G842" s="126"/>
    </row>
    <row r="843" spans="2:7">
      <c r="B843" s="125" t="s">
        <v>336</v>
      </c>
      <c r="C843" s="45" t="s">
        <v>236</v>
      </c>
      <c r="G843" s="126"/>
    </row>
    <row r="844" spans="2:7">
      <c r="B844" s="125"/>
      <c r="G844" s="126"/>
    </row>
    <row r="845" spans="2:7">
      <c r="B845" s="125"/>
      <c r="C845" s="44" t="s">
        <v>23</v>
      </c>
      <c r="G845" s="126"/>
    </row>
    <row r="846" spans="2:7">
      <c r="B846" s="125"/>
      <c r="C846" s="112" t="s">
        <v>339</v>
      </c>
      <c r="G846" s="126"/>
    </row>
    <row r="847" spans="2:7" ht="13.5" thickBot="1">
      <c r="B847" s="140"/>
      <c r="C847" s="131"/>
      <c r="D847" s="131"/>
      <c r="E847" s="141"/>
      <c r="F847" s="131"/>
      <c r="G847" s="135"/>
    </row>
    <row r="849" spans="2:7" ht="13.5" thickBot="1"/>
    <row r="850" spans="2:7" ht="13.5" thickBot="1">
      <c r="B850" s="239" t="s">
        <v>999</v>
      </c>
      <c r="C850" s="240"/>
      <c r="D850" s="240"/>
      <c r="E850" s="240"/>
      <c r="F850" s="240"/>
      <c r="G850" s="241"/>
    </row>
    <row r="851" spans="2:7" ht="13.5" thickBot="1">
      <c r="B851" s="125"/>
      <c r="G851" s="126"/>
    </row>
    <row r="852" spans="2:7">
      <c r="B852" s="125"/>
      <c r="C852" s="127" t="s">
        <v>27</v>
      </c>
      <c r="D852" s="128"/>
      <c r="E852" s="128" t="s">
        <v>1</v>
      </c>
      <c r="F852" s="129">
        <v>36</v>
      </c>
      <c r="G852" s="126"/>
    </row>
    <row r="853" spans="2:7" ht="13.5" thickBot="1">
      <c r="B853" s="125"/>
      <c r="C853" s="130"/>
      <c r="D853" s="131"/>
      <c r="E853" s="131" t="s">
        <v>138</v>
      </c>
      <c r="F853" s="132">
        <v>30</v>
      </c>
      <c r="G853" s="126"/>
    </row>
    <row r="854" spans="2:7" ht="13.5" thickBot="1">
      <c r="B854" s="125"/>
      <c r="G854" s="126"/>
    </row>
    <row r="855" spans="2:7">
      <c r="B855" s="125"/>
      <c r="C855" s="127" t="s">
        <v>4</v>
      </c>
      <c r="D855" s="128"/>
      <c r="E855" s="128" t="s">
        <v>1</v>
      </c>
      <c r="F855" s="133" t="s">
        <v>205</v>
      </c>
      <c r="G855" s="126"/>
    </row>
    <row r="856" spans="2:7">
      <c r="B856" s="125"/>
      <c r="C856" s="59" t="s">
        <v>2</v>
      </c>
      <c r="E856" s="45" t="s">
        <v>326</v>
      </c>
      <c r="F856" s="126"/>
      <c r="G856" s="126"/>
    </row>
    <row r="857" spans="2:7" ht="13.5" thickBot="1">
      <c r="B857" s="125"/>
      <c r="C857" s="130" t="s">
        <v>3</v>
      </c>
      <c r="D857" s="131"/>
      <c r="E857" s="134" t="s">
        <v>354</v>
      </c>
      <c r="F857" s="135"/>
      <c r="G857" s="126"/>
    </row>
    <row r="858" spans="2:7" ht="13.5" thickBot="1">
      <c r="B858" s="125"/>
      <c r="G858" s="126"/>
    </row>
    <row r="859" spans="2:7" ht="13.5" thickBot="1">
      <c r="B859" s="125"/>
      <c r="C859" s="136" t="s">
        <v>29</v>
      </c>
      <c r="D859" s="137"/>
      <c r="E859" s="138" t="s">
        <v>245</v>
      </c>
      <c r="F859" s="139"/>
      <c r="G859" s="126"/>
    </row>
    <row r="860" spans="2:7">
      <c r="B860" s="125"/>
      <c r="G860" s="126"/>
    </row>
    <row r="861" spans="2:7">
      <c r="B861" s="125"/>
      <c r="C861" s="45" t="s">
        <v>5</v>
      </c>
      <c r="G861" s="126"/>
    </row>
    <row r="862" spans="2:7">
      <c r="B862" s="125"/>
      <c r="G862" s="126"/>
    </row>
    <row r="863" spans="2:7">
      <c r="B863" s="59">
        <v>1</v>
      </c>
      <c r="C863" s="45" t="s">
        <v>6</v>
      </c>
      <c r="G863" s="126"/>
    </row>
    <row r="864" spans="2:7">
      <c r="B864" s="59">
        <v>2</v>
      </c>
      <c r="C864" s="45" t="s">
        <v>11</v>
      </c>
      <c r="G864" s="126"/>
    </row>
    <row r="865" spans="2:7">
      <c r="B865" s="59">
        <v>3</v>
      </c>
      <c r="C865" s="45" t="s">
        <v>233</v>
      </c>
      <c r="G865" s="126"/>
    </row>
    <row r="866" spans="2:7">
      <c r="B866" s="59">
        <v>4</v>
      </c>
      <c r="C866" s="45" t="s">
        <v>164</v>
      </c>
      <c r="G866" s="126"/>
    </row>
    <row r="867" spans="2:7">
      <c r="B867" s="59">
        <v>5</v>
      </c>
      <c r="C867" s="45" t="s">
        <v>10</v>
      </c>
      <c r="G867" s="126"/>
    </row>
    <row r="868" spans="2:7">
      <c r="B868" s="59">
        <v>6</v>
      </c>
      <c r="C868" s="45" t="s">
        <v>34</v>
      </c>
      <c r="G868" s="126"/>
    </row>
    <row r="869" spans="2:7">
      <c r="B869" s="59">
        <v>7</v>
      </c>
      <c r="C869" s="45" t="s">
        <v>218</v>
      </c>
      <c r="G869" s="126"/>
    </row>
    <row r="870" spans="2:7">
      <c r="B870" s="59">
        <v>8</v>
      </c>
      <c r="C870" s="45" t="s">
        <v>230</v>
      </c>
      <c r="G870" s="126"/>
    </row>
    <row r="871" spans="2:7">
      <c r="B871" s="59">
        <v>9</v>
      </c>
      <c r="C871" s="45" t="s">
        <v>361</v>
      </c>
      <c r="G871" s="126"/>
    </row>
    <row r="872" spans="2:7">
      <c r="B872" s="59">
        <v>10</v>
      </c>
      <c r="C872" s="45" t="s">
        <v>208</v>
      </c>
      <c r="G872" s="126"/>
    </row>
    <row r="873" spans="2:7">
      <c r="B873" s="59">
        <v>11</v>
      </c>
      <c r="C873" s="45" t="s">
        <v>144</v>
      </c>
      <c r="G873" s="126"/>
    </row>
    <row r="874" spans="2:7">
      <c r="B874" s="59">
        <v>12</v>
      </c>
      <c r="C874" s="45" t="s">
        <v>15</v>
      </c>
      <c r="G874" s="126"/>
    </row>
    <row r="875" spans="2:7">
      <c r="B875" s="59">
        <v>13</v>
      </c>
      <c r="C875" s="45" t="s">
        <v>236</v>
      </c>
      <c r="G875" s="126"/>
    </row>
    <row r="876" spans="2:7">
      <c r="B876" s="59">
        <v>14</v>
      </c>
      <c r="C876" s="45" t="s">
        <v>214</v>
      </c>
      <c r="G876" s="126"/>
    </row>
    <row r="877" spans="2:7">
      <c r="B877" s="59">
        <v>15</v>
      </c>
      <c r="C877" s="45" t="s">
        <v>234</v>
      </c>
      <c r="G877" s="126"/>
    </row>
    <row r="878" spans="2:7">
      <c r="B878" s="125"/>
      <c r="G878" s="126"/>
    </row>
    <row r="879" spans="2:7">
      <c r="B879" s="125"/>
      <c r="C879" s="45" t="s">
        <v>888</v>
      </c>
      <c r="G879" s="126"/>
    </row>
    <row r="880" spans="2:7">
      <c r="B880" s="125"/>
      <c r="C880" s="45" t="s">
        <v>1000</v>
      </c>
      <c r="G880" s="126"/>
    </row>
    <row r="881" spans="2:7">
      <c r="B881" s="125"/>
      <c r="C881" s="45" t="s">
        <v>978</v>
      </c>
      <c r="G881" s="126"/>
    </row>
    <row r="882" spans="2:7">
      <c r="B882" s="125"/>
      <c r="C882" s="45" t="s">
        <v>889</v>
      </c>
      <c r="G882" s="126"/>
    </row>
    <row r="883" spans="2:7">
      <c r="B883" s="125"/>
      <c r="G883" s="126"/>
    </row>
    <row r="884" spans="2:7">
      <c r="B884" s="125"/>
      <c r="C884" s="124" t="s">
        <v>21</v>
      </c>
      <c r="G884" s="126"/>
    </row>
    <row r="885" spans="2:7">
      <c r="B885" s="125" t="s">
        <v>336</v>
      </c>
      <c r="C885" s="45" t="s">
        <v>56</v>
      </c>
      <c r="G885" s="126"/>
    </row>
    <row r="886" spans="2:7">
      <c r="B886" s="125" t="s">
        <v>336</v>
      </c>
      <c r="C886" s="45" t="s">
        <v>236</v>
      </c>
      <c r="G886" s="126"/>
    </row>
    <row r="887" spans="2:7">
      <c r="B887" s="125" t="s">
        <v>336</v>
      </c>
      <c r="C887" s="45" t="s">
        <v>144</v>
      </c>
      <c r="G887" s="126"/>
    </row>
    <row r="888" spans="2:7">
      <c r="B888" s="125" t="s">
        <v>336</v>
      </c>
      <c r="C888" s="45" t="s">
        <v>53</v>
      </c>
      <c r="G888" s="126"/>
    </row>
    <row r="889" spans="2:7">
      <c r="B889" s="125" t="s">
        <v>336</v>
      </c>
      <c r="C889" s="45" t="s">
        <v>234</v>
      </c>
      <c r="G889" s="126"/>
    </row>
    <row r="890" spans="2:7">
      <c r="B890" s="125"/>
      <c r="G890" s="126"/>
    </row>
    <row r="891" spans="2:7">
      <c r="B891" s="125"/>
      <c r="C891" s="44" t="s">
        <v>337</v>
      </c>
      <c r="G891" s="126"/>
    </row>
    <row r="892" spans="2:7">
      <c r="B892" s="125" t="s">
        <v>338</v>
      </c>
      <c r="C892" s="112" t="s">
        <v>236</v>
      </c>
      <c r="G892" s="126"/>
    </row>
    <row r="893" spans="2:7">
      <c r="B893" s="125"/>
      <c r="G893" s="126"/>
    </row>
    <row r="894" spans="2:7">
      <c r="B894" s="125"/>
      <c r="C894" s="44" t="s">
        <v>22</v>
      </c>
      <c r="G894" s="126"/>
    </row>
    <row r="895" spans="2:7">
      <c r="B895" s="125" t="s">
        <v>336</v>
      </c>
      <c r="C895" s="45" t="s">
        <v>236</v>
      </c>
      <c r="G895" s="126"/>
    </row>
    <row r="896" spans="2:7">
      <c r="B896" s="125"/>
      <c r="G896" s="126"/>
    </row>
    <row r="897" spans="2:7">
      <c r="B897" s="125"/>
      <c r="C897" s="44" t="s">
        <v>23</v>
      </c>
      <c r="G897" s="126"/>
    </row>
    <row r="898" spans="2:7">
      <c r="B898" s="125" t="s">
        <v>336</v>
      </c>
      <c r="C898" s="112" t="s">
        <v>230</v>
      </c>
      <c r="G898" s="126"/>
    </row>
    <row r="899" spans="2:7">
      <c r="B899" s="125" t="s">
        <v>336</v>
      </c>
      <c r="C899" s="112" t="s">
        <v>10</v>
      </c>
      <c r="G899" s="126"/>
    </row>
    <row r="900" spans="2:7">
      <c r="B900" s="125" t="s">
        <v>336</v>
      </c>
      <c r="C900" s="112" t="s">
        <v>6</v>
      </c>
      <c r="G900" s="126"/>
    </row>
    <row r="901" spans="2:7" ht="13.5" thickBot="1">
      <c r="B901" s="140"/>
      <c r="C901" s="131"/>
      <c r="D901" s="131"/>
      <c r="E901" s="141"/>
      <c r="F901" s="131"/>
      <c r="G901" s="135"/>
    </row>
    <row r="903" spans="2:7" ht="13.5" thickBot="1"/>
    <row r="904" spans="2:7" ht="13.5" thickBot="1">
      <c r="B904" s="239" t="s">
        <v>1001</v>
      </c>
      <c r="C904" s="240"/>
      <c r="D904" s="240"/>
      <c r="E904" s="240"/>
      <c r="F904" s="240"/>
      <c r="G904" s="241"/>
    </row>
    <row r="905" spans="2:7" ht="13.5" thickBot="1">
      <c r="B905" s="125"/>
      <c r="G905" s="126"/>
    </row>
    <row r="906" spans="2:7">
      <c r="B906" s="125"/>
      <c r="C906" s="127" t="s">
        <v>27</v>
      </c>
      <c r="D906" s="128"/>
      <c r="E906" s="128" t="s">
        <v>1002</v>
      </c>
      <c r="F906" s="129">
        <v>15</v>
      </c>
      <c r="G906" s="126"/>
    </row>
    <row r="907" spans="2:7" ht="13.5" thickBot="1">
      <c r="B907" s="125"/>
      <c r="C907" s="130"/>
      <c r="D907" s="131"/>
      <c r="E907" s="131" t="s">
        <v>1</v>
      </c>
      <c r="F907" s="132">
        <v>55</v>
      </c>
      <c r="G907" s="126"/>
    </row>
    <row r="908" spans="2:7" ht="13.5" thickBot="1">
      <c r="B908" s="125"/>
      <c r="G908" s="126"/>
    </row>
    <row r="909" spans="2:7">
      <c r="B909" s="125"/>
      <c r="C909" s="127" t="s">
        <v>4</v>
      </c>
      <c r="D909" s="128"/>
      <c r="E909" s="128" t="s">
        <v>805</v>
      </c>
      <c r="F909" s="133"/>
      <c r="G909" s="126"/>
    </row>
    <row r="910" spans="2:7">
      <c r="B910" s="125"/>
      <c r="C910" s="59" t="s">
        <v>2</v>
      </c>
      <c r="E910" s="45" t="s">
        <v>326</v>
      </c>
      <c r="F910" s="126"/>
      <c r="G910" s="126"/>
    </row>
    <row r="911" spans="2:7" ht="13.5" thickBot="1">
      <c r="B911" s="125"/>
      <c r="C911" s="130" t="s">
        <v>3</v>
      </c>
      <c r="D911" s="131"/>
      <c r="E911" s="134" t="s">
        <v>326</v>
      </c>
      <c r="F911" s="135"/>
      <c r="G911" s="126"/>
    </row>
    <row r="912" spans="2:7" ht="13.5" thickBot="1">
      <c r="B912" s="125"/>
      <c r="G912" s="126"/>
    </row>
    <row r="913" spans="2:7" ht="13.5" thickBot="1">
      <c r="B913" s="125"/>
      <c r="C913" s="136" t="s">
        <v>29</v>
      </c>
      <c r="D913" s="137"/>
      <c r="E913" s="138" t="s">
        <v>255</v>
      </c>
      <c r="F913" s="139"/>
      <c r="G913" s="126"/>
    </row>
    <row r="914" spans="2:7">
      <c r="B914" s="125"/>
      <c r="G914" s="126"/>
    </row>
    <row r="915" spans="2:7">
      <c r="B915" s="125"/>
      <c r="C915" s="45" t="s">
        <v>5</v>
      </c>
      <c r="G915" s="126"/>
    </row>
    <row r="916" spans="2:7">
      <c r="B916" s="125"/>
      <c r="G916" s="126"/>
    </row>
    <row r="917" spans="2:7">
      <c r="B917" s="59">
        <v>1</v>
      </c>
      <c r="C917" s="45" t="s">
        <v>53</v>
      </c>
      <c r="G917" s="126"/>
    </row>
    <row r="918" spans="2:7">
      <c r="B918" s="59">
        <v>2</v>
      </c>
      <c r="C918" s="45" t="s">
        <v>11</v>
      </c>
      <c r="G918" s="126"/>
    </row>
    <row r="919" spans="2:7">
      <c r="B919" s="59">
        <v>3</v>
      </c>
      <c r="C919" s="45" t="s">
        <v>6</v>
      </c>
      <c r="G919" s="126"/>
    </row>
    <row r="920" spans="2:7">
      <c r="B920" s="59">
        <v>4</v>
      </c>
      <c r="C920" s="45" t="s">
        <v>164</v>
      </c>
      <c r="G920" s="126"/>
    </row>
    <row r="921" spans="2:7">
      <c r="B921" s="59">
        <v>5</v>
      </c>
      <c r="C921" s="45" t="s">
        <v>10</v>
      </c>
      <c r="G921" s="126"/>
    </row>
    <row r="922" spans="2:7">
      <c r="B922" s="59">
        <v>6</v>
      </c>
      <c r="C922" s="45" t="s">
        <v>34</v>
      </c>
      <c r="G922" s="126"/>
    </row>
    <row r="923" spans="2:7">
      <c r="B923" s="59">
        <v>7</v>
      </c>
      <c r="C923" s="45" t="s">
        <v>207</v>
      </c>
      <c r="G923" s="126"/>
    </row>
    <row r="924" spans="2:7">
      <c r="B924" s="59">
        <v>8</v>
      </c>
      <c r="C924" s="45" t="s">
        <v>13</v>
      </c>
      <c r="G924" s="126"/>
    </row>
    <row r="925" spans="2:7">
      <c r="B925" s="59">
        <v>9</v>
      </c>
      <c r="C925" s="45" t="s">
        <v>361</v>
      </c>
      <c r="G925" s="126"/>
    </row>
    <row r="926" spans="2:7">
      <c r="B926" s="59">
        <v>10</v>
      </c>
      <c r="C926" s="45" t="s">
        <v>208</v>
      </c>
      <c r="G926" s="126"/>
    </row>
    <row r="927" spans="2:7">
      <c r="B927" s="59">
        <v>11</v>
      </c>
      <c r="C927" s="45" t="s">
        <v>144</v>
      </c>
      <c r="G927" s="126"/>
    </row>
    <row r="928" spans="2:7">
      <c r="B928" s="59">
        <v>12</v>
      </c>
      <c r="C928" s="45" t="s">
        <v>15</v>
      </c>
      <c r="G928" s="126"/>
    </row>
    <row r="929" spans="2:7">
      <c r="B929" s="59">
        <v>13</v>
      </c>
      <c r="C929" s="45" t="s">
        <v>236</v>
      </c>
      <c r="G929" s="126"/>
    </row>
    <row r="930" spans="2:7">
      <c r="B930" s="59">
        <v>14</v>
      </c>
      <c r="C930" s="45" t="s">
        <v>214</v>
      </c>
      <c r="G930" s="126"/>
    </row>
    <row r="931" spans="2:7">
      <c r="B931" s="59">
        <v>15</v>
      </c>
      <c r="C931" s="45" t="s">
        <v>234</v>
      </c>
      <c r="G931" s="126"/>
    </row>
    <row r="932" spans="2:7">
      <c r="B932" s="125"/>
      <c r="G932" s="126"/>
    </row>
    <row r="933" spans="2:7">
      <c r="B933" s="125"/>
      <c r="C933" s="45" t="s">
        <v>1003</v>
      </c>
      <c r="G933" s="126"/>
    </row>
    <row r="934" spans="2:7">
      <c r="B934" s="125"/>
      <c r="C934" s="45" t="s">
        <v>633</v>
      </c>
      <c r="G934" s="126"/>
    </row>
    <row r="935" spans="2:7">
      <c r="B935" s="125"/>
      <c r="C935" s="45" t="s">
        <v>998</v>
      </c>
      <c r="G935" s="126"/>
    </row>
    <row r="936" spans="2:7">
      <c r="B936" s="125"/>
      <c r="C936" s="45" t="s">
        <v>1004</v>
      </c>
      <c r="G936" s="126"/>
    </row>
    <row r="937" spans="2:7">
      <c r="B937" s="125"/>
      <c r="C937" s="45" t="s">
        <v>889</v>
      </c>
      <c r="G937" s="126"/>
    </row>
    <row r="938" spans="2:7">
      <c r="B938" s="125"/>
      <c r="C938" s="45" t="s">
        <v>1005</v>
      </c>
      <c r="G938" s="126"/>
    </row>
    <row r="939" spans="2:7">
      <c r="B939" s="125"/>
      <c r="C939" s="45" t="s">
        <v>1006</v>
      </c>
      <c r="G939" s="126"/>
    </row>
    <row r="940" spans="2:7">
      <c r="B940" s="125"/>
      <c r="G940" s="126"/>
    </row>
    <row r="941" spans="2:7">
      <c r="B941" s="125"/>
      <c r="C941" s="124" t="s">
        <v>21</v>
      </c>
      <c r="G941" s="126"/>
    </row>
    <row r="942" spans="2:7">
      <c r="B942" s="125" t="s">
        <v>338</v>
      </c>
      <c r="C942" s="45" t="s">
        <v>234</v>
      </c>
      <c r="G942" s="126"/>
    </row>
    <row r="943" spans="2:7">
      <c r="B943" s="125" t="s">
        <v>352</v>
      </c>
      <c r="C943" s="45" t="s">
        <v>214</v>
      </c>
      <c r="G943" s="126"/>
    </row>
    <row r="944" spans="2:7">
      <c r="B944" s="125" t="s">
        <v>336</v>
      </c>
      <c r="C944" s="45" t="s">
        <v>208</v>
      </c>
      <c r="G944" s="126"/>
    </row>
    <row r="945" spans="2:7">
      <c r="B945" s="125" t="s">
        <v>336</v>
      </c>
      <c r="C945" s="45" t="s">
        <v>144</v>
      </c>
      <c r="G945" s="126"/>
    </row>
    <row r="946" spans="2:7">
      <c r="B946" s="125"/>
      <c r="G946" s="126"/>
    </row>
    <row r="947" spans="2:7">
      <c r="B947" s="125"/>
      <c r="C947" s="44" t="s">
        <v>337</v>
      </c>
      <c r="G947" s="126"/>
    </row>
    <row r="948" spans="2:7">
      <c r="B948" s="125" t="s">
        <v>400</v>
      </c>
      <c r="C948" s="112" t="s">
        <v>236</v>
      </c>
      <c r="G948" s="126"/>
    </row>
    <row r="949" spans="2:7">
      <c r="B949" s="125"/>
      <c r="G949" s="126"/>
    </row>
    <row r="950" spans="2:7">
      <c r="B950" s="125"/>
      <c r="C950" s="44" t="s">
        <v>22</v>
      </c>
      <c r="G950" s="126"/>
    </row>
    <row r="951" spans="2:7">
      <c r="B951" s="125" t="s">
        <v>336</v>
      </c>
      <c r="C951" s="45" t="s">
        <v>236</v>
      </c>
      <c r="G951" s="126"/>
    </row>
    <row r="952" spans="2:7">
      <c r="B952" s="125"/>
      <c r="G952" s="126"/>
    </row>
    <row r="953" spans="2:7">
      <c r="B953" s="125"/>
      <c r="C953" s="44" t="s">
        <v>23</v>
      </c>
      <c r="G953" s="126"/>
    </row>
    <row r="954" spans="2:7">
      <c r="B954" s="125"/>
      <c r="C954" s="112" t="s">
        <v>339</v>
      </c>
      <c r="G954" s="126"/>
    </row>
    <row r="955" spans="2:7" ht="13.5" thickBot="1">
      <c r="B955" s="140"/>
      <c r="C955" s="131"/>
      <c r="D955" s="131"/>
      <c r="E955" s="141"/>
      <c r="F955" s="131"/>
      <c r="G955" s="135"/>
    </row>
    <row r="957" spans="2:7" ht="13.5" thickBot="1"/>
    <row r="958" spans="2:7" ht="13.5" thickBot="1">
      <c r="B958" s="239" t="s">
        <v>1007</v>
      </c>
      <c r="C958" s="240"/>
      <c r="D958" s="240"/>
      <c r="E958" s="240"/>
      <c r="F958" s="240"/>
      <c r="G958" s="241"/>
    </row>
    <row r="959" spans="2:7" ht="13.5" thickBot="1">
      <c r="B959" s="125"/>
      <c r="G959" s="126"/>
    </row>
    <row r="960" spans="2:7">
      <c r="B960" s="125"/>
      <c r="C960" s="127" t="s">
        <v>27</v>
      </c>
      <c r="D960" s="128"/>
      <c r="E960" s="128" t="s">
        <v>1</v>
      </c>
      <c r="F960" s="129">
        <v>43</v>
      </c>
      <c r="G960" s="126"/>
    </row>
    <row r="961" spans="2:7" ht="13.5" thickBot="1">
      <c r="B961" s="125"/>
      <c r="C961" s="130"/>
      <c r="D961" s="131"/>
      <c r="E961" s="131" t="s">
        <v>74</v>
      </c>
      <c r="F961" s="132">
        <v>14</v>
      </c>
      <c r="G961" s="126"/>
    </row>
    <row r="962" spans="2:7" ht="13.5" thickBot="1">
      <c r="B962" s="125"/>
      <c r="G962" s="126"/>
    </row>
    <row r="963" spans="2:7">
      <c r="B963" s="125"/>
      <c r="C963" s="127" t="s">
        <v>4</v>
      </c>
      <c r="D963" s="128"/>
      <c r="E963" s="128" t="s">
        <v>1</v>
      </c>
      <c r="F963" s="133" t="s">
        <v>205</v>
      </c>
      <c r="G963" s="126"/>
    </row>
    <row r="964" spans="2:7">
      <c r="B964" s="125"/>
      <c r="C964" s="59" t="s">
        <v>2</v>
      </c>
      <c r="E964" s="45" t="s">
        <v>326</v>
      </c>
      <c r="F964" s="126"/>
      <c r="G964" s="126"/>
    </row>
    <row r="965" spans="2:7" ht="13.5" thickBot="1">
      <c r="B965" s="125"/>
      <c r="C965" s="130" t="s">
        <v>3</v>
      </c>
      <c r="D965" s="131"/>
      <c r="E965" s="134" t="s">
        <v>354</v>
      </c>
      <c r="F965" s="135"/>
      <c r="G965" s="126"/>
    </row>
    <row r="966" spans="2:7" ht="13.5" thickBot="1">
      <c r="B966" s="125"/>
      <c r="G966" s="126"/>
    </row>
    <row r="967" spans="2:7" ht="13.5" thickBot="1">
      <c r="B967" s="125"/>
      <c r="C967" s="136" t="s">
        <v>29</v>
      </c>
      <c r="D967" s="137"/>
      <c r="E967" s="138" t="s">
        <v>249</v>
      </c>
      <c r="F967" s="139"/>
      <c r="G967" s="126"/>
    </row>
    <row r="968" spans="2:7">
      <c r="B968" s="125"/>
      <c r="G968" s="126"/>
    </row>
    <row r="969" spans="2:7">
      <c r="B969" s="125"/>
      <c r="C969" s="45" t="s">
        <v>5</v>
      </c>
      <c r="G969" s="126"/>
    </row>
    <row r="970" spans="2:7">
      <c r="B970" s="125"/>
      <c r="G970" s="126"/>
    </row>
    <row r="971" spans="2:7">
      <c r="B971" s="59">
        <v>1</v>
      </c>
      <c r="C971" s="45" t="s">
        <v>53</v>
      </c>
      <c r="G971" s="126"/>
    </row>
    <row r="972" spans="2:7">
      <c r="B972" s="59">
        <v>2</v>
      </c>
      <c r="C972" s="45" t="s">
        <v>11</v>
      </c>
      <c r="G972" s="126"/>
    </row>
    <row r="973" spans="2:7">
      <c r="B973" s="59">
        <v>3</v>
      </c>
      <c r="C973" s="45" t="s">
        <v>6</v>
      </c>
      <c r="G973" s="126"/>
    </row>
    <row r="974" spans="2:7">
      <c r="B974" s="59">
        <v>4</v>
      </c>
      <c r="C974" s="45" t="s">
        <v>207</v>
      </c>
      <c r="G974" s="126"/>
    </row>
    <row r="975" spans="2:7">
      <c r="B975" s="59">
        <v>5</v>
      </c>
      <c r="C975" s="45" t="s">
        <v>10</v>
      </c>
      <c r="G975" s="126"/>
    </row>
    <row r="976" spans="2:7">
      <c r="B976" s="59">
        <v>6</v>
      </c>
      <c r="C976" s="45" t="s">
        <v>34</v>
      </c>
      <c r="G976" s="126"/>
    </row>
    <row r="977" spans="2:7">
      <c r="B977" s="59">
        <v>7</v>
      </c>
      <c r="C977" s="45" t="s">
        <v>13</v>
      </c>
      <c r="G977" s="126"/>
    </row>
    <row r="978" spans="2:7">
      <c r="B978" s="59">
        <v>8</v>
      </c>
      <c r="C978" s="45" t="s">
        <v>230</v>
      </c>
      <c r="G978" s="126"/>
    </row>
    <row r="979" spans="2:7">
      <c r="B979" s="59">
        <v>9</v>
      </c>
      <c r="C979" s="45" t="s">
        <v>361</v>
      </c>
      <c r="G979" s="126"/>
    </row>
    <row r="980" spans="2:7">
      <c r="B980" s="59">
        <v>10</v>
      </c>
      <c r="C980" s="45" t="s">
        <v>208</v>
      </c>
      <c r="G980" s="126"/>
    </row>
    <row r="981" spans="2:7">
      <c r="B981" s="59">
        <v>11</v>
      </c>
      <c r="C981" s="45" t="s">
        <v>144</v>
      </c>
      <c r="G981" s="126"/>
    </row>
    <row r="982" spans="2:7">
      <c r="B982" s="59">
        <v>12</v>
      </c>
      <c r="C982" s="45" t="s">
        <v>15</v>
      </c>
      <c r="G982" s="126"/>
    </row>
    <row r="983" spans="2:7">
      <c r="B983" s="59">
        <v>13</v>
      </c>
      <c r="C983" s="45" t="s">
        <v>236</v>
      </c>
      <c r="G983" s="126"/>
    </row>
    <row r="984" spans="2:7">
      <c r="B984" s="59">
        <v>14</v>
      </c>
      <c r="C984" s="45" t="s">
        <v>214</v>
      </c>
      <c r="G984" s="126"/>
    </row>
    <row r="985" spans="2:7">
      <c r="B985" s="59">
        <v>15</v>
      </c>
      <c r="C985" s="45" t="s">
        <v>234</v>
      </c>
      <c r="G985" s="126"/>
    </row>
    <row r="986" spans="2:7">
      <c r="B986" s="125"/>
      <c r="G986" s="126"/>
    </row>
    <row r="987" spans="2:7">
      <c r="B987" s="125"/>
      <c r="C987" s="45" t="s">
        <v>1003</v>
      </c>
      <c r="G987" s="126"/>
    </row>
    <row r="988" spans="2:7">
      <c r="B988" s="125"/>
      <c r="C988" s="45" t="s">
        <v>633</v>
      </c>
      <c r="G988" s="126"/>
    </row>
    <row r="989" spans="2:7">
      <c r="B989" s="125"/>
      <c r="C989" s="45" t="s">
        <v>972</v>
      </c>
      <c r="G989" s="126"/>
    </row>
    <row r="990" spans="2:7">
      <c r="B990" s="125"/>
      <c r="C990" s="45" t="s">
        <v>1008</v>
      </c>
      <c r="G990" s="126"/>
    </row>
    <row r="991" spans="2:7">
      <c r="B991" s="125"/>
      <c r="C991" s="45" t="s">
        <v>1009</v>
      </c>
      <c r="G991" s="126"/>
    </row>
    <row r="992" spans="2:7">
      <c r="B992" s="125"/>
      <c r="C992" s="45" t="s">
        <v>998</v>
      </c>
      <c r="G992" s="126"/>
    </row>
    <row r="993" spans="2:7">
      <c r="B993" s="125"/>
      <c r="C993" s="45" t="s">
        <v>1010</v>
      </c>
      <c r="G993" s="126"/>
    </row>
    <row r="994" spans="2:7">
      <c r="B994" s="125"/>
      <c r="C994" s="45" t="s">
        <v>889</v>
      </c>
      <c r="G994" s="126"/>
    </row>
    <row r="995" spans="2:7">
      <c r="B995" s="125"/>
      <c r="G995" s="126"/>
    </row>
    <row r="996" spans="2:7">
      <c r="B996" s="125"/>
      <c r="C996" s="124" t="s">
        <v>21</v>
      </c>
      <c r="G996" s="126"/>
    </row>
    <row r="997" spans="2:7">
      <c r="B997" s="125" t="s">
        <v>352</v>
      </c>
      <c r="C997" s="45" t="s">
        <v>230</v>
      </c>
      <c r="G997" s="126"/>
    </row>
    <row r="998" spans="2:7">
      <c r="B998" s="125" t="s">
        <v>352</v>
      </c>
      <c r="C998" s="45" t="s">
        <v>214</v>
      </c>
      <c r="G998" s="126"/>
    </row>
    <row r="999" spans="2:7">
      <c r="B999" s="125" t="s">
        <v>336</v>
      </c>
      <c r="C999" s="45" t="s">
        <v>14</v>
      </c>
      <c r="G999" s="126"/>
    </row>
    <row r="1000" spans="2:7">
      <c r="B1000" s="125" t="s">
        <v>336</v>
      </c>
      <c r="C1000" s="45" t="s">
        <v>10</v>
      </c>
      <c r="G1000" s="126"/>
    </row>
    <row r="1001" spans="2:7">
      <c r="B1001" s="125"/>
      <c r="G1001" s="126"/>
    </row>
    <row r="1002" spans="2:7">
      <c r="B1002" s="125"/>
      <c r="C1002" s="44" t="s">
        <v>337</v>
      </c>
      <c r="G1002" s="126"/>
    </row>
    <row r="1003" spans="2:7">
      <c r="B1003" s="125" t="s">
        <v>338</v>
      </c>
      <c r="C1003" s="112" t="s">
        <v>236</v>
      </c>
      <c r="G1003" s="126"/>
    </row>
    <row r="1004" spans="2:7">
      <c r="B1004" s="125"/>
      <c r="G1004" s="126"/>
    </row>
    <row r="1005" spans="2:7">
      <c r="B1005" s="125"/>
      <c r="C1005" s="44" t="s">
        <v>22</v>
      </c>
      <c r="G1005" s="126"/>
    </row>
    <row r="1006" spans="2:7">
      <c r="B1006" s="125" t="s">
        <v>336</v>
      </c>
      <c r="C1006" s="45" t="s">
        <v>236</v>
      </c>
      <c r="G1006" s="126"/>
    </row>
    <row r="1007" spans="2:7">
      <c r="B1007" s="125"/>
      <c r="G1007" s="126"/>
    </row>
    <row r="1008" spans="2:7">
      <c r="B1008" s="125"/>
      <c r="C1008" s="44" t="s">
        <v>23</v>
      </c>
      <c r="G1008" s="126"/>
    </row>
    <row r="1009" spans="2:7">
      <c r="B1009" s="125" t="s">
        <v>336</v>
      </c>
      <c r="C1009" s="112" t="s">
        <v>339</v>
      </c>
      <c r="G1009" s="126"/>
    </row>
    <row r="1010" spans="2:7" ht="13.5" thickBot="1">
      <c r="B1010" s="140"/>
      <c r="C1010" s="131"/>
      <c r="D1010" s="131"/>
      <c r="E1010" s="141"/>
      <c r="F1010" s="131"/>
      <c r="G1010" s="135"/>
    </row>
    <row r="1012" spans="2:7" ht="13.5" thickBot="1"/>
    <row r="1013" spans="2:7" ht="13.5" thickBot="1">
      <c r="B1013" s="239" t="s">
        <v>1011</v>
      </c>
      <c r="C1013" s="240"/>
      <c r="D1013" s="240"/>
      <c r="E1013" s="240"/>
      <c r="F1013" s="240"/>
      <c r="G1013" s="241"/>
    </row>
    <row r="1014" spans="2:7" ht="13.5" thickBot="1">
      <c r="B1014" s="125"/>
      <c r="G1014" s="126"/>
    </row>
    <row r="1015" spans="2:7">
      <c r="B1015" s="125"/>
      <c r="C1015" s="127" t="s">
        <v>27</v>
      </c>
      <c r="D1015" s="128"/>
      <c r="E1015" s="128" t="s">
        <v>92</v>
      </c>
      <c r="F1015" s="129">
        <v>40</v>
      </c>
      <c r="G1015" s="126"/>
    </row>
    <row r="1016" spans="2:7" ht="13.5" thickBot="1">
      <c r="B1016" s="125"/>
      <c r="C1016" s="130"/>
      <c r="D1016" s="131"/>
      <c r="E1016" s="131" t="s">
        <v>1</v>
      </c>
      <c r="F1016" s="132">
        <v>38</v>
      </c>
      <c r="G1016" s="126"/>
    </row>
    <row r="1017" spans="2:7" ht="13.5" thickBot="1">
      <c r="B1017" s="125"/>
      <c r="G1017" s="126"/>
    </row>
    <row r="1018" spans="2:7">
      <c r="B1018" s="125"/>
      <c r="C1018" s="127" t="s">
        <v>4</v>
      </c>
      <c r="D1018" s="128"/>
      <c r="E1018" s="128" t="s">
        <v>92</v>
      </c>
      <c r="F1018" s="133"/>
      <c r="G1018" s="126"/>
    </row>
    <row r="1019" spans="2:7">
      <c r="B1019" s="125"/>
      <c r="C1019" s="59" t="s">
        <v>2</v>
      </c>
      <c r="E1019" s="45" t="s">
        <v>326</v>
      </c>
      <c r="F1019" s="126"/>
      <c r="G1019" s="126"/>
    </row>
    <row r="1020" spans="2:7" ht="13.5" thickBot="1">
      <c r="B1020" s="125"/>
      <c r="C1020" s="130" t="s">
        <v>3</v>
      </c>
      <c r="D1020" s="131"/>
      <c r="E1020" s="134" t="s">
        <v>326</v>
      </c>
      <c r="F1020" s="135"/>
      <c r="G1020" s="126"/>
    </row>
    <row r="1021" spans="2:7" ht="13.5" thickBot="1">
      <c r="B1021" s="125"/>
      <c r="G1021" s="126"/>
    </row>
    <row r="1022" spans="2:7" ht="13.5" thickBot="1">
      <c r="B1022" s="125"/>
      <c r="C1022" s="136" t="s">
        <v>29</v>
      </c>
      <c r="D1022" s="137"/>
      <c r="E1022" s="138" t="s">
        <v>1012</v>
      </c>
      <c r="F1022" s="139"/>
      <c r="G1022" s="126"/>
    </row>
    <row r="1023" spans="2:7">
      <c r="B1023" s="125"/>
      <c r="G1023" s="126"/>
    </row>
    <row r="1024" spans="2:7">
      <c r="B1024" s="125"/>
      <c r="C1024" s="45" t="s">
        <v>5</v>
      </c>
      <c r="G1024" s="126"/>
    </row>
    <row r="1025" spans="2:7">
      <c r="B1025" s="125"/>
      <c r="G1025" s="126"/>
    </row>
    <row r="1026" spans="2:7">
      <c r="B1026" s="59">
        <v>1</v>
      </c>
      <c r="C1026" s="45" t="s">
        <v>53</v>
      </c>
      <c r="G1026" s="126"/>
    </row>
    <row r="1027" spans="2:7">
      <c r="B1027" s="59">
        <v>2</v>
      </c>
      <c r="C1027" s="45" t="s">
        <v>11</v>
      </c>
      <c r="G1027" s="126"/>
    </row>
    <row r="1028" spans="2:7">
      <c r="B1028" s="59">
        <v>3</v>
      </c>
      <c r="C1028" s="45" t="s">
        <v>6</v>
      </c>
      <c r="G1028" s="126"/>
    </row>
    <row r="1029" spans="2:7">
      <c r="B1029" s="59">
        <v>4</v>
      </c>
      <c r="C1029" s="45" t="s">
        <v>207</v>
      </c>
      <c r="G1029" s="126"/>
    </row>
    <row r="1030" spans="2:7">
      <c r="B1030" s="59">
        <v>5</v>
      </c>
      <c r="C1030" s="45" t="s">
        <v>10</v>
      </c>
      <c r="G1030" s="126"/>
    </row>
    <row r="1031" spans="2:7">
      <c r="B1031" s="59">
        <v>6</v>
      </c>
      <c r="C1031" s="45" t="s">
        <v>34</v>
      </c>
      <c r="G1031" s="126"/>
    </row>
    <row r="1032" spans="2:7">
      <c r="B1032" s="59">
        <v>7</v>
      </c>
      <c r="C1032" s="45" t="s">
        <v>13</v>
      </c>
      <c r="G1032" s="126"/>
    </row>
    <row r="1033" spans="2:7">
      <c r="B1033" s="59">
        <v>8</v>
      </c>
      <c r="C1033" s="45" t="s">
        <v>230</v>
      </c>
      <c r="G1033" s="126"/>
    </row>
    <row r="1034" spans="2:7">
      <c r="B1034" s="59">
        <v>9</v>
      </c>
      <c r="C1034" s="45" t="s">
        <v>361</v>
      </c>
      <c r="G1034" s="126"/>
    </row>
    <row r="1035" spans="2:7">
      <c r="B1035" s="59">
        <v>10</v>
      </c>
      <c r="C1035" s="45" t="s">
        <v>208</v>
      </c>
      <c r="G1035" s="126"/>
    </row>
    <row r="1036" spans="2:7">
      <c r="B1036" s="59">
        <v>11</v>
      </c>
      <c r="C1036" s="45" t="s">
        <v>144</v>
      </c>
      <c r="G1036" s="126"/>
    </row>
    <row r="1037" spans="2:7">
      <c r="B1037" s="59">
        <v>12</v>
      </c>
      <c r="C1037" s="45" t="s">
        <v>15</v>
      </c>
      <c r="G1037" s="126"/>
    </row>
    <row r="1038" spans="2:7">
      <c r="B1038" s="59">
        <v>13</v>
      </c>
      <c r="C1038" s="45" t="s">
        <v>236</v>
      </c>
      <c r="G1038" s="126"/>
    </row>
    <row r="1039" spans="2:7">
      <c r="B1039" s="59">
        <v>14</v>
      </c>
      <c r="C1039" s="45" t="s">
        <v>214</v>
      </c>
      <c r="G1039" s="126"/>
    </row>
    <row r="1040" spans="2:7">
      <c r="B1040" s="59">
        <v>15</v>
      </c>
      <c r="C1040" s="45" t="s">
        <v>234</v>
      </c>
      <c r="G1040" s="126"/>
    </row>
    <row r="1041" spans="2:7">
      <c r="B1041" s="125"/>
      <c r="G1041" s="126"/>
    </row>
    <row r="1042" spans="2:7">
      <c r="B1042" s="125"/>
      <c r="C1042" s="45" t="s">
        <v>1003</v>
      </c>
      <c r="G1042" s="126"/>
    </row>
    <row r="1043" spans="2:7">
      <c r="B1043" s="125"/>
      <c r="C1043" s="45" t="s">
        <v>972</v>
      </c>
      <c r="G1043" s="126"/>
    </row>
    <row r="1044" spans="2:7">
      <c r="B1044" s="125"/>
      <c r="G1044" s="126"/>
    </row>
    <row r="1045" spans="2:7">
      <c r="B1045" s="125"/>
      <c r="C1045" s="124" t="s">
        <v>21</v>
      </c>
      <c r="G1045" s="126"/>
    </row>
    <row r="1046" spans="2:7">
      <c r="B1046" s="125" t="s">
        <v>352</v>
      </c>
      <c r="C1046" s="45" t="s">
        <v>214</v>
      </c>
      <c r="G1046" s="126"/>
    </row>
    <row r="1047" spans="2:7">
      <c r="B1047" s="125" t="s">
        <v>336</v>
      </c>
      <c r="C1047" s="45" t="s">
        <v>144</v>
      </c>
      <c r="G1047" s="126"/>
    </row>
    <row r="1048" spans="2:7">
      <c r="B1048" s="125" t="s">
        <v>336</v>
      </c>
      <c r="C1048" s="45" t="s">
        <v>234</v>
      </c>
      <c r="G1048" s="126"/>
    </row>
    <row r="1049" spans="2:7">
      <c r="B1049" s="125" t="s">
        <v>336</v>
      </c>
      <c r="C1049" s="45" t="s">
        <v>230</v>
      </c>
      <c r="G1049" s="126"/>
    </row>
    <row r="1050" spans="2:7">
      <c r="B1050" s="125" t="s">
        <v>336</v>
      </c>
      <c r="C1050" s="45" t="s">
        <v>207</v>
      </c>
      <c r="G1050" s="126"/>
    </row>
    <row r="1051" spans="2:7">
      <c r="B1051" s="125"/>
      <c r="G1051" s="126"/>
    </row>
    <row r="1052" spans="2:7">
      <c r="B1052" s="125"/>
      <c r="C1052" s="44" t="s">
        <v>337</v>
      </c>
      <c r="G1052" s="126"/>
    </row>
    <row r="1053" spans="2:7">
      <c r="B1053" s="125" t="s">
        <v>338</v>
      </c>
      <c r="C1053" s="112" t="s">
        <v>236</v>
      </c>
      <c r="G1053" s="126"/>
    </row>
    <row r="1054" spans="2:7">
      <c r="B1054" s="125"/>
      <c r="G1054" s="126"/>
    </row>
    <row r="1055" spans="2:7">
      <c r="B1055" s="125"/>
      <c r="C1055" s="44" t="s">
        <v>23</v>
      </c>
      <c r="G1055" s="126"/>
    </row>
    <row r="1056" spans="2:7">
      <c r="B1056" s="125" t="s">
        <v>336</v>
      </c>
      <c r="C1056" s="112" t="s">
        <v>207</v>
      </c>
      <c r="G1056" s="126"/>
    </row>
    <row r="1057" spans="2:7" ht="13.5" thickBot="1">
      <c r="B1057" s="140"/>
      <c r="C1057" s="131"/>
      <c r="D1057" s="131"/>
      <c r="E1057" s="141"/>
      <c r="F1057" s="131"/>
      <c r="G1057" s="135"/>
    </row>
    <row r="1059" spans="2:7" ht="13.5" thickBot="1"/>
    <row r="1060" spans="2:7" ht="13.5" thickBot="1">
      <c r="B1060" s="239" t="s">
        <v>1013</v>
      </c>
      <c r="C1060" s="240"/>
      <c r="D1060" s="240"/>
      <c r="E1060" s="240"/>
      <c r="F1060" s="240"/>
      <c r="G1060" s="241"/>
    </row>
    <row r="1061" spans="2:7" ht="13.5" thickBot="1">
      <c r="B1061" s="125"/>
      <c r="G1061" s="126"/>
    </row>
    <row r="1062" spans="2:7">
      <c r="B1062" s="125"/>
      <c r="C1062" s="127" t="s">
        <v>27</v>
      </c>
      <c r="D1062" s="128"/>
      <c r="E1062" s="128" t="s">
        <v>1</v>
      </c>
      <c r="F1062" s="129">
        <v>14</v>
      </c>
      <c r="G1062" s="126"/>
    </row>
    <row r="1063" spans="2:7" ht="13.5" thickBot="1">
      <c r="B1063" s="125"/>
      <c r="C1063" s="130"/>
      <c r="D1063" s="131"/>
      <c r="E1063" s="131" t="s">
        <v>49</v>
      </c>
      <c r="F1063" s="132">
        <v>19</v>
      </c>
      <c r="G1063" s="126"/>
    </row>
    <row r="1064" spans="2:7" ht="13.5" thickBot="1">
      <c r="B1064" s="125"/>
      <c r="G1064" s="126"/>
    </row>
    <row r="1065" spans="2:7">
      <c r="B1065" s="125"/>
      <c r="C1065" s="127" t="s">
        <v>4</v>
      </c>
      <c r="D1065" s="128"/>
      <c r="E1065" s="128" t="s">
        <v>1</v>
      </c>
      <c r="F1065" s="133" t="s">
        <v>205</v>
      </c>
      <c r="G1065" s="126"/>
    </row>
    <row r="1066" spans="2:7">
      <c r="B1066" s="125"/>
      <c r="C1066" s="59" t="s">
        <v>2</v>
      </c>
      <c r="E1066" s="45" t="s">
        <v>468</v>
      </c>
      <c r="F1066" s="126"/>
      <c r="G1066" s="126"/>
    </row>
    <row r="1067" spans="2:7" ht="13.5" thickBot="1">
      <c r="B1067" s="125"/>
      <c r="C1067" s="130" t="s">
        <v>3</v>
      </c>
      <c r="D1067" s="131"/>
      <c r="E1067" s="134" t="s">
        <v>354</v>
      </c>
      <c r="F1067" s="135"/>
      <c r="G1067" s="126"/>
    </row>
    <row r="1068" spans="2:7" ht="13.5" thickBot="1">
      <c r="B1068" s="125"/>
      <c r="G1068" s="126"/>
    </row>
    <row r="1069" spans="2:7" ht="13.5" thickBot="1">
      <c r="B1069" s="125"/>
      <c r="C1069" s="136" t="s">
        <v>29</v>
      </c>
      <c r="D1069" s="137"/>
      <c r="E1069" s="138" t="s">
        <v>257</v>
      </c>
      <c r="F1069" s="139"/>
      <c r="G1069" s="126"/>
    </row>
    <row r="1070" spans="2:7">
      <c r="B1070" s="125"/>
      <c r="G1070" s="126"/>
    </row>
    <row r="1071" spans="2:7">
      <c r="B1071" s="125"/>
      <c r="C1071" s="45" t="s">
        <v>5</v>
      </c>
      <c r="G1071" s="126"/>
    </row>
    <row r="1072" spans="2:7">
      <c r="B1072" s="125"/>
      <c r="G1072" s="126"/>
    </row>
    <row r="1073" spans="2:7">
      <c r="B1073" s="59">
        <v>1</v>
      </c>
      <c r="C1073" s="45" t="s">
        <v>53</v>
      </c>
      <c r="G1073" s="126"/>
    </row>
    <row r="1074" spans="2:7">
      <c r="B1074" s="59">
        <v>2</v>
      </c>
      <c r="C1074" s="45" t="s">
        <v>11</v>
      </c>
      <c r="G1074" s="126"/>
    </row>
    <row r="1075" spans="2:7">
      <c r="B1075" s="59">
        <v>3</v>
      </c>
      <c r="C1075" s="45" t="s">
        <v>6</v>
      </c>
      <c r="G1075" s="126"/>
    </row>
    <row r="1076" spans="2:7">
      <c r="B1076" s="59">
        <v>4</v>
      </c>
      <c r="C1076" s="45" t="s">
        <v>207</v>
      </c>
      <c r="G1076" s="126"/>
    </row>
    <row r="1077" spans="2:7">
      <c r="B1077" s="59">
        <v>5</v>
      </c>
      <c r="C1077" s="45" t="s">
        <v>10</v>
      </c>
      <c r="G1077" s="126"/>
    </row>
    <row r="1078" spans="2:7">
      <c r="B1078" s="59">
        <v>6</v>
      </c>
      <c r="C1078" s="45" t="s">
        <v>34</v>
      </c>
      <c r="G1078" s="126"/>
    </row>
    <row r="1079" spans="2:7">
      <c r="B1079" s="59">
        <v>7</v>
      </c>
      <c r="C1079" s="45" t="s">
        <v>164</v>
      </c>
      <c r="G1079" s="126"/>
    </row>
    <row r="1080" spans="2:7">
      <c r="B1080" s="59">
        <v>8</v>
      </c>
      <c r="C1080" s="45" t="s">
        <v>230</v>
      </c>
      <c r="G1080" s="126"/>
    </row>
    <row r="1081" spans="2:7">
      <c r="B1081" s="59">
        <v>9</v>
      </c>
      <c r="C1081" s="45" t="s">
        <v>361</v>
      </c>
      <c r="G1081" s="126"/>
    </row>
    <row r="1082" spans="2:7">
      <c r="B1082" s="59">
        <v>10</v>
      </c>
      <c r="C1082" s="45" t="s">
        <v>208</v>
      </c>
      <c r="G1082" s="126"/>
    </row>
    <row r="1083" spans="2:7">
      <c r="B1083" s="59">
        <v>11</v>
      </c>
      <c r="C1083" s="45" t="s">
        <v>144</v>
      </c>
      <c r="G1083" s="126"/>
    </row>
    <row r="1084" spans="2:7">
      <c r="B1084" s="59">
        <v>12</v>
      </c>
      <c r="C1084" s="45" t="s">
        <v>15</v>
      </c>
      <c r="G1084" s="126"/>
    </row>
    <row r="1085" spans="2:7">
      <c r="B1085" s="59">
        <v>13</v>
      </c>
      <c r="C1085" s="45" t="s">
        <v>236</v>
      </c>
      <c r="G1085" s="126"/>
    </row>
    <row r="1086" spans="2:7">
      <c r="B1086" s="59">
        <v>14</v>
      </c>
      <c r="C1086" s="45" t="s">
        <v>214</v>
      </c>
      <c r="G1086" s="126"/>
    </row>
    <row r="1087" spans="2:7">
      <c r="B1087" s="59">
        <v>15</v>
      </c>
      <c r="C1087" s="45" t="s">
        <v>234</v>
      </c>
      <c r="G1087" s="126"/>
    </row>
    <row r="1088" spans="2:7">
      <c r="B1088" s="125"/>
      <c r="G1088" s="126"/>
    </row>
    <row r="1089" spans="2:7">
      <c r="B1089" s="125"/>
      <c r="C1089" s="45" t="s">
        <v>1014</v>
      </c>
      <c r="G1089" s="126"/>
    </row>
    <row r="1090" spans="2:7">
      <c r="B1090" s="125"/>
      <c r="C1090" s="45" t="s">
        <v>972</v>
      </c>
      <c r="G1090" s="126"/>
    </row>
    <row r="1091" spans="2:7">
      <c r="B1091" s="125"/>
      <c r="C1091" s="45" t="s">
        <v>889</v>
      </c>
      <c r="G1091" s="126"/>
    </row>
    <row r="1092" spans="2:7">
      <c r="B1092" s="125"/>
      <c r="C1092" s="45" t="s">
        <v>998</v>
      </c>
      <c r="G1092" s="126"/>
    </row>
    <row r="1093" spans="2:7">
      <c r="B1093" s="125"/>
      <c r="C1093" s="45" t="s">
        <v>1015</v>
      </c>
      <c r="G1093" s="126"/>
    </row>
    <row r="1094" spans="2:7">
      <c r="B1094" s="125"/>
      <c r="G1094" s="126"/>
    </row>
    <row r="1095" spans="2:7">
      <c r="B1095" s="125"/>
      <c r="C1095" s="124" t="s">
        <v>21</v>
      </c>
      <c r="G1095" s="126"/>
    </row>
    <row r="1096" spans="2:7">
      <c r="B1096" s="125" t="s">
        <v>336</v>
      </c>
      <c r="C1096" s="45" t="s">
        <v>230</v>
      </c>
      <c r="G1096" s="126"/>
    </row>
    <row r="1097" spans="2:7">
      <c r="B1097" s="125" t="s">
        <v>336</v>
      </c>
      <c r="C1097" s="45" t="s">
        <v>208</v>
      </c>
      <c r="G1097" s="126"/>
    </row>
    <row r="1098" spans="2:7">
      <c r="B1098" s="125"/>
      <c r="G1098" s="126"/>
    </row>
    <row r="1099" spans="2:7">
      <c r="B1099" s="125"/>
      <c r="C1099" s="44" t="s">
        <v>337</v>
      </c>
      <c r="G1099" s="126"/>
    </row>
    <row r="1100" spans="2:7">
      <c r="B1100" s="125" t="s">
        <v>352</v>
      </c>
      <c r="C1100" s="112" t="s">
        <v>236</v>
      </c>
      <c r="G1100" s="126"/>
    </row>
    <row r="1101" spans="2:7">
      <c r="B1101" s="125"/>
      <c r="G1101" s="126"/>
    </row>
    <row r="1102" spans="2:7">
      <c r="B1102" s="125"/>
      <c r="C1102" s="44" t="s">
        <v>23</v>
      </c>
      <c r="G1102" s="126"/>
    </row>
    <row r="1103" spans="2:7">
      <c r="B1103" s="125" t="s">
        <v>336</v>
      </c>
      <c r="C1103" s="112" t="s">
        <v>10</v>
      </c>
      <c r="G1103" s="126"/>
    </row>
    <row r="1104" spans="2:7" ht="13.5" thickBot="1">
      <c r="B1104" s="140"/>
      <c r="C1104" s="131"/>
      <c r="D1104" s="131"/>
      <c r="E1104" s="141"/>
      <c r="F1104" s="131"/>
      <c r="G1104" s="135"/>
    </row>
    <row r="1106" spans="2:7" ht="13.5" thickBot="1"/>
    <row r="1107" spans="2:7" ht="13.5" thickBot="1">
      <c r="B1107" s="239" t="s">
        <v>1016</v>
      </c>
      <c r="C1107" s="240"/>
      <c r="D1107" s="240"/>
      <c r="E1107" s="240"/>
      <c r="F1107" s="240"/>
      <c r="G1107" s="241"/>
    </row>
    <row r="1108" spans="2:7" ht="13.5" thickBot="1">
      <c r="B1108" s="125"/>
      <c r="G1108" s="126"/>
    </row>
    <row r="1109" spans="2:7">
      <c r="B1109" s="125"/>
      <c r="C1109" s="127" t="s">
        <v>27</v>
      </c>
      <c r="D1109" s="128"/>
      <c r="E1109" s="128" t="s">
        <v>102</v>
      </c>
      <c r="F1109" s="129">
        <v>15</v>
      </c>
      <c r="G1109" s="126"/>
    </row>
    <row r="1110" spans="2:7" ht="13.5" thickBot="1">
      <c r="B1110" s="125"/>
      <c r="C1110" s="130"/>
      <c r="D1110" s="131"/>
      <c r="E1110" s="131" t="s">
        <v>1</v>
      </c>
      <c r="F1110" s="132">
        <v>33</v>
      </c>
      <c r="G1110" s="126"/>
    </row>
    <row r="1111" spans="2:7" ht="13.5" thickBot="1">
      <c r="B1111" s="125"/>
      <c r="G1111" s="126"/>
    </row>
    <row r="1112" spans="2:7">
      <c r="B1112" s="125"/>
      <c r="C1112" s="127" t="s">
        <v>4</v>
      </c>
      <c r="D1112" s="128"/>
      <c r="E1112" s="128" t="s">
        <v>102</v>
      </c>
      <c r="F1112" s="133"/>
      <c r="G1112" s="126"/>
    </row>
    <row r="1113" spans="2:7">
      <c r="B1113" s="125"/>
      <c r="C1113" s="59" t="s">
        <v>2</v>
      </c>
      <c r="E1113" s="45" t="s">
        <v>404</v>
      </c>
      <c r="F1113" s="126"/>
      <c r="G1113" s="126"/>
    </row>
    <row r="1114" spans="2:7" ht="13.5" thickBot="1">
      <c r="B1114" s="125"/>
      <c r="C1114" s="130" t="s">
        <v>3</v>
      </c>
      <c r="D1114" s="131"/>
      <c r="E1114" s="134" t="s">
        <v>326</v>
      </c>
      <c r="F1114" s="135"/>
      <c r="G1114" s="126"/>
    </row>
    <row r="1115" spans="2:7" ht="13.5" thickBot="1">
      <c r="B1115" s="125"/>
      <c r="G1115" s="126"/>
    </row>
    <row r="1116" spans="2:7" ht="13.5" thickBot="1">
      <c r="B1116" s="125"/>
      <c r="C1116" s="136" t="s">
        <v>29</v>
      </c>
      <c r="D1116" s="137"/>
      <c r="E1116" s="138" t="s">
        <v>262</v>
      </c>
      <c r="F1116" s="139"/>
      <c r="G1116" s="126"/>
    </row>
    <row r="1117" spans="2:7">
      <c r="B1117" s="125"/>
      <c r="G1117" s="126"/>
    </row>
    <row r="1118" spans="2:7">
      <c r="B1118" s="125"/>
      <c r="C1118" s="45" t="s">
        <v>5</v>
      </c>
      <c r="G1118" s="126"/>
    </row>
    <row r="1119" spans="2:7">
      <c r="B1119" s="125"/>
      <c r="G1119" s="126"/>
    </row>
    <row r="1120" spans="2:7">
      <c r="B1120" s="59">
        <v>1</v>
      </c>
      <c r="C1120" s="45" t="s">
        <v>53</v>
      </c>
      <c r="G1120" s="126"/>
    </row>
    <row r="1121" spans="2:7">
      <c r="B1121" s="59">
        <v>2</v>
      </c>
      <c r="C1121" s="45" t="s">
        <v>11</v>
      </c>
      <c r="G1121" s="126"/>
    </row>
    <row r="1122" spans="2:7">
      <c r="B1122" s="59">
        <v>3</v>
      </c>
      <c r="C1122" s="45" t="s">
        <v>6</v>
      </c>
      <c r="G1122" s="126"/>
    </row>
    <row r="1123" spans="2:7">
      <c r="B1123" s="59">
        <v>4</v>
      </c>
      <c r="C1123" s="45" t="s">
        <v>164</v>
      </c>
      <c r="G1123" s="126"/>
    </row>
    <row r="1124" spans="2:7">
      <c r="B1124" s="59">
        <v>5</v>
      </c>
      <c r="C1124" s="45" t="s">
        <v>10</v>
      </c>
      <c r="G1124" s="126"/>
    </row>
    <row r="1125" spans="2:7">
      <c r="B1125" s="59">
        <v>6</v>
      </c>
      <c r="C1125" s="45" t="s">
        <v>34</v>
      </c>
      <c r="G1125" s="126"/>
    </row>
    <row r="1126" spans="2:7">
      <c r="B1126" s="59">
        <v>7</v>
      </c>
      <c r="C1126" s="45" t="s">
        <v>211</v>
      </c>
      <c r="G1126" s="126"/>
    </row>
    <row r="1127" spans="2:7">
      <c r="B1127" s="59">
        <v>8</v>
      </c>
      <c r="C1127" s="45" t="s">
        <v>230</v>
      </c>
      <c r="G1127" s="126"/>
    </row>
    <row r="1128" spans="2:7">
      <c r="B1128" s="59">
        <v>9</v>
      </c>
      <c r="C1128" s="45" t="s">
        <v>217</v>
      </c>
      <c r="G1128" s="126"/>
    </row>
    <row r="1129" spans="2:7">
      <c r="B1129" s="59">
        <v>10</v>
      </c>
      <c r="C1129" s="45" t="s">
        <v>208</v>
      </c>
      <c r="G1129" s="126"/>
    </row>
    <row r="1130" spans="2:7">
      <c r="B1130" s="59">
        <v>11</v>
      </c>
      <c r="C1130" s="45" t="s">
        <v>959</v>
      </c>
      <c r="G1130" s="126"/>
    </row>
    <row r="1131" spans="2:7">
      <c r="B1131" s="59">
        <v>12</v>
      </c>
      <c r="C1131" s="45" t="s">
        <v>15</v>
      </c>
      <c r="G1131" s="126"/>
    </row>
    <row r="1132" spans="2:7">
      <c r="B1132" s="59">
        <v>13</v>
      </c>
      <c r="C1132" s="45" t="s">
        <v>236</v>
      </c>
      <c r="G1132" s="126"/>
    </row>
    <row r="1133" spans="2:7">
      <c r="B1133" s="59">
        <v>14</v>
      </c>
      <c r="C1133" s="45" t="s">
        <v>214</v>
      </c>
      <c r="G1133" s="126"/>
    </row>
    <row r="1134" spans="2:7">
      <c r="B1134" s="59">
        <v>15</v>
      </c>
      <c r="C1134" s="45" t="s">
        <v>234</v>
      </c>
      <c r="G1134" s="126"/>
    </row>
    <row r="1135" spans="2:7">
      <c r="B1135" s="125"/>
      <c r="G1135" s="126"/>
    </row>
    <row r="1136" spans="2:7">
      <c r="B1136" s="125"/>
      <c r="C1136" s="45" t="s">
        <v>986</v>
      </c>
      <c r="G1136" s="126"/>
    </row>
    <row r="1137" spans="2:7">
      <c r="B1137" s="125"/>
      <c r="C1137" s="45" t="s">
        <v>765</v>
      </c>
      <c r="G1137" s="126"/>
    </row>
    <row r="1138" spans="2:7">
      <c r="B1138" s="125"/>
      <c r="C1138" s="45" t="s">
        <v>854</v>
      </c>
      <c r="G1138" s="126"/>
    </row>
    <row r="1139" spans="2:7">
      <c r="B1139" s="125"/>
      <c r="G1139" s="126"/>
    </row>
    <row r="1140" spans="2:7">
      <c r="B1140" s="125"/>
      <c r="C1140" s="124" t="s">
        <v>21</v>
      </c>
      <c r="G1140" s="126"/>
    </row>
    <row r="1141" spans="2:7">
      <c r="B1141" s="125" t="s">
        <v>336</v>
      </c>
      <c r="C1141" s="45" t="s">
        <v>214</v>
      </c>
      <c r="G1141" s="126"/>
    </row>
    <row r="1142" spans="2:7">
      <c r="B1142" s="125" t="s">
        <v>352</v>
      </c>
      <c r="C1142" s="45" t="s">
        <v>144</v>
      </c>
      <c r="G1142" s="126"/>
    </row>
    <row r="1143" spans="2:7">
      <c r="B1143" s="125" t="s">
        <v>336</v>
      </c>
      <c r="C1143" s="45" t="s">
        <v>1017</v>
      </c>
      <c r="G1143" s="126"/>
    </row>
    <row r="1144" spans="2:7">
      <c r="B1144" s="125"/>
      <c r="G1144" s="126"/>
    </row>
    <row r="1145" spans="2:7">
      <c r="B1145" s="125"/>
      <c r="C1145" s="44" t="s">
        <v>337</v>
      </c>
      <c r="G1145" s="126"/>
    </row>
    <row r="1146" spans="2:7">
      <c r="B1146" s="125" t="s">
        <v>352</v>
      </c>
      <c r="C1146" s="112" t="s">
        <v>236</v>
      </c>
      <c r="G1146" s="126"/>
    </row>
    <row r="1147" spans="2:7">
      <c r="B1147" s="125"/>
      <c r="G1147" s="126"/>
    </row>
    <row r="1148" spans="2:7">
      <c r="B1148" s="125"/>
      <c r="C1148" s="44" t="s">
        <v>22</v>
      </c>
      <c r="G1148" s="126"/>
    </row>
    <row r="1149" spans="2:7">
      <c r="B1149" s="125" t="s">
        <v>335</v>
      </c>
      <c r="C1149" s="45" t="s">
        <v>236</v>
      </c>
      <c r="G1149" s="126"/>
    </row>
    <row r="1150" spans="2:7">
      <c r="B1150" s="125"/>
      <c r="G1150" s="126"/>
    </row>
    <row r="1151" spans="2:7">
      <c r="B1151" s="125"/>
      <c r="C1151" s="44" t="s">
        <v>23</v>
      </c>
      <c r="G1151" s="126"/>
    </row>
    <row r="1152" spans="2:7">
      <c r="B1152" s="125" t="s">
        <v>336</v>
      </c>
      <c r="C1152" s="112" t="s">
        <v>164</v>
      </c>
      <c r="G1152" s="126"/>
    </row>
    <row r="1153" spans="2:7">
      <c r="B1153" s="125" t="s">
        <v>336</v>
      </c>
      <c r="C1153" s="112" t="s">
        <v>211</v>
      </c>
      <c r="G1153" s="126"/>
    </row>
    <row r="1154" spans="2:7" ht="13.5" thickBot="1">
      <c r="B1154" s="140"/>
      <c r="C1154" s="131"/>
      <c r="D1154" s="131"/>
      <c r="E1154" s="141"/>
      <c r="F1154" s="131"/>
      <c r="G1154" s="135"/>
    </row>
    <row r="1156" spans="2:7" ht="13.5" thickBot="1"/>
    <row r="1157" spans="2:7" ht="13.5" thickBot="1">
      <c r="B1157" s="239" t="s">
        <v>1018</v>
      </c>
      <c r="C1157" s="240"/>
      <c r="D1157" s="240"/>
      <c r="E1157" s="240"/>
      <c r="F1157" s="240"/>
      <c r="G1157" s="241"/>
    </row>
    <row r="1158" spans="2:7" ht="13.5" thickBot="1">
      <c r="B1158" s="125"/>
      <c r="G1158" s="126"/>
    </row>
    <row r="1159" spans="2:7">
      <c r="B1159" s="125"/>
      <c r="C1159" s="127" t="s">
        <v>27</v>
      </c>
      <c r="D1159" s="128"/>
      <c r="E1159" s="128" t="s">
        <v>1</v>
      </c>
      <c r="F1159" s="129">
        <v>27</v>
      </c>
      <c r="G1159" s="126"/>
    </row>
    <row r="1160" spans="2:7" ht="13.5" thickBot="1">
      <c r="B1160" s="125"/>
      <c r="C1160" s="130"/>
      <c r="D1160" s="131"/>
      <c r="E1160" s="131" t="s">
        <v>104</v>
      </c>
      <c r="F1160" s="132">
        <v>36</v>
      </c>
      <c r="G1160" s="126"/>
    </row>
    <row r="1161" spans="2:7" ht="13.5" thickBot="1">
      <c r="B1161" s="125"/>
      <c r="G1161" s="126"/>
    </row>
    <row r="1162" spans="2:7">
      <c r="B1162" s="125"/>
      <c r="C1162" s="127" t="s">
        <v>4</v>
      </c>
      <c r="D1162" s="128"/>
      <c r="E1162" s="128" t="s">
        <v>1</v>
      </c>
      <c r="F1162" s="133" t="s">
        <v>205</v>
      </c>
      <c r="G1162" s="126"/>
    </row>
    <row r="1163" spans="2:7">
      <c r="B1163" s="125"/>
      <c r="C1163" s="59" t="s">
        <v>2</v>
      </c>
      <c r="E1163" s="45" t="s">
        <v>326</v>
      </c>
      <c r="F1163" s="126"/>
      <c r="G1163" s="126"/>
    </row>
    <row r="1164" spans="2:7" ht="13.5" thickBot="1">
      <c r="B1164" s="125"/>
      <c r="C1164" s="130" t="s">
        <v>3</v>
      </c>
      <c r="D1164" s="131"/>
      <c r="E1164" s="134" t="s">
        <v>354</v>
      </c>
      <c r="F1164" s="135"/>
      <c r="G1164" s="126"/>
    </row>
    <row r="1165" spans="2:7" ht="13.5" thickBot="1">
      <c r="B1165" s="125"/>
      <c r="G1165" s="126"/>
    </row>
    <row r="1166" spans="2:7" ht="13.5" thickBot="1">
      <c r="B1166" s="125"/>
      <c r="C1166" s="136" t="s">
        <v>29</v>
      </c>
      <c r="D1166" s="137"/>
      <c r="E1166" s="138" t="s">
        <v>249</v>
      </c>
      <c r="F1166" s="139"/>
      <c r="G1166" s="126"/>
    </row>
    <row r="1167" spans="2:7">
      <c r="B1167" s="125"/>
      <c r="G1167" s="126"/>
    </row>
    <row r="1168" spans="2:7">
      <c r="B1168" s="125"/>
      <c r="C1168" s="45" t="s">
        <v>5</v>
      </c>
      <c r="G1168" s="126"/>
    </row>
    <row r="1169" spans="2:7">
      <c r="B1169" s="125"/>
      <c r="G1169" s="126"/>
    </row>
    <row r="1170" spans="2:7">
      <c r="B1170" s="59">
        <v>1</v>
      </c>
      <c r="C1170" s="45" t="s">
        <v>53</v>
      </c>
      <c r="G1170" s="126"/>
    </row>
    <row r="1171" spans="2:7">
      <c r="B1171" s="59">
        <v>2</v>
      </c>
      <c r="C1171" s="45" t="s">
        <v>11</v>
      </c>
      <c r="G1171" s="126"/>
    </row>
    <row r="1172" spans="2:7">
      <c r="B1172" s="59">
        <v>3</v>
      </c>
      <c r="C1172" s="45" t="s">
        <v>6</v>
      </c>
      <c r="G1172" s="126"/>
    </row>
    <row r="1173" spans="2:7">
      <c r="B1173" s="59">
        <v>4</v>
      </c>
      <c r="C1173" s="45" t="s">
        <v>10</v>
      </c>
      <c r="G1173" s="126"/>
    </row>
    <row r="1174" spans="2:7">
      <c r="B1174" s="59">
        <v>5</v>
      </c>
      <c r="C1174" s="45" t="s">
        <v>164</v>
      </c>
      <c r="G1174" s="126"/>
    </row>
    <row r="1175" spans="2:7">
      <c r="B1175" s="59">
        <v>6</v>
      </c>
      <c r="C1175" s="45" t="s">
        <v>211</v>
      </c>
      <c r="G1175" s="126"/>
    </row>
    <row r="1176" spans="2:7">
      <c r="B1176" s="59">
        <v>7</v>
      </c>
      <c r="C1176" s="45" t="s">
        <v>34</v>
      </c>
      <c r="G1176" s="126"/>
    </row>
    <row r="1177" spans="2:7">
      <c r="B1177" s="59">
        <v>8</v>
      </c>
      <c r="C1177" s="45" t="s">
        <v>230</v>
      </c>
      <c r="G1177" s="126"/>
    </row>
    <row r="1178" spans="2:7">
      <c r="B1178" s="59">
        <v>9</v>
      </c>
      <c r="C1178" s="45" t="s">
        <v>217</v>
      </c>
      <c r="G1178" s="126"/>
    </row>
    <row r="1179" spans="2:7">
      <c r="B1179" s="59">
        <v>10</v>
      </c>
      <c r="C1179" s="45" t="s">
        <v>208</v>
      </c>
      <c r="G1179" s="126"/>
    </row>
    <row r="1180" spans="2:7">
      <c r="B1180" s="59">
        <v>11</v>
      </c>
      <c r="C1180" s="45" t="s">
        <v>1019</v>
      </c>
      <c r="G1180" s="126"/>
    </row>
    <row r="1181" spans="2:7">
      <c r="B1181" s="59">
        <v>12</v>
      </c>
      <c r="C1181" s="45" t="s">
        <v>15</v>
      </c>
      <c r="G1181" s="126"/>
    </row>
    <row r="1182" spans="2:7">
      <c r="B1182" s="59">
        <v>13</v>
      </c>
      <c r="C1182" s="45" t="s">
        <v>236</v>
      </c>
      <c r="G1182" s="126"/>
    </row>
    <row r="1183" spans="2:7">
      <c r="B1183" s="59">
        <v>14</v>
      </c>
      <c r="C1183" s="45" t="s">
        <v>214</v>
      </c>
      <c r="G1183" s="126"/>
    </row>
    <row r="1184" spans="2:7">
      <c r="B1184" s="59">
        <v>15</v>
      </c>
      <c r="C1184" s="45" t="s">
        <v>234</v>
      </c>
      <c r="G1184" s="126"/>
    </row>
    <row r="1185" spans="2:7">
      <c r="B1185" s="125"/>
      <c r="G1185" s="126"/>
    </row>
    <row r="1186" spans="2:7">
      <c r="B1186" s="125"/>
      <c r="C1186" s="45" t="s">
        <v>1020</v>
      </c>
      <c r="G1186" s="126"/>
    </row>
    <row r="1187" spans="2:7">
      <c r="B1187" s="125"/>
      <c r="C1187" s="45" t="s">
        <v>1021</v>
      </c>
      <c r="G1187" s="126"/>
    </row>
    <row r="1188" spans="2:7">
      <c r="B1188" s="125"/>
      <c r="C1188" s="45" t="s">
        <v>802</v>
      </c>
      <c r="G1188" s="126"/>
    </row>
    <row r="1189" spans="2:7">
      <c r="B1189" s="125"/>
      <c r="C1189" s="45" t="s">
        <v>854</v>
      </c>
      <c r="G1189" s="126"/>
    </row>
    <row r="1190" spans="2:7">
      <c r="B1190" s="125"/>
      <c r="C1190" s="45" t="s">
        <v>1022</v>
      </c>
      <c r="G1190" s="126"/>
    </row>
    <row r="1191" spans="2:7">
      <c r="B1191" s="125"/>
      <c r="G1191" s="126"/>
    </row>
    <row r="1192" spans="2:7">
      <c r="B1192" s="125"/>
      <c r="C1192" s="124" t="s">
        <v>21</v>
      </c>
      <c r="G1192" s="126"/>
    </row>
    <row r="1193" spans="2:7">
      <c r="B1193" s="125" t="s">
        <v>352</v>
      </c>
      <c r="C1193" s="45" t="s">
        <v>236</v>
      </c>
      <c r="G1193" s="126"/>
    </row>
    <row r="1194" spans="2:7">
      <c r="B1194" s="125"/>
      <c r="G1194" s="126"/>
    </row>
    <row r="1195" spans="2:7">
      <c r="B1195" s="125"/>
      <c r="C1195" s="44" t="s">
        <v>337</v>
      </c>
      <c r="G1195" s="126"/>
    </row>
    <row r="1196" spans="2:7">
      <c r="B1196" s="125" t="s">
        <v>336</v>
      </c>
      <c r="C1196" s="45" t="s">
        <v>236</v>
      </c>
      <c r="G1196" s="126"/>
    </row>
    <row r="1197" spans="2:7">
      <c r="B1197" s="125"/>
      <c r="G1197" s="126"/>
    </row>
    <row r="1198" spans="2:7">
      <c r="B1198" s="125"/>
      <c r="C1198" s="44" t="s">
        <v>22</v>
      </c>
      <c r="G1198" s="126"/>
    </row>
    <row r="1199" spans="2:7">
      <c r="B1199" s="125" t="s">
        <v>351</v>
      </c>
      <c r="C1199" s="112" t="s">
        <v>236</v>
      </c>
      <c r="G1199" s="126"/>
    </row>
    <row r="1200" spans="2:7">
      <c r="B1200" s="125"/>
      <c r="G1200" s="126"/>
    </row>
    <row r="1201" spans="2:7">
      <c r="B1201" s="125"/>
      <c r="C1201" s="44" t="s">
        <v>23</v>
      </c>
      <c r="G1201" s="126"/>
    </row>
    <row r="1202" spans="2:7">
      <c r="B1202" s="125" t="s">
        <v>336</v>
      </c>
      <c r="C1202" s="112" t="s">
        <v>35</v>
      </c>
      <c r="G1202" s="126"/>
    </row>
    <row r="1203" spans="2:7" ht="13.5" thickBot="1">
      <c r="B1203" s="140"/>
      <c r="C1203" s="131"/>
      <c r="D1203" s="131"/>
      <c r="E1203" s="141"/>
      <c r="F1203" s="131"/>
      <c r="G1203" s="135"/>
    </row>
    <row r="1205" spans="2:7" ht="13.5" thickBot="1"/>
    <row r="1206" spans="2:7" ht="13.5" thickBot="1">
      <c r="B1206" s="239" t="s">
        <v>1023</v>
      </c>
      <c r="C1206" s="240"/>
      <c r="D1206" s="240"/>
      <c r="E1206" s="240"/>
      <c r="F1206" s="240"/>
      <c r="G1206" s="241"/>
    </row>
    <row r="1207" spans="2:7" ht="13.5" thickBot="1">
      <c r="B1207" s="125"/>
      <c r="G1207" s="126"/>
    </row>
    <row r="1208" spans="2:7">
      <c r="B1208" s="125"/>
      <c r="C1208" s="127" t="s">
        <v>27</v>
      </c>
      <c r="D1208" s="128"/>
      <c r="E1208" s="128" t="s">
        <v>58</v>
      </c>
      <c r="F1208" s="129">
        <v>5</v>
      </c>
      <c r="G1208" s="126"/>
    </row>
    <row r="1209" spans="2:7" ht="13.5" thickBot="1">
      <c r="B1209" s="125"/>
      <c r="C1209" s="130"/>
      <c r="D1209" s="131"/>
      <c r="E1209" s="131" t="s">
        <v>1</v>
      </c>
      <c r="F1209" s="132">
        <v>45</v>
      </c>
      <c r="G1209" s="126"/>
    </row>
    <row r="1210" spans="2:7" ht="13.5" thickBot="1">
      <c r="B1210" s="125"/>
      <c r="G1210" s="126"/>
    </row>
    <row r="1211" spans="2:7">
      <c r="B1211" s="125"/>
      <c r="C1211" s="127" t="s">
        <v>4</v>
      </c>
      <c r="D1211" s="128"/>
      <c r="E1211" s="128" t="s">
        <v>58</v>
      </c>
      <c r="F1211" s="133"/>
      <c r="G1211" s="126"/>
    </row>
    <row r="1212" spans="2:7">
      <c r="B1212" s="125"/>
      <c r="C1212" s="59" t="s">
        <v>2</v>
      </c>
      <c r="E1212" s="45" t="s">
        <v>326</v>
      </c>
      <c r="F1212" s="126"/>
      <c r="G1212" s="126"/>
    </row>
    <row r="1213" spans="2:7" ht="13.5" thickBot="1">
      <c r="B1213" s="125"/>
      <c r="C1213" s="130" t="s">
        <v>3</v>
      </c>
      <c r="D1213" s="131"/>
      <c r="E1213" s="134" t="s">
        <v>354</v>
      </c>
      <c r="F1213" s="135"/>
      <c r="G1213" s="126"/>
    </row>
    <row r="1214" spans="2:7" ht="13.5" thickBot="1">
      <c r="B1214" s="125"/>
      <c r="G1214" s="126"/>
    </row>
    <row r="1215" spans="2:7" ht="13.5" thickBot="1">
      <c r="B1215" s="125"/>
      <c r="C1215" s="136" t="s">
        <v>29</v>
      </c>
      <c r="D1215" s="137"/>
      <c r="E1215" s="138" t="s">
        <v>263</v>
      </c>
      <c r="F1215" s="139"/>
      <c r="G1215" s="126"/>
    </row>
    <row r="1216" spans="2:7">
      <c r="B1216" s="125"/>
      <c r="G1216" s="126"/>
    </row>
    <row r="1217" spans="2:7">
      <c r="B1217" s="125"/>
      <c r="C1217" s="45" t="s">
        <v>5</v>
      </c>
      <c r="G1217" s="126"/>
    </row>
    <row r="1218" spans="2:7">
      <c r="B1218" s="125"/>
      <c r="G1218" s="126"/>
    </row>
    <row r="1219" spans="2:7">
      <c r="B1219" s="59">
        <v>1</v>
      </c>
      <c r="C1219" s="45" t="s">
        <v>53</v>
      </c>
      <c r="G1219" s="126"/>
    </row>
    <row r="1220" spans="2:7">
      <c r="B1220" s="59">
        <v>2</v>
      </c>
      <c r="C1220" s="45" t="s">
        <v>11</v>
      </c>
      <c r="G1220" s="126"/>
    </row>
    <row r="1221" spans="2:7">
      <c r="B1221" s="59">
        <v>3</v>
      </c>
      <c r="C1221" s="45" t="s">
        <v>6</v>
      </c>
      <c r="G1221" s="126"/>
    </row>
    <row r="1222" spans="2:7">
      <c r="B1222" s="59">
        <v>4</v>
      </c>
      <c r="C1222" s="45" t="s">
        <v>10</v>
      </c>
      <c r="G1222" s="126"/>
    </row>
    <row r="1223" spans="2:7">
      <c r="B1223" s="59">
        <v>5</v>
      </c>
      <c r="C1223" s="45" t="s">
        <v>32</v>
      </c>
      <c r="G1223" s="126"/>
    </row>
    <row r="1224" spans="2:7">
      <c r="B1224" s="59">
        <v>6</v>
      </c>
      <c r="C1224" s="45" t="s">
        <v>164</v>
      </c>
      <c r="G1224" s="126"/>
    </row>
    <row r="1225" spans="2:7">
      <c r="B1225" s="59">
        <v>7</v>
      </c>
      <c r="C1225" s="45" t="s">
        <v>34</v>
      </c>
      <c r="G1225" s="126"/>
    </row>
    <row r="1226" spans="2:7">
      <c r="B1226" s="59">
        <v>8</v>
      </c>
      <c r="C1226" s="45" t="s">
        <v>230</v>
      </c>
      <c r="G1226" s="126"/>
    </row>
    <row r="1227" spans="2:7">
      <c r="B1227" s="59">
        <v>9</v>
      </c>
      <c r="C1227" s="45" t="s">
        <v>1024</v>
      </c>
      <c r="G1227" s="126"/>
    </row>
    <row r="1228" spans="2:7">
      <c r="B1228" s="59">
        <v>10</v>
      </c>
      <c r="C1228" s="45" t="s">
        <v>208</v>
      </c>
      <c r="G1228" s="126"/>
    </row>
    <row r="1229" spans="2:7">
      <c r="B1229" s="59">
        <v>11</v>
      </c>
      <c r="C1229" s="45" t="s">
        <v>214</v>
      </c>
      <c r="G1229" s="126"/>
    </row>
    <row r="1230" spans="2:7">
      <c r="B1230" s="59">
        <v>12</v>
      </c>
      <c r="C1230" s="45" t="s">
        <v>15</v>
      </c>
      <c r="G1230" s="126"/>
    </row>
    <row r="1231" spans="2:7">
      <c r="B1231" s="59">
        <v>13</v>
      </c>
      <c r="C1231" s="45" t="s">
        <v>236</v>
      </c>
      <c r="G1231" s="126"/>
    </row>
    <row r="1232" spans="2:7">
      <c r="B1232" s="59">
        <v>14</v>
      </c>
      <c r="C1232" s="45" t="s">
        <v>144</v>
      </c>
      <c r="G1232" s="126"/>
    </row>
    <row r="1233" spans="2:7">
      <c r="B1233" s="59">
        <v>15</v>
      </c>
      <c r="C1233" s="45" t="s">
        <v>234</v>
      </c>
      <c r="G1233" s="126"/>
    </row>
    <row r="1234" spans="2:7">
      <c r="B1234" s="125"/>
      <c r="G1234" s="126"/>
    </row>
    <row r="1235" spans="2:7">
      <c r="B1235" s="125"/>
      <c r="C1235" s="45" t="s">
        <v>986</v>
      </c>
      <c r="G1235" s="126"/>
    </row>
    <row r="1236" spans="2:7">
      <c r="B1236" s="125"/>
      <c r="C1236" s="45" t="s">
        <v>1025</v>
      </c>
      <c r="G1236" s="126"/>
    </row>
    <row r="1237" spans="2:7">
      <c r="B1237" s="125"/>
      <c r="C1237" s="45" t="s">
        <v>1026</v>
      </c>
      <c r="G1237" s="126"/>
    </row>
    <row r="1238" spans="2:7">
      <c r="B1238" s="125"/>
      <c r="C1238" s="45" t="s">
        <v>889</v>
      </c>
      <c r="G1238" s="126"/>
    </row>
    <row r="1239" spans="2:7">
      <c r="B1239" s="125"/>
      <c r="C1239" s="45" t="s">
        <v>1027</v>
      </c>
      <c r="G1239" s="126"/>
    </row>
    <row r="1240" spans="2:7">
      <c r="B1240" s="125"/>
      <c r="C1240" s="45" t="s">
        <v>1028</v>
      </c>
      <c r="G1240" s="126"/>
    </row>
    <row r="1241" spans="2:7">
      <c r="B1241" s="125"/>
      <c r="C1241" s="45" t="s">
        <v>1029</v>
      </c>
      <c r="G1241" s="126"/>
    </row>
    <row r="1242" spans="2:7">
      <c r="B1242" s="125"/>
      <c r="C1242" s="147" t="s">
        <v>863</v>
      </c>
      <c r="G1242" s="126"/>
    </row>
    <row r="1243" spans="2:7">
      <c r="B1243" s="125"/>
      <c r="G1243" s="126"/>
    </row>
    <row r="1244" spans="2:7">
      <c r="B1244" s="125"/>
      <c r="C1244" s="124" t="s">
        <v>21</v>
      </c>
      <c r="G1244" s="126"/>
    </row>
    <row r="1245" spans="2:7">
      <c r="B1245" s="125" t="s">
        <v>336</v>
      </c>
      <c r="C1245" s="45" t="s">
        <v>236</v>
      </c>
      <c r="G1245" s="126"/>
    </row>
    <row r="1246" spans="2:7">
      <c r="B1246" s="125" t="s">
        <v>336</v>
      </c>
      <c r="C1246" s="45" t="s">
        <v>34</v>
      </c>
      <c r="G1246" s="126"/>
    </row>
    <row r="1247" spans="2:7">
      <c r="B1247" s="125" t="s">
        <v>336</v>
      </c>
      <c r="C1247" s="45" t="s">
        <v>18</v>
      </c>
      <c r="G1247" s="126"/>
    </row>
    <row r="1248" spans="2:7">
      <c r="B1248" s="125" t="s">
        <v>336</v>
      </c>
      <c r="C1248" s="45" t="s">
        <v>14</v>
      </c>
      <c r="G1248" s="126"/>
    </row>
    <row r="1249" spans="2:7">
      <c r="B1249" s="125" t="s">
        <v>336</v>
      </c>
      <c r="C1249" s="45" t="s">
        <v>230</v>
      </c>
      <c r="G1249" s="126"/>
    </row>
    <row r="1250" spans="2:7">
      <c r="B1250" s="125" t="s">
        <v>336</v>
      </c>
      <c r="C1250" s="45" t="s">
        <v>234</v>
      </c>
      <c r="G1250" s="126"/>
    </row>
    <row r="1251" spans="2:7">
      <c r="B1251" s="125"/>
      <c r="G1251" s="126"/>
    </row>
    <row r="1252" spans="2:7">
      <c r="B1252" s="125"/>
      <c r="C1252" s="44" t="s">
        <v>337</v>
      </c>
      <c r="G1252" s="126"/>
    </row>
    <row r="1253" spans="2:7">
      <c r="B1253" s="125" t="s">
        <v>400</v>
      </c>
      <c r="C1253" s="112" t="s">
        <v>236</v>
      </c>
      <c r="G1253" s="126"/>
    </row>
    <row r="1254" spans="2:7">
      <c r="B1254" s="125"/>
      <c r="G1254" s="126"/>
    </row>
    <row r="1255" spans="2:7">
      <c r="B1255" s="125"/>
      <c r="C1255" s="44" t="s">
        <v>22</v>
      </c>
      <c r="G1255" s="126"/>
    </row>
    <row r="1256" spans="2:7">
      <c r="B1256" s="125" t="s">
        <v>336</v>
      </c>
      <c r="C1256" s="45" t="s">
        <v>236</v>
      </c>
      <c r="G1256" s="126"/>
    </row>
    <row r="1257" spans="2:7">
      <c r="B1257" s="125"/>
      <c r="G1257" s="126"/>
    </row>
    <row r="1258" spans="2:7">
      <c r="B1258" s="125"/>
      <c r="C1258" s="44" t="s">
        <v>23</v>
      </c>
      <c r="G1258" s="126"/>
    </row>
    <row r="1259" spans="2:7">
      <c r="B1259" s="125" t="s">
        <v>336</v>
      </c>
      <c r="C1259" s="112" t="s">
        <v>32</v>
      </c>
      <c r="G1259" s="126"/>
    </row>
    <row r="1260" spans="2:7" ht="13.5" thickBot="1">
      <c r="B1260" s="140"/>
      <c r="C1260" s="131"/>
      <c r="D1260" s="131"/>
      <c r="E1260" s="141"/>
      <c r="F1260" s="131"/>
      <c r="G1260" s="135"/>
    </row>
    <row r="1262" spans="2:7" ht="13.5" thickBot="1"/>
    <row r="1263" spans="2:7" ht="13.5" thickBot="1">
      <c r="B1263" s="239" t="s">
        <v>928</v>
      </c>
      <c r="C1263" s="240"/>
      <c r="D1263" s="240"/>
      <c r="E1263" s="240"/>
      <c r="F1263" s="240"/>
      <c r="G1263" s="241"/>
    </row>
    <row r="1264" spans="2:7" ht="13.5" thickBot="1">
      <c r="B1264" s="125"/>
      <c r="G1264" s="126"/>
    </row>
    <row r="1265" spans="2:7">
      <c r="B1265" s="125"/>
      <c r="C1265" s="127" t="s">
        <v>27</v>
      </c>
      <c r="D1265" s="128"/>
      <c r="E1265" s="128" t="s">
        <v>1</v>
      </c>
      <c r="F1265" s="129">
        <v>31</v>
      </c>
      <c r="G1265" s="126"/>
    </row>
    <row r="1266" spans="2:7" ht="13.5" thickBot="1">
      <c r="B1266" s="125"/>
      <c r="C1266" s="130"/>
      <c r="D1266" s="131"/>
      <c r="E1266" s="131" t="s">
        <v>126</v>
      </c>
      <c r="F1266" s="132">
        <v>52</v>
      </c>
      <c r="G1266" s="126"/>
    </row>
    <row r="1267" spans="2:7" ht="13.5" thickBot="1">
      <c r="B1267" s="125"/>
      <c r="G1267" s="126"/>
    </row>
    <row r="1268" spans="2:7">
      <c r="B1268" s="125"/>
      <c r="C1268" s="127" t="s">
        <v>4</v>
      </c>
      <c r="D1268" s="128"/>
      <c r="E1268" s="128" t="s">
        <v>1</v>
      </c>
      <c r="F1268" s="133" t="s">
        <v>205</v>
      </c>
      <c r="G1268" s="126"/>
    </row>
    <row r="1269" spans="2:7">
      <c r="B1269" s="125"/>
      <c r="C1269" s="59" t="s">
        <v>2</v>
      </c>
      <c r="E1269" s="45" t="s">
        <v>326</v>
      </c>
      <c r="F1269" s="126"/>
      <c r="G1269" s="126"/>
    </row>
    <row r="1270" spans="2:7" ht="13.5" thickBot="1">
      <c r="B1270" s="125"/>
      <c r="C1270" s="130" t="s">
        <v>3</v>
      </c>
      <c r="D1270" s="131"/>
      <c r="E1270" s="134" t="s">
        <v>354</v>
      </c>
      <c r="F1270" s="135"/>
      <c r="G1270" s="126"/>
    </row>
    <row r="1271" spans="2:7" ht="13.5" thickBot="1">
      <c r="B1271" s="125"/>
      <c r="G1271" s="126"/>
    </row>
    <row r="1272" spans="2:7" ht="13.5" thickBot="1">
      <c r="B1272" s="125"/>
      <c r="C1272" s="136" t="s">
        <v>29</v>
      </c>
      <c r="D1272" s="137"/>
      <c r="E1272" s="138" t="s">
        <v>1030</v>
      </c>
      <c r="F1272" s="139"/>
      <c r="G1272" s="126"/>
    </row>
    <row r="1273" spans="2:7">
      <c r="B1273" s="125"/>
      <c r="G1273" s="126"/>
    </row>
    <row r="1274" spans="2:7">
      <c r="B1274" s="125"/>
      <c r="C1274" s="45" t="s">
        <v>5</v>
      </c>
      <c r="G1274" s="126"/>
    </row>
    <row r="1275" spans="2:7">
      <c r="B1275" s="125"/>
      <c r="G1275" s="126"/>
    </row>
    <row r="1276" spans="2:7">
      <c r="B1276" s="59">
        <v>1</v>
      </c>
      <c r="C1276" s="45" t="s">
        <v>53</v>
      </c>
      <c r="G1276" s="126"/>
    </row>
    <row r="1277" spans="2:7">
      <c r="B1277" s="59">
        <v>2</v>
      </c>
      <c r="C1277" s="45" t="s">
        <v>11</v>
      </c>
      <c r="G1277" s="126"/>
    </row>
    <row r="1278" spans="2:7">
      <c r="B1278" s="59">
        <v>3</v>
      </c>
      <c r="C1278" s="45" t="s">
        <v>6</v>
      </c>
      <c r="G1278" s="126"/>
    </row>
    <row r="1279" spans="2:7">
      <c r="B1279" s="59">
        <v>4</v>
      </c>
      <c r="C1279" s="45" t="s">
        <v>10</v>
      </c>
      <c r="G1279" s="126"/>
    </row>
    <row r="1280" spans="2:7">
      <c r="B1280" s="59">
        <v>5</v>
      </c>
      <c r="C1280" s="45" t="s">
        <v>32</v>
      </c>
      <c r="G1280" s="126"/>
    </row>
    <row r="1281" spans="2:7">
      <c r="B1281" s="59">
        <v>6</v>
      </c>
      <c r="C1281" s="45" t="s">
        <v>164</v>
      </c>
      <c r="G1281" s="126"/>
    </row>
    <row r="1282" spans="2:7">
      <c r="B1282" s="59">
        <v>7</v>
      </c>
      <c r="C1282" s="45" t="s">
        <v>34</v>
      </c>
      <c r="G1282" s="126"/>
    </row>
    <row r="1283" spans="2:7">
      <c r="B1283" s="59">
        <v>8</v>
      </c>
      <c r="C1283" s="45" t="s">
        <v>230</v>
      </c>
      <c r="G1283" s="126"/>
    </row>
    <row r="1284" spans="2:7">
      <c r="B1284" s="59">
        <v>9</v>
      </c>
      <c r="C1284" s="45" t="s">
        <v>1024</v>
      </c>
      <c r="G1284" s="126"/>
    </row>
    <row r="1285" spans="2:7">
      <c r="B1285" s="59">
        <v>10</v>
      </c>
      <c r="C1285" s="45" t="s">
        <v>208</v>
      </c>
      <c r="G1285" s="126"/>
    </row>
    <row r="1286" spans="2:7">
      <c r="B1286" s="59">
        <v>11</v>
      </c>
      <c r="C1286" s="45" t="s">
        <v>214</v>
      </c>
      <c r="G1286" s="126"/>
    </row>
    <row r="1287" spans="2:7">
      <c r="B1287" s="59">
        <v>12</v>
      </c>
      <c r="C1287" s="45" t="s">
        <v>18</v>
      </c>
      <c r="G1287" s="126"/>
    </row>
    <row r="1288" spans="2:7">
      <c r="B1288" s="59">
        <v>13</v>
      </c>
      <c r="C1288" s="45" t="s">
        <v>236</v>
      </c>
      <c r="G1288" s="126"/>
    </row>
    <row r="1289" spans="2:7">
      <c r="B1289" s="59">
        <v>14</v>
      </c>
      <c r="C1289" s="45" t="s">
        <v>247</v>
      </c>
      <c r="G1289" s="126"/>
    </row>
    <row r="1290" spans="2:7">
      <c r="B1290" s="59">
        <v>15</v>
      </c>
      <c r="C1290" s="45" t="s">
        <v>234</v>
      </c>
      <c r="G1290" s="126"/>
    </row>
    <row r="1291" spans="2:7">
      <c r="B1291" s="125"/>
      <c r="G1291" s="126"/>
    </row>
    <row r="1292" spans="2:7">
      <c r="B1292" s="125"/>
      <c r="C1292" s="45" t="s">
        <v>1031</v>
      </c>
      <c r="G1292" s="126"/>
    </row>
    <row r="1293" spans="2:7">
      <c r="B1293" s="125"/>
      <c r="C1293" s="45" t="s">
        <v>1004</v>
      </c>
      <c r="G1293" s="126"/>
    </row>
    <row r="1294" spans="2:7">
      <c r="B1294" s="125"/>
      <c r="C1294" s="45" t="s">
        <v>972</v>
      </c>
      <c r="G1294" s="126"/>
    </row>
    <row r="1295" spans="2:7">
      <c r="B1295" s="125"/>
      <c r="C1295" s="45" t="s">
        <v>1032</v>
      </c>
      <c r="G1295" s="126"/>
    </row>
    <row r="1296" spans="2:7">
      <c r="B1296" s="125"/>
      <c r="C1296" s="45" t="s">
        <v>989</v>
      </c>
      <c r="G1296" s="126"/>
    </row>
    <row r="1297" spans="2:7">
      <c r="B1297" s="125"/>
      <c r="C1297" s="45" t="s">
        <v>1025</v>
      </c>
      <c r="G1297" s="126"/>
    </row>
    <row r="1298" spans="2:7">
      <c r="B1298" s="125"/>
      <c r="G1298" s="126"/>
    </row>
    <row r="1299" spans="2:7">
      <c r="B1299" s="125"/>
      <c r="C1299" s="124" t="s">
        <v>21</v>
      </c>
      <c r="G1299" s="126"/>
    </row>
    <row r="1300" spans="2:7">
      <c r="B1300" s="125" t="s">
        <v>336</v>
      </c>
      <c r="C1300" s="45" t="s">
        <v>230</v>
      </c>
      <c r="G1300" s="126"/>
    </row>
    <row r="1301" spans="2:7">
      <c r="B1301" s="125" t="s">
        <v>336</v>
      </c>
      <c r="C1301" s="45" t="s">
        <v>214</v>
      </c>
      <c r="G1301" s="126"/>
    </row>
    <row r="1302" spans="2:7">
      <c r="B1302" s="125" t="s">
        <v>336</v>
      </c>
      <c r="C1302" s="45" t="s">
        <v>56</v>
      </c>
      <c r="G1302" s="126"/>
    </row>
    <row r="1303" spans="2:7">
      <c r="B1303" s="125" t="s">
        <v>336</v>
      </c>
      <c r="C1303" s="45" t="s">
        <v>234</v>
      </c>
      <c r="G1303" s="126"/>
    </row>
    <row r="1304" spans="2:7">
      <c r="B1304" s="125" t="s">
        <v>336</v>
      </c>
      <c r="C1304" s="45" t="s">
        <v>217</v>
      </c>
      <c r="G1304" s="126"/>
    </row>
    <row r="1305" spans="2:7">
      <c r="B1305" s="125"/>
      <c r="G1305" s="126"/>
    </row>
    <row r="1306" spans="2:7">
      <c r="B1306" s="125"/>
      <c r="C1306" s="44" t="s">
        <v>337</v>
      </c>
      <c r="G1306" s="126"/>
    </row>
    <row r="1307" spans="2:7">
      <c r="B1307" s="125" t="s">
        <v>335</v>
      </c>
      <c r="C1307" s="112" t="s">
        <v>236</v>
      </c>
      <c r="G1307" s="126"/>
    </row>
    <row r="1308" spans="2:7">
      <c r="B1308" s="125"/>
      <c r="G1308" s="126"/>
    </row>
    <row r="1309" spans="2:7">
      <c r="B1309" s="125"/>
      <c r="C1309" s="44" t="s">
        <v>23</v>
      </c>
      <c r="G1309" s="126"/>
    </row>
    <row r="1310" spans="2:7">
      <c r="B1310" s="125"/>
      <c r="C1310" s="112" t="s">
        <v>339</v>
      </c>
      <c r="G1310" s="126"/>
    </row>
    <row r="1311" spans="2:7" ht="13.5" thickBot="1">
      <c r="B1311" s="140"/>
      <c r="C1311" s="131"/>
      <c r="D1311" s="131"/>
      <c r="E1311" s="141"/>
      <c r="F1311" s="131"/>
      <c r="G1311" s="135"/>
    </row>
  </sheetData>
  <mergeCells count="26">
    <mergeCell ref="B245:G245"/>
    <mergeCell ref="B2:G2"/>
    <mergeCell ref="B50:G50"/>
    <mergeCell ref="B100:G100"/>
    <mergeCell ref="B145:G145"/>
    <mergeCell ref="B193:G193"/>
    <mergeCell ref="B850:G850"/>
    <mergeCell ref="B294:G294"/>
    <mergeCell ref="B342:G342"/>
    <mergeCell ref="B394:G394"/>
    <mergeCell ref="B451:G451"/>
    <mergeCell ref="B507:G507"/>
    <mergeCell ref="B557:G557"/>
    <mergeCell ref="B606:G606"/>
    <mergeCell ref="B656:G656"/>
    <mergeCell ref="B704:G704"/>
    <mergeCell ref="B750:G750"/>
    <mergeCell ref="B801:G801"/>
    <mergeCell ref="B1206:G1206"/>
    <mergeCell ref="B1263:G1263"/>
    <mergeCell ref="B904:G904"/>
    <mergeCell ref="B958:G958"/>
    <mergeCell ref="B1013:G1013"/>
    <mergeCell ref="B1060:G1060"/>
    <mergeCell ref="B1107:G1107"/>
    <mergeCell ref="B1157:G1157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tabColor rgb="FFFF0000"/>
  </sheetPr>
  <dimension ref="A1:Z816"/>
  <sheetViews>
    <sheetView topLeftCell="A626" workbookViewId="0">
      <selection activeCell="K650" sqref="K650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</cols>
  <sheetData>
    <row r="1" spans="2:7" ht="13.5" thickBot="1"/>
    <row r="2" spans="2:7" ht="13.5" thickBot="1">
      <c r="B2" s="236">
        <v>44408</v>
      </c>
      <c r="C2" s="237"/>
      <c r="D2" s="237"/>
      <c r="E2" s="237"/>
      <c r="F2" s="237"/>
      <c r="G2" s="238"/>
    </row>
    <row r="3" spans="2:7" ht="13.5" thickBot="1">
      <c r="B3" s="18"/>
      <c r="G3" s="6"/>
    </row>
    <row r="4" spans="2:7">
      <c r="B4" s="18"/>
      <c r="C4" s="21" t="s">
        <v>27</v>
      </c>
      <c r="D4" s="16"/>
      <c r="E4" s="80" t="s">
        <v>1</v>
      </c>
      <c r="F4" s="4">
        <v>41</v>
      </c>
      <c r="G4" s="6"/>
    </row>
    <row r="5" spans="2:7" ht="13.5" thickBot="1">
      <c r="B5" s="18"/>
      <c r="C5" s="7"/>
      <c r="D5" s="20"/>
      <c r="E5" s="83" t="s">
        <v>62</v>
      </c>
      <c r="F5" s="22">
        <v>10</v>
      </c>
      <c r="G5" s="6"/>
    </row>
    <row r="6" spans="2:7" ht="13.5" thickBot="1">
      <c r="B6" s="18"/>
      <c r="G6" s="6"/>
    </row>
    <row r="7" spans="2:7">
      <c r="B7" s="18"/>
      <c r="C7" s="3" t="s">
        <v>4</v>
      </c>
      <c r="D7" s="16"/>
      <c r="E7" s="80" t="s">
        <v>1</v>
      </c>
      <c r="F7" s="17" t="s">
        <v>205</v>
      </c>
      <c r="G7" s="6"/>
    </row>
    <row r="8" spans="2:7">
      <c r="B8" s="18"/>
      <c r="C8" s="5" t="s">
        <v>2</v>
      </c>
      <c r="E8" s="39" t="s">
        <v>326</v>
      </c>
      <c r="F8" s="6"/>
      <c r="G8" s="6"/>
    </row>
    <row r="9" spans="2:7" ht="13.5" thickBot="1">
      <c r="B9" s="18"/>
      <c r="C9" s="7" t="s">
        <v>3</v>
      </c>
      <c r="D9" s="20"/>
      <c r="E9" s="81" t="s">
        <v>326</v>
      </c>
      <c r="F9" s="9"/>
      <c r="G9" s="6"/>
    </row>
    <row r="10" spans="2:7" ht="13.5" thickBot="1">
      <c r="B10" s="18"/>
      <c r="G10" s="6"/>
    </row>
    <row r="11" spans="2:7" ht="13.5" thickBot="1">
      <c r="B11" s="18"/>
      <c r="C11" s="23" t="s">
        <v>29</v>
      </c>
      <c r="D11" s="24"/>
      <c r="E11" s="87" t="s">
        <v>250</v>
      </c>
      <c r="F11" s="25"/>
      <c r="G11" s="6"/>
    </row>
    <row r="12" spans="2:7">
      <c r="B12" s="18"/>
      <c r="G12" s="6"/>
    </row>
    <row r="13" spans="2:7">
      <c r="B13" s="18"/>
      <c r="C13" t="s">
        <v>5</v>
      </c>
      <c r="G13" s="6"/>
    </row>
    <row r="14" spans="2:7">
      <c r="B14" s="18"/>
      <c r="G14" s="6"/>
    </row>
    <row r="15" spans="2:7">
      <c r="B15" s="5">
        <v>1</v>
      </c>
      <c r="C15" s="39" t="s">
        <v>53</v>
      </c>
      <c r="G15" s="6"/>
    </row>
    <row r="16" spans="2:7">
      <c r="B16" s="5">
        <v>2</v>
      </c>
      <c r="C16" s="39" t="s">
        <v>11</v>
      </c>
      <c r="G16" s="6"/>
    </row>
    <row r="17" spans="2:7">
      <c r="B17" s="5">
        <v>3</v>
      </c>
      <c r="C17" s="39" t="s">
        <v>327</v>
      </c>
      <c r="G17" s="6"/>
    </row>
    <row r="18" spans="2:7">
      <c r="B18" s="5">
        <v>4</v>
      </c>
      <c r="C18" s="39" t="s">
        <v>10</v>
      </c>
      <c r="G18" s="6"/>
    </row>
    <row r="19" spans="2:7">
      <c r="B19" s="5">
        <v>5</v>
      </c>
      <c r="C19" s="39" t="s">
        <v>207</v>
      </c>
      <c r="G19" s="6"/>
    </row>
    <row r="20" spans="2:7">
      <c r="B20" s="5">
        <v>6</v>
      </c>
      <c r="C20" s="39" t="s">
        <v>211</v>
      </c>
      <c r="G20" s="6"/>
    </row>
    <row r="21" spans="2:7">
      <c r="B21" s="5">
        <v>7</v>
      </c>
      <c r="C21" s="39" t="s">
        <v>231</v>
      </c>
      <c r="G21" s="6"/>
    </row>
    <row r="22" spans="2:7">
      <c r="B22" s="5">
        <v>8</v>
      </c>
      <c r="C22" s="39" t="s">
        <v>230</v>
      </c>
      <c r="G22" s="6"/>
    </row>
    <row r="23" spans="2:7">
      <c r="B23" s="5">
        <v>9</v>
      </c>
      <c r="C23" s="39" t="s">
        <v>361</v>
      </c>
      <c r="G23" s="6"/>
    </row>
    <row r="24" spans="2:7">
      <c r="B24" s="5">
        <v>10</v>
      </c>
      <c r="C24" s="39" t="s">
        <v>208</v>
      </c>
      <c r="G24" s="6"/>
    </row>
    <row r="25" spans="2:7">
      <c r="B25" s="5">
        <v>11</v>
      </c>
      <c r="C25" s="39" t="s">
        <v>247</v>
      </c>
      <c r="G25" s="6"/>
    </row>
    <row r="26" spans="2:7">
      <c r="B26" s="5">
        <v>12</v>
      </c>
      <c r="C26" s="39" t="s">
        <v>236</v>
      </c>
      <c r="G26" s="6"/>
    </row>
    <row r="27" spans="2:7">
      <c r="B27" s="5">
        <v>13</v>
      </c>
      <c r="C27" s="39" t="s">
        <v>142</v>
      </c>
      <c r="G27" s="6"/>
    </row>
    <row r="28" spans="2:7">
      <c r="B28" s="5">
        <v>14</v>
      </c>
      <c r="C28" s="39" t="s">
        <v>144</v>
      </c>
      <c r="G28" s="6"/>
    </row>
    <row r="29" spans="2:7">
      <c r="B29" s="5">
        <v>15</v>
      </c>
      <c r="C29" s="39" t="s">
        <v>234</v>
      </c>
      <c r="G29" s="6"/>
    </row>
    <row r="30" spans="2:7">
      <c r="B30" s="18"/>
      <c r="G30" s="6"/>
    </row>
    <row r="31" spans="2:7">
      <c r="B31" s="18"/>
      <c r="C31" s="39" t="s">
        <v>325</v>
      </c>
      <c r="G31" s="6"/>
    </row>
    <row r="32" spans="2:7">
      <c r="B32" s="18"/>
      <c r="C32" s="39" t="s">
        <v>328</v>
      </c>
      <c r="G32" s="6"/>
    </row>
    <row r="33" spans="2:7">
      <c r="B33" s="18"/>
      <c r="C33" s="39" t="s">
        <v>329</v>
      </c>
      <c r="G33" s="6"/>
    </row>
    <row r="34" spans="2:7">
      <c r="B34" s="18"/>
      <c r="C34" s="39" t="s">
        <v>330</v>
      </c>
      <c r="G34" s="6"/>
    </row>
    <row r="35" spans="2:7">
      <c r="B35" s="18"/>
      <c r="C35" s="39" t="s">
        <v>331</v>
      </c>
      <c r="G35" s="6"/>
    </row>
    <row r="36" spans="2:7">
      <c r="B36" s="18"/>
      <c r="C36" s="39" t="s">
        <v>332</v>
      </c>
      <c r="G36" s="6"/>
    </row>
    <row r="37" spans="2:7">
      <c r="B37" s="18"/>
      <c r="C37" s="39" t="s">
        <v>333</v>
      </c>
      <c r="G37" s="6"/>
    </row>
    <row r="38" spans="2:7">
      <c r="B38" s="18"/>
      <c r="C38" s="39" t="s">
        <v>334</v>
      </c>
      <c r="G38" s="6"/>
    </row>
    <row r="39" spans="2:7">
      <c r="B39" s="18"/>
      <c r="G39" s="6"/>
    </row>
    <row r="40" spans="2:7">
      <c r="B40" s="18"/>
      <c r="C40" s="2" t="s">
        <v>21</v>
      </c>
      <c r="G40" s="6"/>
    </row>
    <row r="41" spans="2:7">
      <c r="B41" s="82" t="s">
        <v>335</v>
      </c>
      <c r="C41" s="39" t="s">
        <v>144</v>
      </c>
      <c r="G41" s="6"/>
    </row>
    <row r="42" spans="2:7">
      <c r="B42" s="82" t="s">
        <v>336</v>
      </c>
      <c r="C42" s="39" t="s">
        <v>234</v>
      </c>
      <c r="G42" s="6"/>
    </row>
    <row r="43" spans="2:7">
      <c r="B43" s="82" t="s">
        <v>336</v>
      </c>
      <c r="C43" s="39" t="s">
        <v>10</v>
      </c>
      <c r="G43" s="6"/>
    </row>
    <row r="44" spans="2:7">
      <c r="B44" s="82" t="s">
        <v>336</v>
      </c>
      <c r="C44" s="39" t="s">
        <v>14</v>
      </c>
      <c r="G44" s="6"/>
    </row>
    <row r="45" spans="2:7">
      <c r="B45" s="18"/>
      <c r="C45" s="39"/>
      <c r="G45" s="6"/>
    </row>
    <row r="46" spans="2:7">
      <c r="B46" s="18"/>
      <c r="C46" s="15" t="s">
        <v>337</v>
      </c>
      <c r="G46" s="6"/>
    </row>
    <row r="47" spans="2:7">
      <c r="B47" s="82" t="s">
        <v>338</v>
      </c>
      <c r="C47" s="39" t="s">
        <v>236</v>
      </c>
      <c r="G47" s="6"/>
    </row>
    <row r="48" spans="2:7">
      <c r="B48" s="18"/>
      <c r="G48" s="6"/>
    </row>
    <row r="49" spans="2:7">
      <c r="B49" s="18"/>
      <c r="C49" s="1" t="s">
        <v>22</v>
      </c>
      <c r="G49" s="6"/>
    </row>
    <row r="50" spans="2:7">
      <c r="B50" s="82" t="s">
        <v>336</v>
      </c>
      <c r="C50" t="s">
        <v>236</v>
      </c>
      <c r="G50" s="6"/>
    </row>
    <row r="51" spans="2:7">
      <c r="B51" s="18"/>
      <c r="G51" s="6"/>
    </row>
    <row r="52" spans="2:7">
      <c r="B52" s="18"/>
      <c r="C52" s="1" t="s">
        <v>23</v>
      </c>
      <c r="G52" s="6"/>
    </row>
    <row r="53" spans="2:7">
      <c r="B53" s="18"/>
      <c r="C53" s="66" t="s">
        <v>339</v>
      </c>
      <c r="G53" s="6"/>
    </row>
    <row r="54" spans="2:7" ht="13.5" thickBot="1">
      <c r="B54" s="19"/>
      <c r="C54" s="20"/>
      <c r="D54" s="20"/>
      <c r="E54" s="8"/>
      <c r="F54" s="20"/>
      <c r="G54" s="9"/>
    </row>
    <row r="56" spans="2:7" ht="13.5" thickBot="1"/>
    <row r="57" spans="2:7" ht="13.5" thickBot="1">
      <c r="B57" s="236">
        <v>44415</v>
      </c>
      <c r="C57" s="237"/>
      <c r="D57" s="237"/>
      <c r="E57" s="237"/>
      <c r="F57" s="237"/>
      <c r="G57" s="238"/>
    </row>
    <row r="58" spans="2:7" ht="13.5" thickBot="1">
      <c r="B58" s="18"/>
      <c r="G58" s="6"/>
    </row>
    <row r="59" spans="2:7">
      <c r="B59" s="18"/>
      <c r="C59" s="21" t="s">
        <v>27</v>
      </c>
      <c r="D59" s="16"/>
      <c r="E59" s="80" t="s">
        <v>102</v>
      </c>
      <c r="F59" s="4">
        <v>15</v>
      </c>
      <c r="G59" s="6"/>
    </row>
    <row r="60" spans="2:7" ht="13.5" thickBot="1">
      <c r="B60" s="18"/>
      <c r="C60" s="7"/>
      <c r="D60" s="20"/>
      <c r="E60" s="83" t="s">
        <v>1</v>
      </c>
      <c r="F60" s="22">
        <v>41</v>
      </c>
      <c r="G60" s="6"/>
    </row>
    <row r="61" spans="2:7" ht="13.5" thickBot="1">
      <c r="B61" s="18"/>
      <c r="G61" s="6"/>
    </row>
    <row r="62" spans="2:7">
      <c r="B62" s="18"/>
      <c r="C62" s="3" t="s">
        <v>4</v>
      </c>
      <c r="D62" s="16"/>
      <c r="E62" s="80" t="s">
        <v>102</v>
      </c>
      <c r="F62" s="17"/>
      <c r="G62" s="6"/>
    </row>
    <row r="63" spans="2:7">
      <c r="B63" s="18"/>
      <c r="C63" s="5" t="s">
        <v>2</v>
      </c>
      <c r="E63" s="39" t="s">
        <v>326</v>
      </c>
      <c r="F63" s="6"/>
      <c r="G63" s="6"/>
    </row>
    <row r="64" spans="2:7" ht="13.5" thickBot="1">
      <c r="B64" s="18"/>
      <c r="C64" s="7" t="s">
        <v>3</v>
      </c>
      <c r="D64" s="20"/>
      <c r="E64" s="81" t="s">
        <v>344</v>
      </c>
      <c r="F64" s="9"/>
      <c r="G64" s="6"/>
    </row>
    <row r="65" spans="2:7" ht="13.5" thickBot="1">
      <c r="B65" s="18"/>
      <c r="G65" s="6"/>
    </row>
    <row r="66" spans="2:7" ht="13.5" thickBot="1">
      <c r="B66" s="18"/>
      <c r="C66" s="23" t="s">
        <v>29</v>
      </c>
      <c r="D66" s="24"/>
      <c r="E66" s="87" t="s">
        <v>353</v>
      </c>
      <c r="F66" s="25"/>
      <c r="G66" s="6"/>
    </row>
    <row r="67" spans="2:7">
      <c r="B67" s="18"/>
      <c r="G67" s="6"/>
    </row>
    <row r="68" spans="2:7">
      <c r="B68" s="18"/>
      <c r="C68" t="s">
        <v>5</v>
      </c>
      <c r="G68" s="6"/>
    </row>
    <row r="69" spans="2:7">
      <c r="B69" s="18"/>
      <c r="G69" s="6"/>
    </row>
    <row r="70" spans="2:7">
      <c r="B70" s="5">
        <v>1</v>
      </c>
      <c r="C70" s="39" t="s">
        <v>53</v>
      </c>
      <c r="G70" s="6"/>
    </row>
    <row r="71" spans="2:7">
      <c r="B71" s="5">
        <v>2</v>
      </c>
      <c r="C71" s="39" t="s">
        <v>11</v>
      </c>
      <c r="G71" s="6"/>
    </row>
    <row r="72" spans="2:7">
      <c r="B72" s="5">
        <v>3</v>
      </c>
      <c r="C72" s="39" t="s">
        <v>35</v>
      </c>
      <c r="G72" s="6"/>
    </row>
    <row r="73" spans="2:7">
      <c r="B73" s="5">
        <v>4</v>
      </c>
      <c r="C73" s="39" t="s">
        <v>10</v>
      </c>
      <c r="G73" s="6"/>
    </row>
    <row r="74" spans="2:7">
      <c r="B74" s="5">
        <v>5</v>
      </c>
      <c r="C74" s="39" t="s">
        <v>207</v>
      </c>
      <c r="G74" s="6"/>
    </row>
    <row r="75" spans="2:7">
      <c r="B75" s="5">
        <v>6</v>
      </c>
      <c r="C75" s="39" t="s">
        <v>211</v>
      </c>
      <c r="G75" s="6"/>
    </row>
    <row r="76" spans="2:7">
      <c r="B76" s="5">
        <v>7</v>
      </c>
      <c r="C76" s="39" t="s">
        <v>231</v>
      </c>
      <c r="G76" s="6"/>
    </row>
    <row r="77" spans="2:7">
      <c r="B77" s="5">
        <v>8</v>
      </c>
      <c r="C77" s="39" t="s">
        <v>230</v>
      </c>
      <c r="G77" s="6"/>
    </row>
    <row r="78" spans="2:7">
      <c r="B78" s="5">
        <v>9</v>
      </c>
      <c r="C78" s="39" t="s">
        <v>361</v>
      </c>
      <c r="G78" s="6"/>
    </row>
    <row r="79" spans="2:7">
      <c r="B79" s="5">
        <v>10</v>
      </c>
      <c r="C79" s="39" t="s">
        <v>208</v>
      </c>
      <c r="G79" s="6"/>
    </row>
    <row r="80" spans="2:7">
      <c r="B80" s="5">
        <v>11</v>
      </c>
      <c r="C80" s="39" t="s">
        <v>247</v>
      </c>
      <c r="G80" s="6"/>
    </row>
    <row r="81" spans="2:7">
      <c r="B81" s="5">
        <v>12</v>
      </c>
      <c r="C81" s="39" t="s">
        <v>236</v>
      </c>
      <c r="G81" s="6"/>
    </row>
    <row r="82" spans="2:7">
      <c r="B82" s="5">
        <v>13</v>
      </c>
      <c r="C82" s="39" t="s">
        <v>142</v>
      </c>
      <c r="G82" s="6"/>
    </row>
    <row r="83" spans="2:7">
      <c r="B83" s="5">
        <v>14</v>
      </c>
      <c r="C83" s="39" t="s">
        <v>144</v>
      </c>
      <c r="G83" s="6"/>
    </row>
    <row r="84" spans="2:7">
      <c r="B84" s="5">
        <v>15</v>
      </c>
      <c r="C84" s="39" t="s">
        <v>234</v>
      </c>
      <c r="G84" s="6"/>
    </row>
    <row r="85" spans="2:7">
      <c r="B85" s="18"/>
      <c r="G85" s="6"/>
    </row>
    <row r="86" spans="2:7">
      <c r="B86" s="18"/>
      <c r="C86" s="39" t="s">
        <v>325</v>
      </c>
      <c r="G86" s="6"/>
    </row>
    <row r="87" spans="2:7">
      <c r="B87" s="18"/>
      <c r="C87" s="39" t="s">
        <v>346</v>
      </c>
      <c r="G87" s="6"/>
    </row>
    <row r="88" spans="2:7">
      <c r="B88" s="18"/>
      <c r="C88" s="39" t="s">
        <v>347</v>
      </c>
      <c r="G88" s="6"/>
    </row>
    <row r="89" spans="2:7">
      <c r="B89" s="18"/>
      <c r="C89" s="39" t="s">
        <v>348</v>
      </c>
      <c r="G89" s="6"/>
    </row>
    <row r="90" spans="2:7">
      <c r="B90" s="18"/>
      <c r="C90" s="39" t="s">
        <v>350</v>
      </c>
      <c r="G90" s="6"/>
    </row>
    <row r="91" spans="2:7">
      <c r="B91" s="18"/>
      <c r="C91" s="39" t="s">
        <v>349</v>
      </c>
      <c r="G91" s="6"/>
    </row>
    <row r="92" spans="2:7">
      <c r="B92" s="18"/>
      <c r="C92" s="39" t="s">
        <v>333</v>
      </c>
      <c r="G92" s="6"/>
    </row>
    <row r="93" spans="2:7">
      <c r="B93" s="18"/>
      <c r="C93" s="39"/>
      <c r="G93" s="6"/>
    </row>
    <row r="94" spans="2:7">
      <c r="B94" s="18"/>
      <c r="G94" s="6"/>
    </row>
    <row r="95" spans="2:7">
      <c r="B95" s="18"/>
      <c r="C95" s="2" t="s">
        <v>21</v>
      </c>
      <c r="G95" s="6"/>
    </row>
    <row r="96" spans="2:7">
      <c r="B96" s="82" t="s">
        <v>336</v>
      </c>
      <c r="C96" s="39" t="s">
        <v>211</v>
      </c>
      <c r="G96" s="6"/>
    </row>
    <row r="97" spans="2:7">
      <c r="B97" s="82" t="s">
        <v>336</v>
      </c>
      <c r="C97" s="39" t="s">
        <v>207</v>
      </c>
      <c r="G97" s="6"/>
    </row>
    <row r="98" spans="2:7">
      <c r="B98" s="82" t="s">
        <v>336</v>
      </c>
      <c r="C98" s="39" t="s">
        <v>230</v>
      </c>
      <c r="G98" s="6"/>
    </row>
    <row r="99" spans="2:7">
      <c r="B99" s="82" t="s">
        <v>336</v>
      </c>
      <c r="C99" s="39" t="s">
        <v>144</v>
      </c>
      <c r="G99" s="6"/>
    </row>
    <row r="100" spans="2:7">
      <c r="B100" s="82" t="s">
        <v>336</v>
      </c>
      <c r="C100" s="39" t="s">
        <v>56</v>
      </c>
      <c r="G100" s="6"/>
    </row>
    <row r="101" spans="2:7">
      <c r="B101" s="18"/>
      <c r="C101" s="39"/>
      <c r="G101" s="6"/>
    </row>
    <row r="102" spans="2:7">
      <c r="B102" s="18"/>
      <c r="C102" s="15" t="s">
        <v>337</v>
      </c>
      <c r="G102" s="6"/>
    </row>
    <row r="103" spans="2:7">
      <c r="B103" s="82" t="s">
        <v>351</v>
      </c>
      <c r="C103" s="39" t="s">
        <v>236</v>
      </c>
      <c r="G103" s="6"/>
    </row>
    <row r="104" spans="2:7">
      <c r="B104" s="18"/>
      <c r="G104" s="6"/>
    </row>
    <row r="105" spans="2:7">
      <c r="B105" s="18"/>
      <c r="C105" s="1" t="s">
        <v>22</v>
      </c>
      <c r="G105" s="6"/>
    </row>
    <row r="106" spans="2:7">
      <c r="B106" s="82" t="s">
        <v>352</v>
      </c>
      <c r="C106" t="s">
        <v>236</v>
      </c>
      <c r="G106" s="6"/>
    </row>
    <row r="107" spans="2:7">
      <c r="B107" s="18"/>
      <c r="G107" s="6"/>
    </row>
    <row r="108" spans="2:7">
      <c r="B108" s="18"/>
      <c r="C108" s="1" t="s">
        <v>23</v>
      </c>
      <c r="G108" s="6"/>
    </row>
    <row r="109" spans="2:7">
      <c r="B109" s="18"/>
      <c r="C109" s="66" t="s">
        <v>339</v>
      </c>
      <c r="G109" s="6"/>
    </row>
    <row r="110" spans="2:7" ht="13.5" thickBot="1">
      <c r="B110" s="19"/>
      <c r="C110" s="20"/>
      <c r="D110" s="20"/>
      <c r="E110" s="8"/>
      <c r="F110" s="20"/>
      <c r="G110" s="9"/>
    </row>
    <row r="112" spans="2:7" ht="13.5" thickBot="1"/>
    <row r="113" spans="2:7" ht="13.5" thickBot="1">
      <c r="B113" s="236">
        <v>44422</v>
      </c>
      <c r="C113" s="237"/>
      <c r="D113" s="237"/>
      <c r="E113" s="237"/>
      <c r="F113" s="237"/>
      <c r="G113" s="238"/>
    </row>
    <row r="114" spans="2:7" ht="13.5" thickBot="1">
      <c r="B114" s="18"/>
      <c r="G114" s="6"/>
    </row>
    <row r="115" spans="2:7">
      <c r="B115" s="18"/>
      <c r="C115" s="21" t="s">
        <v>27</v>
      </c>
      <c r="D115" s="16"/>
      <c r="E115" s="80" t="s">
        <v>1</v>
      </c>
      <c r="F115" s="4">
        <v>48</v>
      </c>
      <c r="G115" s="6"/>
    </row>
    <row r="116" spans="2:7" ht="13.5" thickBot="1">
      <c r="B116" s="18"/>
      <c r="C116" s="7"/>
      <c r="D116" s="20"/>
      <c r="E116" s="83" t="s">
        <v>104</v>
      </c>
      <c r="F116" s="22">
        <v>10</v>
      </c>
      <c r="G116" s="6"/>
    </row>
    <row r="117" spans="2:7" ht="13.5" thickBot="1">
      <c r="B117" s="18"/>
      <c r="G117" s="6"/>
    </row>
    <row r="118" spans="2:7">
      <c r="B118" s="18"/>
      <c r="C118" s="3" t="s">
        <v>4</v>
      </c>
      <c r="D118" s="16"/>
      <c r="E118" s="80" t="s">
        <v>1</v>
      </c>
      <c r="F118" s="17"/>
      <c r="G118" s="6"/>
    </row>
    <row r="119" spans="2:7">
      <c r="B119" s="18"/>
      <c r="C119" s="5" t="s">
        <v>2</v>
      </c>
      <c r="E119" s="39" t="s">
        <v>326</v>
      </c>
      <c r="F119" s="6"/>
      <c r="G119" s="6"/>
    </row>
    <row r="120" spans="2:7" ht="13.5" thickBot="1">
      <c r="B120" s="18"/>
      <c r="C120" s="7" t="s">
        <v>3</v>
      </c>
      <c r="D120" s="20"/>
      <c r="E120" s="81" t="s">
        <v>354</v>
      </c>
      <c r="F120" s="9"/>
      <c r="G120" s="6"/>
    </row>
    <row r="121" spans="2:7" ht="13.5" thickBot="1">
      <c r="B121" s="18"/>
      <c r="G121" s="6"/>
    </row>
    <row r="122" spans="2:7" ht="13.5" thickBot="1">
      <c r="B122" s="18"/>
      <c r="C122" s="23" t="s">
        <v>29</v>
      </c>
      <c r="D122" s="24"/>
      <c r="E122" s="87" t="s">
        <v>355</v>
      </c>
      <c r="F122" s="25"/>
      <c r="G122" s="6"/>
    </row>
    <row r="123" spans="2:7">
      <c r="B123" s="18"/>
      <c r="G123" s="6"/>
    </row>
    <row r="124" spans="2:7">
      <c r="B124" s="18"/>
      <c r="C124" t="s">
        <v>5</v>
      </c>
      <c r="G124" s="6"/>
    </row>
    <row r="125" spans="2:7">
      <c r="B125" s="18"/>
      <c r="G125" s="6"/>
    </row>
    <row r="126" spans="2:7">
      <c r="B126" s="5">
        <v>1</v>
      </c>
      <c r="C126" s="39" t="s">
        <v>53</v>
      </c>
      <c r="G126" s="6"/>
    </row>
    <row r="127" spans="2:7">
      <c r="B127" s="5">
        <v>2</v>
      </c>
      <c r="C127" s="39" t="s">
        <v>11</v>
      </c>
      <c r="G127" s="6"/>
    </row>
    <row r="128" spans="2:7">
      <c r="B128" s="5">
        <v>3</v>
      </c>
      <c r="C128" s="39" t="s">
        <v>6</v>
      </c>
      <c r="G128" s="6"/>
    </row>
    <row r="129" spans="2:7">
      <c r="B129" s="5">
        <v>4</v>
      </c>
      <c r="C129" s="39" t="s">
        <v>10</v>
      </c>
      <c r="G129" s="6"/>
    </row>
    <row r="130" spans="2:7">
      <c r="B130" s="5">
        <v>5</v>
      </c>
      <c r="C130" s="39" t="s">
        <v>207</v>
      </c>
      <c r="G130" s="6"/>
    </row>
    <row r="131" spans="2:7">
      <c r="B131" s="5">
        <v>6</v>
      </c>
      <c r="C131" s="39" t="s">
        <v>211</v>
      </c>
      <c r="G131" s="6"/>
    </row>
    <row r="132" spans="2:7">
      <c r="B132" s="5">
        <v>7</v>
      </c>
      <c r="C132" s="39" t="s">
        <v>33</v>
      </c>
      <c r="G132" s="6"/>
    </row>
    <row r="133" spans="2:7">
      <c r="B133" s="5">
        <v>8</v>
      </c>
      <c r="C133" s="39" t="s">
        <v>230</v>
      </c>
      <c r="G133" s="6"/>
    </row>
    <row r="134" spans="2:7">
      <c r="B134" s="5">
        <v>9</v>
      </c>
      <c r="C134" s="39" t="s">
        <v>361</v>
      </c>
      <c r="G134" s="6"/>
    </row>
    <row r="135" spans="2:7">
      <c r="B135" s="5">
        <v>10</v>
      </c>
      <c r="C135" s="39" t="s">
        <v>208</v>
      </c>
      <c r="G135" s="6"/>
    </row>
    <row r="136" spans="2:7">
      <c r="B136" s="5">
        <v>11</v>
      </c>
      <c r="C136" s="39" t="s">
        <v>247</v>
      </c>
      <c r="G136" s="6"/>
    </row>
    <row r="137" spans="2:7">
      <c r="B137" s="5">
        <v>12</v>
      </c>
      <c r="C137" s="39" t="s">
        <v>236</v>
      </c>
      <c r="G137" s="6"/>
    </row>
    <row r="138" spans="2:7">
      <c r="B138" s="5">
        <v>13</v>
      </c>
      <c r="C138" s="39" t="s">
        <v>214</v>
      </c>
      <c r="G138" s="6"/>
    </row>
    <row r="139" spans="2:7">
      <c r="B139" s="5">
        <v>14</v>
      </c>
      <c r="C139" s="39" t="s">
        <v>144</v>
      </c>
      <c r="G139" s="6"/>
    </row>
    <row r="140" spans="2:7">
      <c r="B140" s="5">
        <v>15</v>
      </c>
      <c r="C140" s="39" t="s">
        <v>234</v>
      </c>
      <c r="G140" s="6"/>
    </row>
    <row r="141" spans="2:7">
      <c r="B141" s="18"/>
      <c r="G141" s="6"/>
    </row>
    <row r="142" spans="2:7">
      <c r="B142" s="18"/>
      <c r="C142" s="39" t="s">
        <v>325</v>
      </c>
      <c r="G142" s="6"/>
    </row>
    <row r="143" spans="2:7">
      <c r="B143" s="18"/>
      <c r="C143" s="39" t="s">
        <v>328</v>
      </c>
      <c r="G143" s="6"/>
    </row>
    <row r="144" spans="2:7">
      <c r="B144" s="18"/>
      <c r="C144" s="39" t="s">
        <v>356</v>
      </c>
      <c r="G144" s="6"/>
    </row>
    <row r="145" spans="2:7">
      <c r="B145" s="18"/>
      <c r="C145" s="39" t="s">
        <v>357</v>
      </c>
      <c r="G145" s="6"/>
    </row>
    <row r="146" spans="2:7">
      <c r="B146" s="18"/>
      <c r="C146" s="39" t="s">
        <v>358</v>
      </c>
      <c r="G146" s="6"/>
    </row>
    <row r="147" spans="2:7">
      <c r="B147" s="18"/>
      <c r="C147" s="39" t="s">
        <v>359</v>
      </c>
      <c r="G147" s="6"/>
    </row>
    <row r="148" spans="2:7">
      <c r="B148" s="18"/>
      <c r="C148" s="39" t="s">
        <v>360</v>
      </c>
      <c r="G148" s="6"/>
    </row>
    <row r="149" spans="2:7">
      <c r="B149" s="18"/>
      <c r="C149" s="39" t="s">
        <v>330</v>
      </c>
      <c r="G149" s="6"/>
    </row>
    <row r="150" spans="2:7">
      <c r="B150" s="18"/>
      <c r="C150" s="39" t="s">
        <v>350</v>
      </c>
      <c r="G150" s="6"/>
    </row>
    <row r="151" spans="2:7">
      <c r="B151" s="18"/>
      <c r="C151" s="39"/>
      <c r="G151" s="6"/>
    </row>
    <row r="152" spans="2:7">
      <c r="B152" s="18"/>
      <c r="G152" s="6"/>
    </row>
    <row r="153" spans="2:7">
      <c r="B153" s="18"/>
      <c r="C153" s="2" t="s">
        <v>21</v>
      </c>
      <c r="G153" s="6"/>
    </row>
    <row r="154" spans="2:7">
      <c r="B154" s="82" t="s">
        <v>336</v>
      </c>
      <c r="C154" s="39" t="s">
        <v>214</v>
      </c>
      <c r="G154" s="6"/>
    </row>
    <row r="155" spans="2:7">
      <c r="B155" s="82" t="s">
        <v>336</v>
      </c>
      <c r="C155" s="39" t="s">
        <v>211</v>
      </c>
      <c r="G155" s="6"/>
    </row>
    <row r="156" spans="2:7">
      <c r="B156" s="82" t="s">
        <v>336</v>
      </c>
      <c r="C156" s="39" t="s">
        <v>230</v>
      </c>
      <c r="G156" s="6"/>
    </row>
    <row r="157" spans="2:7">
      <c r="B157" s="82" t="s">
        <v>336</v>
      </c>
      <c r="C157" s="39" t="s">
        <v>236</v>
      </c>
      <c r="G157" s="6"/>
    </row>
    <row r="158" spans="2:7">
      <c r="B158" s="82" t="s">
        <v>352</v>
      </c>
      <c r="C158" s="39" t="s">
        <v>144</v>
      </c>
      <c r="G158" s="6"/>
    </row>
    <row r="159" spans="2:7">
      <c r="B159" s="82" t="s">
        <v>336</v>
      </c>
      <c r="C159" s="39" t="s">
        <v>14</v>
      </c>
      <c r="G159" s="6"/>
    </row>
    <row r="160" spans="2:7">
      <c r="B160" s="18"/>
      <c r="C160" s="39"/>
      <c r="G160" s="6"/>
    </row>
    <row r="161" spans="2:7">
      <c r="B161" s="18"/>
      <c r="C161" s="15" t="s">
        <v>337</v>
      </c>
      <c r="G161" s="6"/>
    </row>
    <row r="162" spans="2:7">
      <c r="B162" s="82" t="s">
        <v>351</v>
      </c>
      <c r="C162" s="39" t="s">
        <v>236</v>
      </c>
      <c r="G162" s="6"/>
    </row>
    <row r="163" spans="2:7">
      <c r="B163" s="18"/>
      <c r="G163" s="6"/>
    </row>
    <row r="164" spans="2:7">
      <c r="B164" s="18"/>
      <c r="C164" s="1" t="s">
        <v>22</v>
      </c>
      <c r="G164" s="6"/>
    </row>
    <row r="165" spans="2:7">
      <c r="B165" s="82" t="s">
        <v>336</v>
      </c>
      <c r="C165" t="s">
        <v>236</v>
      </c>
      <c r="G165" s="6"/>
    </row>
    <row r="166" spans="2:7">
      <c r="B166" s="18"/>
      <c r="G166" s="6"/>
    </row>
    <row r="167" spans="2:7">
      <c r="B167" s="18"/>
      <c r="C167" s="1" t="s">
        <v>23</v>
      </c>
      <c r="G167" s="6"/>
    </row>
    <row r="168" spans="2:7">
      <c r="B168" s="18"/>
      <c r="C168" s="66" t="s">
        <v>339</v>
      </c>
      <c r="G168" s="6"/>
    </row>
    <row r="169" spans="2:7" ht="13.5" thickBot="1">
      <c r="B169" s="19"/>
      <c r="C169" s="20"/>
      <c r="D169" s="20"/>
      <c r="E169" s="8"/>
      <c r="F169" s="20"/>
      <c r="G169" s="9"/>
    </row>
    <row r="171" spans="2:7" ht="13.5" thickBot="1"/>
    <row r="172" spans="2:7" ht="13.5" thickBot="1">
      <c r="B172" s="236">
        <v>44429</v>
      </c>
      <c r="C172" s="237"/>
      <c r="D172" s="237"/>
      <c r="E172" s="237"/>
      <c r="F172" s="237"/>
      <c r="G172" s="238"/>
    </row>
    <row r="173" spans="2:7" ht="13.5" thickBot="1">
      <c r="B173" s="18"/>
      <c r="G173" s="6"/>
    </row>
    <row r="174" spans="2:7">
      <c r="B174" s="18"/>
      <c r="C174" s="21" t="s">
        <v>27</v>
      </c>
      <c r="D174" s="16"/>
      <c r="E174" s="80" t="s">
        <v>68</v>
      </c>
      <c r="F174" s="4">
        <v>10</v>
      </c>
      <c r="G174" s="6"/>
    </row>
    <row r="175" spans="2:7" ht="13.5" thickBot="1">
      <c r="B175" s="18"/>
      <c r="C175" s="7"/>
      <c r="D175" s="20"/>
      <c r="E175" s="83" t="s">
        <v>1</v>
      </c>
      <c r="F175" s="22">
        <v>38</v>
      </c>
      <c r="G175" s="6"/>
    </row>
    <row r="176" spans="2:7" ht="13.5" thickBot="1">
      <c r="B176" s="18"/>
      <c r="G176" s="6"/>
    </row>
    <row r="177" spans="2:7">
      <c r="B177" s="18"/>
      <c r="C177" s="3" t="s">
        <v>4</v>
      </c>
      <c r="D177" s="16"/>
      <c r="E177" s="80" t="s">
        <v>68</v>
      </c>
      <c r="F177" s="17"/>
      <c r="G177" s="6"/>
    </row>
    <row r="178" spans="2:7">
      <c r="B178" s="18"/>
      <c r="C178" s="5" t="s">
        <v>2</v>
      </c>
      <c r="E178" s="39" t="s">
        <v>362</v>
      </c>
      <c r="F178" s="6"/>
      <c r="G178" s="6"/>
    </row>
    <row r="179" spans="2:7" ht="13.5" thickBot="1">
      <c r="B179" s="18"/>
      <c r="C179" s="7" t="s">
        <v>3</v>
      </c>
      <c r="D179" s="20"/>
      <c r="E179" s="81" t="s">
        <v>354</v>
      </c>
      <c r="F179" s="9"/>
      <c r="G179" s="6"/>
    </row>
    <row r="180" spans="2:7" ht="13.5" thickBot="1">
      <c r="B180" s="18"/>
      <c r="G180" s="6"/>
    </row>
    <row r="181" spans="2:7" ht="13.5" thickBot="1">
      <c r="B181" s="18"/>
      <c r="C181" s="23" t="s">
        <v>29</v>
      </c>
      <c r="D181" s="24"/>
      <c r="E181" s="87" t="s">
        <v>317</v>
      </c>
      <c r="F181" s="25"/>
      <c r="G181" s="6"/>
    </row>
    <row r="182" spans="2:7">
      <c r="B182" s="18"/>
      <c r="G182" s="6"/>
    </row>
    <row r="183" spans="2:7">
      <c r="B183" s="18"/>
      <c r="C183" t="s">
        <v>5</v>
      </c>
      <c r="G183" s="6"/>
    </row>
    <row r="184" spans="2:7">
      <c r="B184" s="18"/>
      <c r="G184" s="6"/>
    </row>
    <row r="185" spans="2:7">
      <c r="B185" s="5">
        <v>1</v>
      </c>
      <c r="C185" s="39" t="s">
        <v>53</v>
      </c>
      <c r="G185" s="6"/>
    </row>
    <row r="186" spans="2:7">
      <c r="B186" s="5">
        <v>2</v>
      </c>
      <c r="C186" s="39" t="s">
        <v>11</v>
      </c>
      <c r="G186" s="6"/>
    </row>
    <row r="187" spans="2:7">
      <c r="B187" s="5">
        <v>3</v>
      </c>
      <c r="C187" s="39" t="s">
        <v>35</v>
      </c>
      <c r="G187" s="6"/>
    </row>
    <row r="188" spans="2:7">
      <c r="B188" s="5">
        <v>4</v>
      </c>
      <c r="C188" s="39" t="s">
        <v>10</v>
      </c>
      <c r="G188" s="6"/>
    </row>
    <row r="189" spans="2:7">
      <c r="B189" s="5">
        <v>5</v>
      </c>
      <c r="C189" s="39" t="s">
        <v>207</v>
      </c>
      <c r="G189" s="6"/>
    </row>
    <row r="190" spans="2:7">
      <c r="B190" s="5">
        <v>6</v>
      </c>
      <c r="C190" s="39" t="s">
        <v>211</v>
      </c>
      <c r="G190" s="6"/>
    </row>
    <row r="191" spans="2:7">
      <c r="B191" s="5">
        <v>7</v>
      </c>
      <c r="C191" s="39" t="s">
        <v>33</v>
      </c>
      <c r="G191" s="6"/>
    </row>
    <row r="192" spans="2:7">
      <c r="B192" s="5">
        <v>8</v>
      </c>
      <c r="C192" s="39" t="s">
        <v>230</v>
      </c>
      <c r="G192" s="6"/>
    </row>
    <row r="193" spans="2:7">
      <c r="B193" s="5">
        <v>9</v>
      </c>
      <c r="C193" s="39" t="s">
        <v>361</v>
      </c>
      <c r="G193" s="6"/>
    </row>
    <row r="194" spans="2:7">
      <c r="B194" s="5">
        <v>10</v>
      </c>
      <c r="C194" s="39" t="s">
        <v>208</v>
      </c>
      <c r="G194" s="6"/>
    </row>
    <row r="195" spans="2:7">
      <c r="B195" s="5">
        <v>11</v>
      </c>
      <c r="C195" s="39" t="s">
        <v>247</v>
      </c>
      <c r="G195" s="6"/>
    </row>
    <row r="196" spans="2:7">
      <c r="B196" s="5">
        <v>12</v>
      </c>
      <c r="C196" s="39" t="s">
        <v>236</v>
      </c>
      <c r="G196" s="6"/>
    </row>
    <row r="197" spans="2:7">
      <c r="B197" s="5">
        <v>13</v>
      </c>
      <c r="C197" s="39" t="s">
        <v>214</v>
      </c>
      <c r="G197" s="6"/>
    </row>
    <row r="198" spans="2:7">
      <c r="B198" s="5">
        <v>14</v>
      </c>
      <c r="C198" s="39" t="s">
        <v>144</v>
      </c>
      <c r="G198" s="6"/>
    </row>
    <row r="199" spans="2:7">
      <c r="B199" s="5">
        <v>15</v>
      </c>
      <c r="C199" s="39" t="s">
        <v>234</v>
      </c>
      <c r="G199" s="6"/>
    </row>
    <row r="200" spans="2:7">
      <c r="B200" s="18"/>
      <c r="G200" s="6"/>
    </row>
    <row r="201" spans="2:7">
      <c r="B201" s="18"/>
      <c r="C201" s="39" t="s">
        <v>325</v>
      </c>
      <c r="G201" s="6"/>
    </row>
    <row r="202" spans="2:7">
      <c r="B202" s="18"/>
      <c r="C202" s="39" t="s">
        <v>357</v>
      </c>
      <c r="G202" s="6"/>
    </row>
    <row r="203" spans="2:7">
      <c r="B203" s="18"/>
      <c r="C203" s="39" t="s">
        <v>363</v>
      </c>
      <c r="G203" s="6"/>
    </row>
    <row r="204" spans="2:7">
      <c r="B204" s="18"/>
      <c r="C204" s="39" t="s">
        <v>364</v>
      </c>
      <c r="G204" s="6"/>
    </row>
    <row r="205" spans="2:7">
      <c r="B205" s="18"/>
      <c r="C205" s="39" t="s">
        <v>365</v>
      </c>
      <c r="G205" s="6"/>
    </row>
    <row r="206" spans="2:7">
      <c r="B206" s="18"/>
      <c r="C206" s="39" t="s">
        <v>366</v>
      </c>
      <c r="G206" s="6"/>
    </row>
    <row r="207" spans="2:7">
      <c r="B207" s="18"/>
      <c r="C207" s="39" t="s">
        <v>350</v>
      </c>
      <c r="G207" s="6"/>
    </row>
    <row r="208" spans="2:7">
      <c r="B208" s="18"/>
      <c r="C208" s="39"/>
      <c r="G208" s="6"/>
    </row>
    <row r="209" spans="2:7">
      <c r="B209" s="18"/>
      <c r="G209" s="6"/>
    </row>
    <row r="210" spans="2:7">
      <c r="B210" s="18"/>
      <c r="C210" s="2" t="s">
        <v>21</v>
      </c>
      <c r="G210" s="6"/>
    </row>
    <row r="211" spans="2:7">
      <c r="B211" s="82" t="s">
        <v>336</v>
      </c>
      <c r="C211" s="39" t="s">
        <v>214</v>
      </c>
      <c r="G211" s="6"/>
    </row>
    <row r="212" spans="2:7">
      <c r="B212" s="82" t="s">
        <v>336</v>
      </c>
      <c r="C212" s="39" t="s">
        <v>234</v>
      </c>
      <c r="G212" s="6"/>
    </row>
    <row r="213" spans="2:7">
      <c r="B213" s="82" t="s">
        <v>352</v>
      </c>
      <c r="C213" s="39" t="s">
        <v>230</v>
      </c>
      <c r="G213" s="6"/>
    </row>
    <row r="214" spans="2:7">
      <c r="B214" s="82" t="s">
        <v>336</v>
      </c>
      <c r="C214" s="39" t="s">
        <v>144</v>
      </c>
      <c r="G214" s="6"/>
    </row>
    <row r="215" spans="2:7">
      <c r="B215" s="18"/>
      <c r="C215" s="39"/>
      <c r="G215" s="6"/>
    </row>
    <row r="216" spans="2:7">
      <c r="B216" s="18"/>
      <c r="C216" s="15" t="s">
        <v>337</v>
      </c>
      <c r="G216" s="6"/>
    </row>
    <row r="217" spans="2:7">
      <c r="B217" s="82" t="s">
        <v>351</v>
      </c>
      <c r="C217" s="39" t="s">
        <v>236</v>
      </c>
      <c r="G217" s="6"/>
    </row>
    <row r="218" spans="2:7">
      <c r="B218" s="18"/>
      <c r="G218" s="6"/>
    </row>
    <row r="219" spans="2:7">
      <c r="B219" s="18"/>
      <c r="C219" s="1" t="s">
        <v>22</v>
      </c>
      <c r="G219" s="6"/>
    </row>
    <row r="220" spans="2:7">
      <c r="B220" s="82" t="s">
        <v>336</v>
      </c>
      <c r="C220" t="s">
        <v>236</v>
      </c>
      <c r="G220" s="6"/>
    </row>
    <row r="221" spans="2:7">
      <c r="B221" s="18"/>
      <c r="G221" s="6"/>
    </row>
    <row r="222" spans="2:7">
      <c r="B222" s="18"/>
      <c r="C222" s="1" t="s">
        <v>23</v>
      </c>
      <c r="G222" s="6"/>
    </row>
    <row r="223" spans="2:7">
      <c r="B223" s="18"/>
      <c r="C223" s="66" t="s">
        <v>339</v>
      </c>
      <c r="G223" s="6"/>
    </row>
    <row r="224" spans="2:7" ht="13.5" thickBot="1">
      <c r="B224" s="19"/>
      <c r="C224" s="20"/>
      <c r="D224" s="20"/>
      <c r="E224" s="8"/>
      <c r="F224" s="20"/>
      <c r="G224" s="9"/>
    </row>
    <row r="225" spans="2:7" ht="13.5" thickBot="1">
      <c r="B225" s="121"/>
      <c r="C225" s="16"/>
      <c r="D225" s="16"/>
      <c r="E225" s="120"/>
      <c r="F225" s="16"/>
      <c r="G225" s="16"/>
    </row>
    <row r="226" spans="2:7" ht="13.5" thickBot="1">
      <c r="B226" s="236">
        <v>44436</v>
      </c>
      <c r="C226" s="237"/>
      <c r="D226" s="237"/>
      <c r="E226" s="237"/>
      <c r="F226" s="237"/>
      <c r="G226" s="238"/>
    </row>
    <row r="227" spans="2:7" ht="13.5" thickBot="1">
      <c r="B227" s="18"/>
      <c r="G227" s="6"/>
    </row>
    <row r="228" spans="2:7">
      <c r="B228" s="18"/>
      <c r="C228" s="21" t="s">
        <v>27</v>
      </c>
      <c r="D228" s="16"/>
      <c r="E228" s="80" t="s">
        <v>1</v>
      </c>
      <c r="F228" s="4">
        <v>57</v>
      </c>
      <c r="G228" s="6"/>
    </row>
    <row r="229" spans="2:7" ht="13.5" thickBot="1">
      <c r="B229" s="18"/>
      <c r="C229" s="7"/>
      <c r="D229" s="20"/>
      <c r="E229" s="83" t="s">
        <v>74</v>
      </c>
      <c r="F229" s="22">
        <v>22</v>
      </c>
      <c r="G229" s="6"/>
    </row>
    <row r="230" spans="2:7" ht="13.5" thickBot="1">
      <c r="B230" s="18"/>
      <c r="G230" s="6"/>
    </row>
    <row r="231" spans="2:7">
      <c r="B231" s="18"/>
      <c r="C231" s="3" t="s">
        <v>4</v>
      </c>
      <c r="D231" s="16"/>
      <c r="E231" s="80" t="s">
        <v>1</v>
      </c>
      <c r="F231" s="17"/>
      <c r="G231" s="6"/>
    </row>
    <row r="232" spans="2:7">
      <c r="B232" s="18"/>
      <c r="C232" s="5" t="s">
        <v>2</v>
      </c>
      <c r="E232" s="39" t="s">
        <v>326</v>
      </c>
      <c r="F232" s="6"/>
      <c r="G232" s="6"/>
    </row>
    <row r="233" spans="2:7" ht="13.5" thickBot="1">
      <c r="B233" s="18"/>
      <c r="C233" s="7" t="s">
        <v>3</v>
      </c>
      <c r="D233" s="20"/>
      <c r="E233" s="81" t="s">
        <v>354</v>
      </c>
      <c r="F233" s="9"/>
      <c r="G233" s="6"/>
    </row>
    <row r="234" spans="2:7" ht="13.5" thickBot="1">
      <c r="B234" s="18"/>
      <c r="G234" s="6"/>
    </row>
    <row r="235" spans="2:7" ht="13.5" thickBot="1">
      <c r="B235" s="18"/>
      <c r="C235" s="23" t="s">
        <v>29</v>
      </c>
      <c r="D235" s="24"/>
      <c r="E235" s="87" t="s">
        <v>299</v>
      </c>
      <c r="F235" s="25"/>
      <c r="G235" s="6"/>
    </row>
    <row r="236" spans="2:7">
      <c r="B236" s="18"/>
      <c r="G236" s="6"/>
    </row>
    <row r="237" spans="2:7">
      <c r="B237" s="18"/>
      <c r="C237" t="s">
        <v>5</v>
      </c>
      <c r="G237" s="6"/>
    </row>
    <row r="238" spans="2:7">
      <c r="B238" s="18"/>
      <c r="G238" s="6"/>
    </row>
    <row r="239" spans="2:7">
      <c r="B239" s="5">
        <v>1</v>
      </c>
      <c r="C239" s="39" t="s">
        <v>6</v>
      </c>
      <c r="G239" s="6"/>
    </row>
    <row r="240" spans="2:7">
      <c r="B240" s="5">
        <v>2</v>
      </c>
      <c r="C240" s="39" t="s">
        <v>11</v>
      </c>
      <c r="G240" s="6"/>
    </row>
    <row r="241" spans="2:7">
      <c r="B241" s="5">
        <v>3</v>
      </c>
      <c r="C241" s="39" t="s">
        <v>35</v>
      </c>
      <c r="G241" s="6"/>
    </row>
    <row r="242" spans="2:7">
      <c r="B242" s="5">
        <v>4</v>
      </c>
      <c r="C242" s="39" t="s">
        <v>10</v>
      </c>
      <c r="G242" s="6"/>
    </row>
    <row r="243" spans="2:7">
      <c r="B243" s="5">
        <v>5</v>
      </c>
      <c r="C243" s="39" t="s">
        <v>207</v>
      </c>
      <c r="G243" s="6"/>
    </row>
    <row r="244" spans="2:7">
      <c r="B244" s="5">
        <v>6</v>
      </c>
      <c r="C244" s="39" t="s">
        <v>211</v>
      </c>
      <c r="G244" s="6"/>
    </row>
    <row r="245" spans="2:7">
      <c r="B245" s="5">
        <v>7</v>
      </c>
      <c r="C245" s="39" t="s">
        <v>231</v>
      </c>
      <c r="G245" s="6"/>
    </row>
    <row r="246" spans="2:7">
      <c r="B246" s="5">
        <v>8</v>
      </c>
      <c r="C246" s="39" t="s">
        <v>230</v>
      </c>
      <c r="G246" s="6"/>
    </row>
    <row r="247" spans="2:7">
      <c r="B247" s="5">
        <v>9</v>
      </c>
      <c r="C247" s="39" t="s">
        <v>361</v>
      </c>
      <c r="G247" s="6"/>
    </row>
    <row r="248" spans="2:7">
      <c r="B248" s="5">
        <v>10</v>
      </c>
      <c r="C248" s="39" t="s">
        <v>208</v>
      </c>
      <c r="G248" s="6"/>
    </row>
    <row r="249" spans="2:7">
      <c r="B249" s="5">
        <v>11</v>
      </c>
      <c r="C249" s="39" t="s">
        <v>214</v>
      </c>
      <c r="G249" s="6"/>
    </row>
    <row r="250" spans="2:7">
      <c r="B250" s="5">
        <v>12</v>
      </c>
      <c r="C250" s="39" t="s">
        <v>236</v>
      </c>
      <c r="G250" s="6"/>
    </row>
    <row r="251" spans="2:7">
      <c r="B251" s="5">
        <v>13</v>
      </c>
      <c r="C251" s="39" t="s">
        <v>142</v>
      </c>
      <c r="G251" s="6"/>
    </row>
    <row r="252" spans="2:7">
      <c r="B252" s="5">
        <v>14</v>
      </c>
      <c r="C252" s="39" t="s">
        <v>144</v>
      </c>
      <c r="G252" s="6"/>
    </row>
    <row r="253" spans="2:7">
      <c r="B253" s="5">
        <v>15</v>
      </c>
      <c r="C253" s="39" t="s">
        <v>234</v>
      </c>
      <c r="G253" s="6"/>
    </row>
    <row r="254" spans="2:7">
      <c r="B254" s="18"/>
      <c r="G254" s="6"/>
    </row>
    <row r="255" spans="2:7">
      <c r="B255" s="18"/>
      <c r="C255" s="39" t="s">
        <v>325</v>
      </c>
      <c r="G255" s="6"/>
    </row>
    <row r="256" spans="2:7">
      <c r="B256" s="18"/>
      <c r="C256" s="39" t="s">
        <v>367</v>
      </c>
      <c r="G256" s="6"/>
    </row>
    <row r="257" spans="2:7">
      <c r="B257" s="18"/>
      <c r="C257" s="39" t="s">
        <v>350</v>
      </c>
      <c r="G257" s="6"/>
    </row>
    <row r="258" spans="2:7">
      <c r="B258" s="18"/>
      <c r="C258" s="39" t="s">
        <v>368</v>
      </c>
      <c r="G258" s="6"/>
    </row>
    <row r="259" spans="2:7">
      <c r="B259" s="18"/>
      <c r="C259" s="39" t="s">
        <v>366</v>
      </c>
      <c r="G259" s="6"/>
    </row>
    <row r="260" spans="2:7">
      <c r="B260" s="18"/>
      <c r="C260" s="39" t="s">
        <v>369</v>
      </c>
      <c r="G260" s="6"/>
    </row>
    <row r="261" spans="2:7">
      <c r="B261" s="18"/>
      <c r="C261" s="39" t="s">
        <v>370</v>
      </c>
      <c r="G261" s="6"/>
    </row>
    <row r="262" spans="2:7">
      <c r="B262" s="18"/>
      <c r="C262" s="39"/>
      <c r="G262" s="6"/>
    </row>
    <row r="263" spans="2:7">
      <c r="B263" s="18"/>
      <c r="G263" s="6"/>
    </row>
    <row r="264" spans="2:7">
      <c r="B264" s="18"/>
      <c r="C264" s="2" t="s">
        <v>21</v>
      </c>
      <c r="G264" s="6"/>
    </row>
    <row r="265" spans="2:7">
      <c r="B265" s="82" t="s">
        <v>352</v>
      </c>
      <c r="C265" s="39" t="s">
        <v>231</v>
      </c>
      <c r="G265" s="6"/>
    </row>
    <row r="266" spans="2:7">
      <c r="B266" s="82" t="s">
        <v>352</v>
      </c>
      <c r="C266" s="39" t="s">
        <v>230</v>
      </c>
      <c r="G266" s="6"/>
    </row>
    <row r="267" spans="2:7">
      <c r="B267" s="82" t="s">
        <v>352</v>
      </c>
      <c r="C267" s="39" t="s">
        <v>56</v>
      </c>
      <c r="G267" s="6"/>
    </row>
    <row r="268" spans="2:7">
      <c r="B268" s="82" t="s">
        <v>336</v>
      </c>
      <c r="C268" s="39" t="s">
        <v>214</v>
      </c>
      <c r="G268" s="6"/>
    </row>
    <row r="269" spans="2:7">
      <c r="B269" s="82" t="s">
        <v>336</v>
      </c>
      <c r="C269" s="39" t="s">
        <v>142</v>
      </c>
      <c r="G269" s="6"/>
    </row>
    <row r="270" spans="2:7">
      <c r="B270" s="18"/>
      <c r="C270" s="39"/>
      <c r="G270" s="6"/>
    </row>
    <row r="271" spans="2:7">
      <c r="B271" s="18"/>
      <c r="C271" s="15" t="s">
        <v>337</v>
      </c>
      <c r="G271" s="6"/>
    </row>
    <row r="272" spans="2:7">
      <c r="B272" s="82" t="s">
        <v>335</v>
      </c>
      <c r="C272" s="39" t="s">
        <v>236</v>
      </c>
      <c r="G272" s="6"/>
    </row>
    <row r="273" spans="2:7">
      <c r="B273" s="82" t="s">
        <v>352</v>
      </c>
      <c r="C273" s="39" t="s">
        <v>214</v>
      </c>
      <c r="G273" s="6"/>
    </row>
    <row r="274" spans="2:7">
      <c r="B274" s="18"/>
      <c r="G274" s="6"/>
    </row>
    <row r="275" spans="2:7">
      <c r="B275" s="18"/>
      <c r="C275" s="1" t="s">
        <v>22</v>
      </c>
      <c r="G275" s="6"/>
    </row>
    <row r="276" spans="2:7">
      <c r="B276" s="82" t="s">
        <v>336</v>
      </c>
      <c r="C276" t="s">
        <v>236</v>
      </c>
      <c r="G276" s="6"/>
    </row>
    <row r="277" spans="2:7">
      <c r="B277" s="18"/>
      <c r="G277" s="6"/>
    </row>
    <row r="278" spans="2:7">
      <c r="B278" s="18"/>
      <c r="C278" s="1" t="s">
        <v>23</v>
      </c>
      <c r="G278" s="6"/>
    </row>
    <row r="279" spans="2:7">
      <c r="B279" s="82" t="s">
        <v>336</v>
      </c>
      <c r="C279" s="66" t="s">
        <v>236</v>
      </c>
      <c r="G279" s="6"/>
    </row>
    <row r="280" spans="2:7" ht="13.5" thickBot="1">
      <c r="B280" s="19"/>
      <c r="C280" s="20"/>
      <c r="D280" s="20"/>
      <c r="E280" s="8"/>
      <c r="F280" s="20"/>
      <c r="G280" s="9"/>
    </row>
    <row r="281" spans="2:7">
      <c r="B281" s="121"/>
      <c r="C281" s="16"/>
      <c r="D281" s="16"/>
      <c r="E281" s="120"/>
      <c r="F281" s="16"/>
      <c r="G281" s="16"/>
    </row>
    <row r="282" spans="2:7" ht="13.5" thickBot="1"/>
    <row r="283" spans="2:7" ht="13.5" thickBot="1">
      <c r="B283" s="236">
        <v>44450</v>
      </c>
      <c r="C283" s="237"/>
      <c r="D283" s="237"/>
      <c r="E283" s="237"/>
      <c r="F283" s="237"/>
      <c r="G283" s="238"/>
    </row>
    <row r="284" spans="2:7" ht="13.5" thickBot="1">
      <c r="B284" s="18"/>
      <c r="G284" s="6"/>
    </row>
    <row r="285" spans="2:7">
      <c r="B285" s="18"/>
      <c r="C285" s="21" t="s">
        <v>27</v>
      </c>
      <c r="D285" s="16"/>
      <c r="E285" s="80" t="s">
        <v>118</v>
      </c>
      <c r="F285" s="4">
        <v>28</v>
      </c>
      <c r="G285" s="6"/>
    </row>
    <row r="286" spans="2:7" ht="13.5" thickBot="1">
      <c r="B286" s="18"/>
      <c r="C286" s="7"/>
      <c r="D286" s="20"/>
      <c r="E286" s="83" t="s">
        <v>1</v>
      </c>
      <c r="F286" s="22">
        <v>31</v>
      </c>
      <c r="G286" s="6"/>
    </row>
    <row r="287" spans="2:7" ht="13.5" thickBot="1">
      <c r="B287" s="18"/>
      <c r="G287" s="6"/>
    </row>
    <row r="288" spans="2:7">
      <c r="B288" s="18"/>
      <c r="C288" s="3" t="s">
        <v>4</v>
      </c>
      <c r="D288" s="16"/>
      <c r="E288" s="80" t="s">
        <v>118</v>
      </c>
      <c r="F288" s="17"/>
      <c r="G288" s="6"/>
    </row>
    <row r="289" spans="2:7">
      <c r="B289" s="18"/>
      <c r="C289" s="5" t="s">
        <v>2</v>
      </c>
      <c r="E289" s="39" t="s">
        <v>326</v>
      </c>
      <c r="F289" s="6"/>
      <c r="G289" s="6"/>
    </row>
    <row r="290" spans="2:7" ht="13.5" thickBot="1">
      <c r="B290" s="18"/>
      <c r="C290" s="7" t="s">
        <v>3</v>
      </c>
      <c r="D290" s="20"/>
      <c r="E290" s="81" t="s">
        <v>354</v>
      </c>
      <c r="F290" s="9"/>
      <c r="G290" s="6"/>
    </row>
    <row r="291" spans="2:7" ht="13.5" thickBot="1">
      <c r="B291" s="18"/>
      <c r="G291" s="6"/>
    </row>
    <row r="292" spans="2:7" ht="13.5" thickBot="1">
      <c r="B292" s="18"/>
      <c r="C292" s="23" t="s">
        <v>29</v>
      </c>
      <c r="D292" s="24"/>
      <c r="E292" s="87" t="s">
        <v>371</v>
      </c>
      <c r="F292" s="25"/>
      <c r="G292" s="6"/>
    </row>
    <row r="293" spans="2:7">
      <c r="B293" s="18"/>
      <c r="G293" s="6"/>
    </row>
    <row r="294" spans="2:7">
      <c r="B294" s="18"/>
      <c r="C294" t="s">
        <v>5</v>
      </c>
      <c r="G294" s="6"/>
    </row>
    <row r="295" spans="2:7">
      <c r="B295" s="18"/>
      <c r="G295" s="6"/>
    </row>
    <row r="296" spans="2:7">
      <c r="B296" s="5">
        <v>1</v>
      </c>
      <c r="C296" s="39" t="s">
        <v>6</v>
      </c>
      <c r="G296" s="6"/>
    </row>
    <row r="297" spans="2:7">
      <c r="B297" s="5">
        <v>2</v>
      </c>
      <c r="C297" s="39" t="s">
        <v>11</v>
      </c>
      <c r="G297" s="6"/>
    </row>
    <row r="298" spans="2:7">
      <c r="B298" s="5">
        <v>3</v>
      </c>
      <c r="C298" s="39" t="s">
        <v>35</v>
      </c>
      <c r="G298" s="6"/>
    </row>
    <row r="299" spans="2:7">
      <c r="B299" s="5">
        <v>4</v>
      </c>
      <c r="C299" s="39" t="s">
        <v>146</v>
      </c>
      <c r="G299" s="6"/>
    </row>
    <row r="300" spans="2:7">
      <c r="B300" s="5">
        <v>5</v>
      </c>
      <c r="C300" s="39" t="s">
        <v>207</v>
      </c>
      <c r="G300" s="6"/>
    </row>
    <row r="301" spans="2:7">
      <c r="B301" s="5">
        <v>6</v>
      </c>
      <c r="C301" s="39" t="s">
        <v>33</v>
      </c>
      <c r="G301" s="6"/>
    </row>
    <row r="302" spans="2:7">
      <c r="B302" s="5">
        <v>7</v>
      </c>
      <c r="C302" s="39" t="s">
        <v>231</v>
      </c>
      <c r="G302" s="6"/>
    </row>
    <row r="303" spans="2:7">
      <c r="B303" s="5">
        <v>8</v>
      </c>
      <c r="C303" s="39" t="s">
        <v>230</v>
      </c>
      <c r="G303" s="6"/>
    </row>
    <row r="304" spans="2:7">
      <c r="B304" s="5">
        <v>9</v>
      </c>
      <c r="C304" s="39" t="s">
        <v>361</v>
      </c>
      <c r="G304" s="6"/>
    </row>
    <row r="305" spans="2:7">
      <c r="B305" s="5">
        <v>10</v>
      </c>
      <c r="C305" s="39" t="s">
        <v>208</v>
      </c>
      <c r="G305" s="6"/>
    </row>
    <row r="306" spans="2:7">
      <c r="B306" s="5">
        <v>11</v>
      </c>
      <c r="C306" s="39" t="s">
        <v>214</v>
      </c>
      <c r="G306" s="6"/>
    </row>
    <row r="307" spans="2:7">
      <c r="B307" s="5">
        <v>12</v>
      </c>
      <c r="C307" s="39" t="s">
        <v>236</v>
      </c>
      <c r="G307" s="6"/>
    </row>
    <row r="308" spans="2:7">
      <c r="B308" s="5">
        <v>13</v>
      </c>
      <c r="C308" s="39" t="s">
        <v>142</v>
      </c>
      <c r="G308" s="6"/>
    </row>
    <row r="309" spans="2:7">
      <c r="B309" s="5">
        <v>14</v>
      </c>
      <c r="C309" s="39" t="s">
        <v>144</v>
      </c>
      <c r="G309" s="6"/>
    </row>
    <row r="310" spans="2:7">
      <c r="B310" s="5">
        <v>15</v>
      </c>
      <c r="C310" s="39" t="s">
        <v>234</v>
      </c>
      <c r="G310" s="6"/>
    </row>
    <row r="311" spans="2:7">
      <c r="B311" s="18"/>
      <c r="G311" s="6"/>
    </row>
    <row r="312" spans="2:7">
      <c r="B312" s="18"/>
      <c r="C312" s="39" t="s">
        <v>325</v>
      </c>
      <c r="G312" s="6"/>
    </row>
    <row r="313" spans="2:7">
      <c r="B313" s="18"/>
      <c r="C313" s="39" t="s">
        <v>372</v>
      </c>
      <c r="G313" s="6"/>
    </row>
    <row r="314" spans="2:7">
      <c r="B314" s="18"/>
      <c r="C314" s="39" t="s">
        <v>373</v>
      </c>
      <c r="G314" s="6"/>
    </row>
    <row r="315" spans="2:7">
      <c r="B315" s="18"/>
      <c r="C315" s="39"/>
      <c r="G315" s="6"/>
    </row>
    <row r="316" spans="2:7">
      <c r="B316" s="18"/>
      <c r="C316" s="2" t="s">
        <v>21</v>
      </c>
      <c r="G316" s="6"/>
    </row>
    <row r="317" spans="2:7">
      <c r="B317" s="82" t="s">
        <v>336</v>
      </c>
      <c r="C317" s="39" t="s">
        <v>211</v>
      </c>
      <c r="G317" s="6"/>
    </row>
    <row r="318" spans="2:7">
      <c r="B318" s="82" t="s">
        <v>352</v>
      </c>
      <c r="C318" s="39" t="s">
        <v>230</v>
      </c>
      <c r="G318" s="6"/>
    </row>
    <row r="319" spans="2:7">
      <c r="B319" s="82" t="s">
        <v>336</v>
      </c>
      <c r="C319" s="39" t="s">
        <v>208</v>
      </c>
      <c r="G319" s="6"/>
    </row>
    <row r="320" spans="2:7">
      <c r="B320" s="82"/>
      <c r="C320" s="39"/>
      <c r="G320" s="6"/>
    </row>
    <row r="321" spans="2:7">
      <c r="B321" s="18"/>
      <c r="C321" s="15" t="s">
        <v>337</v>
      </c>
      <c r="G321" s="6"/>
    </row>
    <row r="322" spans="2:7">
      <c r="B322" s="82" t="s">
        <v>338</v>
      </c>
      <c r="C322" s="39" t="s">
        <v>236</v>
      </c>
      <c r="G322" s="6"/>
    </row>
    <row r="323" spans="2:7">
      <c r="B323" s="18"/>
      <c r="G323" s="6"/>
    </row>
    <row r="324" spans="2:7">
      <c r="B324" s="18"/>
      <c r="C324" s="1" t="s">
        <v>22</v>
      </c>
      <c r="G324" s="6"/>
    </row>
    <row r="325" spans="2:7">
      <c r="B325" s="82" t="s">
        <v>336</v>
      </c>
      <c r="C325" t="s">
        <v>236</v>
      </c>
      <c r="G325" s="6"/>
    </row>
    <row r="326" spans="2:7">
      <c r="B326" s="18"/>
      <c r="G326" s="6"/>
    </row>
    <row r="327" spans="2:7">
      <c r="B327" s="18"/>
      <c r="C327" s="1" t="s">
        <v>23</v>
      </c>
      <c r="G327" s="6"/>
    </row>
    <row r="328" spans="2:7">
      <c r="B328" s="18"/>
      <c r="C328" s="66" t="s">
        <v>339</v>
      </c>
      <c r="G328" s="6"/>
    </row>
    <row r="329" spans="2:7" ht="13.5" thickBot="1">
      <c r="B329" s="19"/>
      <c r="C329" s="20"/>
      <c r="D329" s="20"/>
      <c r="E329" s="8"/>
      <c r="F329" s="20"/>
      <c r="G329" s="9"/>
    </row>
    <row r="331" spans="2:7" ht="13.5" thickBot="1"/>
    <row r="332" spans="2:7" ht="13.5" thickBot="1">
      <c r="B332" s="236">
        <v>44457</v>
      </c>
      <c r="C332" s="237"/>
      <c r="D332" s="237"/>
      <c r="E332" s="237"/>
      <c r="F332" s="237"/>
      <c r="G332" s="238"/>
    </row>
    <row r="333" spans="2:7" ht="13.5" thickBot="1">
      <c r="B333" s="18"/>
      <c r="G333" s="6"/>
    </row>
    <row r="334" spans="2:7">
      <c r="B334" s="18"/>
      <c r="C334" s="21" t="s">
        <v>27</v>
      </c>
      <c r="D334" s="16"/>
      <c r="E334" s="80" t="s">
        <v>1</v>
      </c>
      <c r="F334" s="4">
        <v>28</v>
      </c>
      <c r="G334" s="6"/>
    </row>
    <row r="335" spans="2:7" ht="13.5" thickBot="1">
      <c r="B335" s="18"/>
      <c r="C335" s="7"/>
      <c r="D335" s="20"/>
      <c r="E335" s="83" t="s">
        <v>170</v>
      </c>
      <c r="F335" s="22">
        <v>23</v>
      </c>
      <c r="G335" s="6"/>
    </row>
    <row r="336" spans="2:7" ht="13.5" thickBot="1">
      <c r="B336" s="18"/>
      <c r="G336" s="6"/>
    </row>
    <row r="337" spans="2:7">
      <c r="B337" s="18"/>
      <c r="C337" s="3" t="s">
        <v>4</v>
      </c>
      <c r="D337" s="16"/>
      <c r="E337" s="80" t="s">
        <v>1</v>
      </c>
      <c r="F337" s="17" t="s">
        <v>205</v>
      </c>
      <c r="G337" s="6"/>
    </row>
    <row r="338" spans="2:7">
      <c r="B338" s="18"/>
      <c r="C338" s="5" t="s">
        <v>2</v>
      </c>
      <c r="E338" s="39" t="s">
        <v>326</v>
      </c>
      <c r="F338" s="6"/>
      <c r="G338" s="6"/>
    </row>
    <row r="339" spans="2:7" ht="13.5" thickBot="1">
      <c r="B339" s="18"/>
      <c r="C339" s="7" t="s">
        <v>3</v>
      </c>
      <c r="D339" s="20"/>
      <c r="E339" s="81" t="s">
        <v>354</v>
      </c>
      <c r="F339" s="9"/>
      <c r="G339" s="6"/>
    </row>
    <row r="340" spans="2:7" ht="13.5" thickBot="1">
      <c r="B340" s="18"/>
      <c r="G340" s="6"/>
    </row>
    <row r="341" spans="2:7" ht="13.5" thickBot="1">
      <c r="B341" s="18"/>
      <c r="C341" s="23" t="s">
        <v>29</v>
      </c>
      <c r="D341" s="24"/>
      <c r="E341" s="87" t="s">
        <v>355</v>
      </c>
      <c r="F341" s="25"/>
      <c r="G341" s="6"/>
    </row>
    <row r="342" spans="2:7">
      <c r="B342" s="18"/>
      <c r="G342" s="6"/>
    </row>
    <row r="343" spans="2:7">
      <c r="B343" s="18"/>
      <c r="C343" t="s">
        <v>5</v>
      </c>
      <c r="G343" s="6"/>
    </row>
    <row r="344" spans="2:7">
      <c r="B344" s="18"/>
      <c r="G344" s="6"/>
    </row>
    <row r="345" spans="2:7">
      <c r="B345" s="5">
        <v>1</v>
      </c>
      <c r="C345" s="39" t="s">
        <v>6</v>
      </c>
      <c r="G345" s="6"/>
    </row>
    <row r="346" spans="2:7">
      <c r="B346" s="5">
        <v>2</v>
      </c>
      <c r="C346" s="39" t="s">
        <v>160</v>
      </c>
      <c r="G346" s="6"/>
    </row>
    <row r="347" spans="2:7">
      <c r="B347" s="5">
        <v>3</v>
      </c>
      <c r="C347" s="39" t="s">
        <v>35</v>
      </c>
      <c r="G347" s="6"/>
    </row>
    <row r="348" spans="2:7">
      <c r="B348" s="5">
        <v>4</v>
      </c>
      <c r="C348" s="39" t="s">
        <v>10</v>
      </c>
      <c r="G348" s="6"/>
    </row>
    <row r="349" spans="2:7">
      <c r="B349" s="5">
        <v>5</v>
      </c>
      <c r="C349" s="39" t="s">
        <v>207</v>
      </c>
      <c r="G349" s="6"/>
    </row>
    <row r="350" spans="2:7">
      <c r="B350" s="5">
        <v>6</v>
      </c>
      <c r="C350" s="39" t="s">
        <v>211</v>
      </c>
      <c r="G350" s="6"/>
    </row>
    <row r="351" spans="2:7">
      <c r="B351" s="5">
        <v>7</v>
      </c>
      <c r="C351" s="39" t="s">
        <v>231</v>
      </c>
      <c r="G351" s="6"/>
    </row>
    <row r="352" spans="2:7">
      <c r="B352" s="5">
        <v>8</v>
      </c>
      <c r="C352" s="39" t="s">
        <v>230</v>
      </c>
      <c r="G352" s="6"/>
    </row>
    <row r="353" spans="2:7">
      <c r="B353" s="5">
        <v>9</v>
      </c>
      <c r="C353" s="39" t="s">
        <v>361</v>
      </c>
      <c r="G353" s="6"/>
    </row>
    <row r="354" spans="2:7">
      <c r="B354" s="5">
        <v>10</v>
      </c>
      <c r="C354" s="39" t="s">
        <v>208</v>
      </c>
      <c r="G354" s="6"/>
    </row>
    <row r="355" spans="2:7">
      <c r="B355" s="5">
        <v>11</v>
      </c>
      <c r="C355" s="39" t="s">
        <v>214</v>
      </c>
      <c r="G355" s="6"/>
    </row>
    <row r="356" spans="2:7">
      <c r="B356" s="5">
        <v>12</v>
      </c>
      <c r="C356" s="39" t="s">
        <v>236</v>
      </c>
      <c r="G356" s="6"/>
    </row>
    <row r="357" spans="2:7">
      <c r="B357" s="5">
        <v>13</v>
      </c>
      <c r="C357" s="39" t="s">
        <v>142</v>
      </c>
      <c r="G357" s="6"/>
    </row>
    <row r="358" spans="2:7">
      <c r="B358" s="5">
        <v>14</v>
      </c>
      <c r="C358" s="39" t="s">
        <v>144</v>
      </c>
      <c r="G358" s="6"/>
    </row>
    <row r="359" spans="2:7">
      <c r="B359" s="5">
        <v>15</v>
      </c>
      <c r="C359" s="39" t="s">
        <v>234</v>
      </c>
      <c r="G359" s="6"/>
    </row>
    <row r="360" spans="2:7">
      <c r="B360" s="18"/>
      <c r="G360" s="6"/>
    </row>
    <row r="361" spans="2:7">
      <c r="B361" s="18"/>
      <c r="C361" s="39" t="s">
        <v>325</v>
      </c>
      <c r="G361" s="6"/>
    </row>
    <row r="362" spans="2:7">
      <c r="B362" s="18"/>
      <c r="C362" s="39" t="s">
        <v>374</v>
      </c>
      <c r="G362" s="6"/>
    </row>
    <row r="363" spans="2:7">
      <c r="B363" s="18"/>
      <c r="C363" s="39" t="s">
        <v>368</v>
      </c>
      <c r="G363" s="6"/>
    </row>
    <row r="364" spans="2:7">
      <c r="B364" s="18"/>
      <c r="C364" s="39" t="s">
        <v>366</v>
      </c>
      <c r="G364" s="6"/>
    </row>
    <row r="365" spans="2:7">
      <c r="B365" s="18"/>
      <c r="C365" s="39"/>
      <c r="G365" s="6"/>
    </row>
    <row r="366" spans="2:7">
      <c r="B366" s="18"/>
      <c r="C366" s="2" t="s">
        <v>21</v>
      </c>
      <c r="G366" s="6"/>
    </row>
    <row r="367" spans="2:7">
      <c r="B367" s="82" t="s">
        <v>336</v>
      </c>
      <c r="C367" s="39" t="s">
        <v>230</v>
      </c>
      <c r="G367" s="6"/>
    </row>
    <row r="368" spans="2:7">
      <c r="B368" s="82" t="s">
        <v>336</v>
      </c>
      <c r="C368" s="39" t="s">
        <v>59</v>
      </c>
      <c r="G368" s="6"/>
    </row>
    <row r="369" spans="2:7">
      <c r="B369" s="82" t="s">
        <v>336</v>
      </c>
      <c r="C369" s="39" t="s">
        <v>146</v>
      </c>
      <c r="G369" s="6"/>
    </row>
    <row r="370" spans="2:7">
      <c r="B370" s="82" t="s">
        <v>336</v>
      </c>
      <c r="C370" s="39" t="s">
        <v>214</v>
      </c>
      <c r="G370" s="6"/>
    </row>
    <row r="371" spans="2:7">
      <c r="B371" s="82"/>
      <c r="C371" s="39"/>
      <c r="G371" s="6"/>
    </row>
    <row r="372" spans="2:7">
      <c r="B372" s="18"/>
      <c r="C372" s="15" t="s">
        <v>337</v>
      </c>
      <c r="G372" s="6"/>
    </row>
    <row r="373" spans="2:7">
      <c r="B373" s="82" t="s">
        <v>336</v>
      </c>
      <c r="C373" s="39" t="s">
        <v>236</v>
      </c>
      <c r="G373" s="6"/>
    </row>
    <row r="374" spans="2:7">
      <c r="B374" s="18"/>
      <c r="G374" s="6"/>
    </row>
    <row r="375" spans="2:7">
      <c r="B375" s="18"/>
      <c r="C375" s="1" t="s">
        <v>22</v>
      </c>
      <c r="G375" s="6"/>
    </row>
    <row r="376" spans="2:7">
      <c r="B376" s="82" t="s">
        <v>352</v>
      </c>
      <c r="C376" t="s">
        <v>236</v>
      </c>
      <c r="G376" s="6"/>
    </row>
    <row r="377" spans="2:7">
      <c r="B377" s="18"/>
      <c r="G377" s="6"/>
    </row>
    <row r="378" spans="2:7">
      <c r="B378" s="18"/>
      <c r="C378" s="1" t="s">
        <v>23</v>
      </c>
      <c r="G378" s="6"/>
    </row>
    <row r="379" spans="2:7">
      <c r="B379" s="18"/>
      <c r="C379" s="66" t="s">
        <v>339</v>
      </c>
      <c r="G379" s="6"/>
    </row>
    <row r="380" spans="2:7" ht="13.5" thickBot="1">
      <c r="B380" s="19"/>
      <c r="C380" s="20"/>
      <c r="D380" s="20"/>
      <c r="E380" s="8"/>
      <c r="F380" s="20"/>
      <c r="G380" s="9"/>
    </row>
    <row r="382" spans="2:7" ht="13.5" thickBot="1"/>
    <row r="383" spans="2:7" ht="13.5" thickBot="1">
      <c r="B383" s="236">
        <v>44464</v>
      </c>
      <c r="C383" s="237"/>
      <c r="D383" s="237"/>
      <c r="E383" s="237"/>
      <c r="F383" s="237"/>
      <c r="G383" s="238"/>
    </row>
    <row r="384" spans="2:7" ht="13.5" thickBot="1">
      <c r="B384" s="18"/>
      <c r="G384" s="6"/>
    </row>
    <row r="385" spans="2:7">
      <c r="B385" s="18"/>
      <c r="C385" s="21" t="s">
        <v>27</v>
      </c>
      <c r="D385" s="16"/>
      <c r="E385" s="80" t="s">
        <v>1</v>
      </c>
      <c r="F385" s="4">
        <v>73</v>
      </c>
      <c r="G385" s="6"/>
    </row>
    <row r="386" spans="2:7" ht="13.5" thickBot="1">
      <c r="B386" s="18"/>
      <c r="C386" s="7"/>
      <c r="D386" s="20"/>
      <c r="E386" s="83" t="s">
        <v>47</v>
      </c>
      <c r="F386" s="22">
        <v>5</v>
      </c>
      <c r="G386" s="6"/>
    </row>
    <row r="387" spans="2:7" ht="13.5" thickBot="1">
      <c r="B387" s="18"/>
      <c r="G387" s="6"/>
    </row>
    <row r="388" spans="2:7">
      <c r="B388" s="18"/>
      <c r="C388" s="3" t="s">
        <v>4</v>
      </c>
      <c r="D388" s="16"/>
      <c r="E388" s="80" t="s">
        <v>1</v>
      </c>
      <c r="F388" s="17" t="s">
        <v>205</v>
      </c>
      <c r="G388" s="6"/>
    </row>
    <row r="389" spans="2:7">
      <c r="B389" s="18"/>
      <c r="C389" s="5" t="s">
        <v>2</v>
      </c>
      <c r="E389" s="39" t="s">
        <v>326</v>
      </c>
      <c r="F389" s="6"/>
      <c r="G389" s="6"/>
    </row>
    <row r="390" spans="2:7" ht="13.5" thickBot="1">
      <c r="B390" s="18"/>
      <c r="C390" s="7" t="s">
        <v>3</v>
      </c>
      <c r="D390" s="20"/>
      <c r="E390" s="81" t="s">
        <v>354</v>
      </c>
      <c r="F390" s="9"/>
      <c r="G390" s="6"/>
    </row>
    <row r="391" spans="2:7" ht="13.5" thickBot="1">
      <c r="B391" s="18"/>
      <c r="G391" s="6"/>
    </row>
    <row r="392" spans="2:7" ht="13.5" thickBot="1">
      <c r="B392" s="18"/>
      <c r="C392" s="23" t="s">
        <v>29</v>
      </c>
      <c r="D392" s="24"/>
      <c r="E392" s="87" t="s">
        <v>375</v>
      </c>
      <c r="F392" s="25"/>
      <c r="G392" s="6"/>
    </row>
    <row r="393" spans="2:7">
      <c r="B393" s="18"/>
      <c r="G393" s="6"/>
    </row>
    <row r="394" spans="2:7">
      <c r="B394" s="18"/>
      <c r="C394" t="s">
        <v>5</v>
      </c>
      <c r="G394" s="6"/>
    </row>
    <row r="395" spans="2:7">
      <c r="B395" s="18"/>
      <c r="G395" s="6"/>
    </row>
    <row r="396" spans="2:7">
      <c r="B396" s="5">
        <v>1</v>
      </c>
      <c r="C396" s="39" t="s">
        <v>6</v>
      </c>
      <c r="G396" s="6"/>
    </row>
    <row r="397" spans="2:7">
      <c r="B397" s="5">
        <v>2</v>
      </c>
      <c r="C397" s="39" t="s">
        <v>160</v>
      </c>
      <c r="G397" s="6"/>
    </row>
    <row r="398" spans="2:7">
      <c r="B398" s="5">
        <v>3</v>
      </c>
      <c r="C398" s="39" t="s">
        <v>35</v>
      </c>
      <c r="G398" s="6"/>
    </row>
    <row r="399" spans="2:7">
      <c r="B399" s="5">
        <v>4</v>
      </c>
      <c r="C399" s="39" t="s">
        <v>10</v>
      </c>
      <c r="G399" s="6"/>
    </row>
    <row r="400" spans="2:7">
      <c r="B400" s="5">
        <v>5</v>
      </c>
      <c r="C400" s="39" t="s">
        <v>207</v>
      </c>
      <c r="G400" s="6"/>
    </row>
    <row r="401" spans="2:7">
      <c r="B401" s="5">
        <v>6</v>
      </c>
      <c r="C401" s="39" t="s">
        <v>211</v>
      </c>
      <c r="G401" s="6"/>
    </row>
    <row r="402" spans="2:7">
      <c r="B402" s="5">
        <v>7</v>
      </c>
      <c r="C402" s="39" t="s">
        <v>231</v>
      </c>
      <c r="G402" s="6"/>
    </row>
    <row r="403" spans="2:7">
      <c r="B403" s="5">
        <v>8</v>
      </c>
      <c r="C403" s="39" t="s">
        <v>230</v>
      </c>
      <c r="G403" s="6"/>
    </row>
    <row r="404" spans="2:7">
      <c r="B404" s="5">
        <v>9</v>
      </c>
      <c r="C404" s="39" t="s">
        <v>361</v>
      </c>
      <c r="G404" s="6"/>
    </row>
    <row r="405" spans="2:7">
      <c r="B405" s="5">
        <v>10</v>
      </c>
      <c r="C405" s="39" t="s">
        <v>208</v>
      </c>
      <c r="G405" s="6"/>
    </row>
    <row r="406" spans="2:7">
      <c r="B406" s="5">
        <v>11</v>
      </c>
      <c r="C406" s="39" t="s">
        <v>214</v>
      </c>
      <c r="G406" s="6"/>
    </row>
    <row r="407" spans="2:7">
      <c r="B407" s="5">
        <v>12</v>
      </c>
      <c r="C407" s="39" t="s">
        <v>236</v>
      </c>
      <c r="G407" s="6"/>
    </row>
    <row r="408" spans="2:7">
      <c r="B408" s="5">
        <v>13</v>
      </c>
      <c r="C408" s="39" t="s">
        <v>142</v>
      </c>
      <c r="G408" s="6"/>
    </row>
    <row r="409" spans="2:7">
      <c r="B409" s="5">
        <v>14</v>
      </c>
      <c r="C409" s="39" t="s">
        <v>144</v>
      </c>
      <c r="G409" s="6"/>
    </row>
    <row r="410" spans="2:7">
      <c r="B410" s="5">
        <v>15</v>
      </c>
      <c r="C410" s="39" t="s">
        <v>234</v>
      </c>
      <c r="G410" s="6"/>
    </row>
    <row r="411" spans="2:7">
      <c r="B411" s="18"/>
      <c r="G411" s="6"/>
    </row>
    <row r="412" spans="2:7">
      <c r="B412" s="18"/>
      <c r="C412" s="39" t="s">
        <v>325</v>
      </c>
      <c r="G412" s="6"/>
    </row>
    <row r="413" spans="2:7">
      <c r="B413" s="18"/>
      <c r="C413" s="39" t="s">
        <v>374</v>
      </c>
      <c r="G413" s="6"/>
    </row>
    <row r="414" spans="2:7">
      <c r="B414" s="18"/>
      <c r="C414" s="39" t="s">
        <v>368</v>
      </c>
      <c r="G414" s="6"/>
    </row>
    <row r="415" spans="2:7">
      <c r="B415" s="18"/>
      <c r="C415" s="39" t="s">
        <v>376</v>
      </c>
      <c r="G415" s="6"/>
    </row>
    <row r="416" spans="2:7">
      <c r="B416" s="18"/>
      <c r="C416" s="39" t="s">
        <v>331</v>
      </c>
      <c r="G416" s="6"/>
    </row>
    <row r="417" spans="2:7">
      <c r="B417" s="18"/>
      <c r="C417" s="39" t="s">
        <v>377</v>
      </c>
      <c r="G417" s="6"/>
    </row>
    <row r="418" spans="2:7">
      <c r="B418" s="18"/>
      <c r="C418" s="39" t="s">
        <v>350</v>
      </c>
      <c r="G418" s="6"/>
    </row>
    <row r="419" spans="2:7">
      <c r="B419" s="18"/>
      <c r="C419" s="39" t="s">
        <v>378</v>
      </c>
      <c r="G419" s="6"/>
    </row>
    <row r="420" spans="2:7">
      <c r="B420" s="18"/>
      <c r="C420" s="39" t="s">
        <v>379</v>
      </c>
      <c r="G420" s="6"/>
    </row>
    <row r="421" spans="2:7">
      <c r="B421" s="18"/>
      <c r="C421" s="39"/>
      <c r="G421" s="6"/>
    </row>
    <row r="422" spans="2:7">
      <c r="B422" s="18"/>
      <c r="C422" s="2" t="s">
        <v>21</v>
      </c>
      <c r="G422" s="6"/>
    </row>
    <row r="423" spans="2:7">
      <c r="B423" s="82" t="s">
        <v>352</v>
      </c>
      <c r="C423" s="39" t="s">
        <v>214</v>
      </c>
      <c r="G423" s="6"/>
    </row>
    <row r="424" spans="2:7">
      <c r="B424" s="82" t="s">
        <v>336</v>
      </c>
      <c r="C424" s="39" t="s">
        <v>10</v>
      </c>
      <c r="G424" s="6"/>
    </row>
    <row r="425" spans="2:7">
      <c r="B425" s="82" t="s">
        <v>336</v>
      </c>
      <c r="C425" s="39" t="s">
        <v>234</v>
      </c>
      <c r="G425" s="6"/>
    </row>
    <row r="426" spans="2:7">
      <c r="B426" s="82" t="s">
        <v>336</v>
      </c>
      <c r="C426" s="39" t="s">
        <v>144</v>
      </c>
      <c r="G426" s="6"/>
    </row>
    <row r="427" spans="2:7">
      <c r="B427" s="82" t="s">
        <v>336</v>
      </c>
      <c r="C427" s="39" t="s">
        <v>11</v>
      </c>
      <c r="G427" s="6"/>
    </row>
    <row r="428" spans="2:7">
      <c r="B428" s="82" t="s">
        <v>336</v>
      </c>
      <c r="C428" s="39" t="s">
        <v>247</v>
      </c>
      <c r="G428" s="6"/>
    </row>
    <row r="429" spans="2:7">
      <c r="B429" s="82" t="s">
        <v>336</v>
      </c>
      <c r="C429" s="39" t="s">
        <v>380</v>
      </c>
      <c r="G429" s="6"/>
    </row>
    <row r="430" spans="2:7">
      <c r="B430" s="82" t="s">
        <v>336</v>
      </c>
      <c r="C430" s="39" t="s">
        <v>140</v>
      </c>
      <c r="G430" s="6"/>
    </row>
    <row r="431" spans="2:7">
      <c r="B431" s="82" t="s">
        <v>336</v>
      </c>
      <c r="C431" s="39" t="s">
        <v>207</v>
      </c>
      <c r="G431" s="6"/>
    </row>
    <row r="432" spans="2:7">
      <c r="B432" s="82" t="s">
        <v>336</v>
      </c>
      <c r="C432" s="39" t="s">
        <v>217</v>
      </c>
      <c r="G432" s="6"/>
    </row>
    <row r="433" spans="2:7">
      <c r="B433" s="82"/>
      <c r="C433" s="39"/>
      <c r="G433" s="6"/>
    </row>
    <row r="434" spans="2:7">
      <c r="B434" s="18"/>
      <c r="C434" s="15" t="s">
        <v>337</v>
      </c>
      <c r="G434" s="6"/>
    </row>
    <row r="435" spans="2:7">
      <c r="B435" s="82" t="s">
        <v>381</v>
      </c>
      <c r="C435" s="39" t="s">
        <v>236</v>
      </c>
      <c r="G435" s="6"/>
    </row>
    <row r="436" spans="2:7">
      <c r="B436" s="18"/>
      <c r="G436" s="6"/>
    </row>
    <row r="437" spans="2:7">
      <c r="B437" s="18"/>
      <c r="C437" s="1" t="s">
        <v>23</v>
      </c>
      <c r="G437" s="6"/>
    </row>
    <row r="438" spans="2:7">
      <c r="B438" s="18"/>
      <c r="C438" s="66" t="s">
        <v>339</v>
      </c>
      <c r="G438" s="6"/>
    </row>
    <row r="439" spans="2:7" ht="13.5" thickBot="1">
      <c r="B439" s="19"/>
      <c r="C439" s="20"/>
      <c r="D439" s="20"/>
      <c r="E439" s="8"/>
      <c r="F439" s="20"/>
      <c r="G439" s="9"/>
    </row>
    <row r="441" spans="2:7" ht="13.5" thickBot="1"/>
    <row r="442" spans="2:7" ht="13.5" thickBot="1">
      <c r="B442" s="236">
        <v>44471</v>
      </c>
      <c r="C442" s="237"/>
      <c r="D442" s="237"/>
      <c r="E442" s="237"/>
      <c r="F442" s="237"/>
      <c r="G442" s="238"/>
    </row>
    <row r="443" spans="2:7" ht="13.5" thickBot="1">
      <c r="B443" s="18"/>
      <c r="G443" s="6"/>
    </row>
    <row r="444" spans="2:7">
      <c r="B444" s="18"/>
      <c r="C444" s="21" t="s">
        <v>27</v>
      </c>
      <c r="D444" s="16"/>
      <c r="E444" s="80" t="s">
        <v>95</v>
      </c>
      <c r="F444" s="4">
        <v>42</v>
      </c>
      <c r="G444" s="6"/>
    </row>
    <row r="445" spans="2:7" ht="13.5" thickBot="1">
      <c r="B445" s="18"/>
      <c r="C445" s="7"/>
      <c r="D445" s="20"/>
      <c r="E445" s="83" t="s">
        <v>1</v>
      </c>
      <c r="F445" s="22">
        <v>28</v>
      </c>
      <c r="G445" s="6"/>
    </row>
    <row r="446" spans="2:7" ht="13.5" thickBot="1">
      <c r="B446" s="18"/>
      <c r="G446" s="6"/>
    </row>
    <row r="447" spans="2:7">
      <c r="B447" s="18"/>
      <c r="C447" s="3" t="s">
        <v>4</v>
      </c>
      <c r="D447" s="16"/>
      <c r="E447" s="80" t="s">
        <v>95</v>
      </c>
      <c r="F447" s="17"/>
      <c r="G447" s="6"/>
    </row>
    <row r="448" spans="2:7">
      <c r="B448" s="18"/>
      <c r="C448" s="5" t="s">
        <v>2</v>
      </c>
      <c r="E448" s="39" t="s">
        <v>404</v>
      </c>
      <c r="F448" s="6"/>
      <c r="G448" s="6"/>
    </row>
    <row r="449" spans="2:7" ht="13.5" thickBot="1">
      <c r="B449" s="18"/>
      <c r="C449" s="7" t="s">
        <v>3</v>
      </c>
      <c r="D449" s="20"/>
      <c r="E449" s="81" t="s">
        <v>326</v>
      </c>
      <c r="F449" s="9"/>
      <c r="G449" s="6"/>
    </row>
    <row r="450" spans="2:7" ht="13.5" thickBot="1">
      <c r="B450" s="18"/>
      <c r="G450" s="6"/>
    </row>
    <row r="451" spans="2:7" ht="13.5" thickBot="1">
      <c r="B451" s="18"/>
      <c r="C451" s="23" t="s">
        <v>29</v>
      </c>
      <c r="D451" s="24"/>
      <c r="E451" s="87" t="s">
        <v>215</v>
      </c>
      <c r="F451" s="25"/>
      <c r="G451" s="6"/>
    </row>
    <row r="452" spans="2:7">
      <c r="B452" s="18"/>
      <c r="G452" s="6"/>
    </row>
    <row r="453" spans="2:7">
      <c r="B453" s="18"/>
      <c r="C453" t="s">
        <v>5</v>
      </c>
      <c r="G453" s="6"/>
    </row>
    <row r="454" spans="2:7">
      <c r="B454" s="18"/>
      <c r="G454" s="6"/>
    </row>
    <row r="455" spans="2:7">
      <c r="B455" s="5">
        <v>1</v>
      </c>
      <c r="C455" s="39" t="s">
        <v>6</v>
      </c>
      <c r="G455" s="6"/>
    </row>
    <row r="456" spans="2:7">
      <c r="B456" s="5">
        <v>2</v>
      </c>
      <c r="C456" s="39" t="s">
        <v>160</v>
      </c>
      <c r="G456" s="6"/>
    </row>
    <row r="457" spans="2:7">
      <c r="B457" s="5">
        <v>3</v>
      </c>
      <c r="C457" s="39" t="s">
        <v>35</v>
      </c>
      <c r="G457" s="6"/>
    </row>
    <row r="458" spans="2:7">
      <c r="B458" s="5">
        <v>4</v>
      </c>
      <c r="C458" s="39" t="s">
        <v>10</v>
      </c>
      <c r="G458" s="6"/>
    </row>
    <row r="459" spans="2:7">
      <c r="B459" s="5">
        <v>5</v>
      </c>
      <c r="C459" s="39" t="s">
        <v>207</v>
      </c>
      <c r="G459" s="6"/>
    </row>
    <row r="460" spans="2:7">
      <c r="B460" s="5">
        <v>6</v>
      </c>
      <c r="C460" s="39" t="s">
        <v>211</v>
      </c>
      <c r="G460" s="6"/>
    </row>
    <row r="461" spans="2:7">
      <c r="B461" s="5">
        <v>7</v>
      </c>
      <c r="C461" s="39" t="s">
        <v>231</v>
      </c>
      <c r="G461" s="6"/>
    </row>
    <row r="462" spans="2:7">
      <c r="B462" s="5">
        <v>8</v>
      </c>
      <c r="C462" s="39" t="s">
        <v>230</v>
      </c>
      <c r="G462" s="6"/>
    </row>
    <row r="463" spans="2:7">
      <c r="B463" s="5">
        <v>9</v>
      </c>
      <c r="C463" s="39" t="s">
        <v>361</v>
      </c>
      <c r="G463" s="6"/>
    </row>
    <row r="464" spans="2:7">
      <c r="B464" s="5">
        <v>10</v>
      </c>
      <c r="C464" s="39" t="s">
        <v>208</v>
      </c>
      <c r="G464" s="6"/>
    </row>
    <row r="465" spans="2:7">
      <c r="B465" s="5">
        <v>11</v>
      </c>
      <c r="C465" s="39" t="s">
        <v>247</v>
      </c>
      <c r="G465" s="6"/>
    </row>
    <row r="466" spans="2:7">
      <c r="B466" s="5">
        <v>12</v>
      </c>
      <c r="C466" s="39" t="s">
        <v>236</v>
      </c>
      <c r="G466" s="6"/>
    </row>
    <row r="467" spans="2:7">
      <c r="B467" s="5">
        <v>13</v>
      </c>
      <c r="C467" s="39" t="s">
        <v>142</v>
      </c>
      <c r="G467" s="6"/>
    </row>
    <row r="468" spans="2:7">
      <c r="B468" s="5">
        <v>14</v>
      </c>
      <c r="C468" s="39" t="s">
        <v>144</v>
      </c>
      <c r="G468" s="6"/>
    </row>
    <row r="469" spans="2:7">
      <c r="B469" s="5">
        <v>15</v>
      </c>
      <c r="C469" s="39" t="s">
        <v>234</v>
      </c>
      <c r="G469" s="6"/>
    </row>
    <row r="470" spans="2:7">
      <c r="B470" s="18"/>
      <c r="G470" s="6"/>
    </row>
    <row r="471" spans="2:7">
      <c r="B471" s="18"/>
      <c r="C471" s="39" t="s">
        <v>325</v>
      </c>
      <c r="G471" s="6"/>
    </row>
    <row r="472" spans="2:7">
      <c r="B472" s="18"/>
      <c r="C472" s="39" t="s">
        <v>374</v>
      </c>
      <c r="G472" s="6"/>
    </row>
    <row r="473" spans="2:7">
      <c r="B473" s="18"/>
      <c r="C473" s="39" t="s">
        <v>368</v>
      </c>
      <c r="G473" s="6"/>
    </row>
    <row r="474" spans="2:7">
      <c r="B474" s="18"/>
      <c r="C474" s="39" t="s">
        <v>366</v>
      </c>
      <c r="G474" s="6"/>
    </row>
    <row r="475" spans="2:7">
      <c r="B475" s="18"/>
      <c r="C475" s="39" t="s">
        <v>350</v>
      </c>
      <c r="G475" s="6"/>
    </row>
    <row r="476" spans="2:7">
      <c r="B476" s="18"/>
      <c r="C476" s="39" t="s">
        <v>1053</v>
      </c>
      <c r="G476" s="6"/>
    </row>
    <row r="477" spans="2:7">
      <c r="B477" s="18"/>
      <c r="C477" s="39"/>
      <c r="G477" s="6"/>
    </row>
    <row r="478" spans="2:7">
      <c r="B478" s="18"/>
      <c r="C478" s="2" t="s">
        <v>21</v>
      </c>
      <c r="G478" s="6"/>
    </row>
    <row r="479" spans="2:7">
      <c r="B479" s="82" t="s">
        <v>352</v>
      </c>
      <c r="C479" s="39" t="s">
        <v>230</v>
      </c>
      <c r="G479" s="6"/>
    </row>
    <row r="480" spans="2:7">
      <c r="B480" s="82" t="s">
        <v>336</v>
      </c>
      <c r="C480" s="39" t="s">
        <v>144</v>
      </c>
      <c r="G480" s="6"/>
    </row>
    <row r="481" spans="2:7">
      <c r="B481" s="82" t="s">
        <v>336</v>
      </c>
      <c r="C481" s="39" t="s">
        <v>207</v>
      </c>
      <c r="G481" s="6"/>
    </row>
    <row r="482" spans="2:7">
      <c r="B482" s="82"/>
      <c r="C482" s="39"/>
      <c r="G482" s="6"/>
    </row>
    <row r="483" spans="2:7">
      <c r="B483" s="18"/>
      <c r="C483" s="15" t="s">
        <v>337</v>
      </c>
      <c r="G483" s="6"/>
    </row>
    <row r="484" spans="2:7">
      <c r="B484" s="82" t="s">
        <v>338</v>
      </c>
      <c r="C484" s="39" t="s">
        <v>236</v>
      </c>
      <c r="G484" s="6"/>
    </row>
    <row r="485" spans="2:7">
      <c r="B485" s="18"/>
      <c r="G485" s="6"/>
    </row>
    <row r="486" spans="2:7">
      <c r="B486" s="18"/>
      <c r="C486" s="1" t="s">
        <v>23</v>
      </c>
      <c r="G486" s="6"/>
    </row>
    <row r="487" spans="2:7">
      <c r="B487" s="18"/>
      <c r="C487" s="66" t="s">
        <v>339</v>
      </c>
      <c r="G487" s="6"/>
    </row>
    <row r="488" spans="2:7" ht="13.5" thickBot="1">
      <c r="B488" s="19"/>
      <c r="C488" s="20"/>
      <c r="D488" s="20"/>
      <c r="E488" s="8"/>
      <c r="F488" s="20"/>
      <c r="G488" s="9"/>
    </row>
    <row r="489" spans="2:7">
      <c r="B489" s="121"/>
      <c r="C489" s="120"/>
      <c r="D489" s="16"/>
      <c r="E489" s="120"/>
      <c r="F489" s="16"/>
      <c r="G489" s="16"/>
    </row>
    <row r="490" spans="2:7" ht="13.5" thickBot="1">
      <c r="B490" s="153"/>
      <c r="C490" s="66"/>
    </row>
    <row r="491" spans="2:7" ht="13.5" thickBot="1">
      <c r="B491" s="236">
        <v>44485</v>
      </c>
      <c r="C491" s="237"/>
      <c r="D491" s="237"/>
      <c r="E491" s="237"/>
      <c r="F491" s="237"/>
      <c r="G491" s="238"/>
    </row>
    <row r="492" spans="2:7" ht="13.5" thickBot="1">
      <c r="B492" s="18"/>
      <c r="G492" s="6"/>
    </row>
    <row r="493" spans="2:7">
      <c r="B493" s="18"/>
      <c r="C493" s="21" t="s">
        <v>27</v>
      </c>
      <c r="D493" s="16"/>
      <c r="E493" s="80" t="s">
        <v>1</v>
      </c>
      <c r="F493" s="4">
        <v>33</v>
      </c>
      <c r="G493" s="6"/>
    </row>
    <row r="494" spans="2:7" ht="13.5" thickBot="1">
      <c r="B494" s="18"/>
      <c r="C494" s="7"/>
      <c r="D494" s="20"/>
      <c r="E494" s="83" t="s">
        <v>1054</v>
      </c>
      <c r="F494" s="22">
        <v>36</v>
      </c>
      <c r="G494" s="6"/>
    </row>
    <row r="495" spans="2:7" ht="13.5" thickBot="1">
      <c r="B495" s="18"/>
      <c r="G495" s="6"/>
    </row>
    <row r="496" spans="2:7">
      <c r="B496" s="18"/>
      <c r="C496" s="3" t="s">
        <v>4</v>
      </c>
      <c r="D496" s="16"/>
      <c r="E496" s="80" t="s">
        <v>1</v>
      </c>
      <c r="F496" s="17" t="s">
        <v>205</v>
      </c>
      <c r="G496" s="6"/>
    </row>
    <row r="497" spans="2:7">
      <c r="B497" s="18"/>
      <c r="C497" s="5" t="s">
        <v>2</v>
      </c>
      <c r="E497" s="39" t="s">
        <v>326</v>
      </c>
      <c r="F497" s="6"/>
      <c r="G497" s="6"/>
    </row>
    <row r="498" spans="2:7" ht="13.5" thickBot="1">
      <c r="B498" s="18"/>
      <c r="C498" s="7" t="s">
        <v>3</v>
      </c>
      <c r="D498" s="20"/>
      <c r="E498" s="81" t="s">
        <v>354</v>
      </c>
      <c r="F498" s="9"/>
      <c r="G498" s="6"/>
    </row>
    <row r="499" spans="2:7" ht="13.5" thickBot="1">
      <c r="B499" s="18"/>
      <c r="G499" s="6"/>
    </row>
    <row r="500" spans="2:7" ht="13.5" thickBot="1">
      <c r="B500" s="18"/>
      <c r="C500" s="23" t="s">
        <v>29</v>
      </c>
      <c r="D500" s="24"/>
      <c r="E500" s="87" t="s">
        <v>216</v>
      </c>
      <c r="F500" s="25"/>
      <c r="G500" s="6"/>
    </row>
    <row r="501" spans="2:7">
      <c r="B501" s="18"/>
      <c r="G501" s="6"/>
    </row>
    <row r="502" spans="2:7">
      <c r="B502" s="18"/>
      <c r="C502" t="s">
        <v>5</v>
      </c>
      <c r="G502" s="6"/>
    </row>
    <row r="503" spans="2:7">
      <c r="B503" s="18"/>
      <c r="G503" s="6"/>
    </row>
    <row r="504" spans="2:7">
      <c r="B504" s="5">
        <v>1</v>
      </c>
      <c r="C504" s="39" t="s">
        <v>6</v>
      </c>
      <c r="G504" s="6"/>
    </row>
    <row r="505" spans="2:7">
      <c r="B505" s="5">
        <v>2</v>
      </c>
      <c r="C505" s="39" t="s">
        <v>160</v>
      </c>
      <c r="G505" s="6"/>
    </row>
    <row r="506" spans="2:7">
      <c r="B506" s="5">
        <v>3</v>
      </c>
      <c r="C506" s="39" t="s">
        <v>35</v>
      </c>
      <c r="G506" s="6"/>
    </row>
    <row r="507" spans="2:7">
      <c r="B507" s="5">
        <v>4</v>
      </c>
      <c r="C507" s="39" t="s">
        <v>10</v>
      </c>
      <c r="G507" s="6"/>
    </row>
    <row r="508" spans="2:7">
      <c r="B508" s="5">
        <v>5</v>
      </c>
      <c r="C508" s="39" t="s">
        <v>207</v>
      </c>
      <c r="G508" s="6"/>
    </row>
    <row r="509" spans="2:7">
      <c r="B509" s="5">
        <v>6</v>
      </c>
      <c r="C509" s="39" t="s">
        <v>211</v>
      </c>
      <c r="G509" s="6"/>
    </row>
    <row r="510" spans="2:7">
      <c r="B510" s="5">
        <v>7</v>
      </c>
      <c r="C510" s="39" t="s">
        <v>33</v>
      </c>
      <c r="G510" s="6"/>
    </row>
    <row r="511" spans="2:7">
      <c r="B511" s="5">
        <v>8</v>
      </c>
      <c r="C511" s="39" t="s">
        <v>230</v>
      </c>
      <c r="G511" s="6"/>
    </row>
    <row r="512" spans="2:7">
      <c r="B512" s="5">
        <v>9</v>
      </c>
      <c r="C512" s="39" t="s">
        <v>361</v>
      </c>
      <c r="G512" s="6"/>
    </row>
    <row r="513" spans="2:26">
      <c r="B513" s="5">
        <v>10</v>
      </c>
      <c r="C513" s="39" t="s">
        <v>208</v>
      </c>
      <c r="G513" s="6"/>
    </row>
    <row r="514" spans="2:26">
      <c r="B514" s="5">
        <v>11</v>
      </c>
      <c r="C514" s="39" t="s">
        <v>16</v>
      </c>
      <c r="G514" s="6"/>
    </row>
    <row r="515" spans="2:26">
      <c r="B515" s="5">
        <v>12</v>
      </c>
      <c r="C515" s="39" t="s">
        <v>236</v>
      </c>
      <c r="G515" s="6"/>
      <c r="J515" s="1">
        <v>1</v>
      </c>
      <c r="K515" s="1">
        <v>2</v>
      </c>
      <c r="L515" s="1">
        <v>3</v>
      </c>
      <c r="M515" s="1">
        <v>4</v>
      </c>
      <c r="N515" s="1">
        <v>5</v>
      </c>
      <c r="O515" s="1">
        <v>6</v>
      </c>
      <c r="P515" s="1">
        <v>7</v>
      </c>
      <c r="Q515" s="1">
        <v>8</v>
      </c>
      <c r="R515" s="1">
        <v>9</v>
      </c>
      <c r="S515" s="1">
        <v>10</v>
      </c>
      <c r="T515" s="1">
        <v>11</v>
      </c>
      <c r="U515" s="1">
        <v>12</v>
      </c>
      <c r="V515" s="1">
        <v>13</v>
      </c>
      <c r="W515" s="1">
        <v>14</v>
      </c>
      <c r="X515" s="1">
        <v>15</v>
      </c>
      <c r="Y515" s="155" t="s">
        <v>44</v>
      </c>
      <c r="Z515" s="15" t="s">
        <v>1084</v>
      </c>
    </row>
    <row r="516" spans="2:26">
      <c r="B516" s="5">
        <v>13</v>
      </c>
      <c r="C516" s="39" t="s">
        <v>142</v>
      </c>
      <c r="G516" s="6"/>
      <c r="J516" s="155" t="s">
        <v>1077</v>
      </c>
      <c r="K516" s="155" t="s">
        <v>102</v>
      </c>
      <c r="L516" s="155" t="s">
        <v>261</v>
      </c>
      <c r="M516" s="155" t="s">
        <v>68</v>
      </c>
      <c r="N516" s="155" t="s">
        <v>1078</v>
      </c>
      <c r="O516" s="155" t="s">
        <v>1079</v>
      </c>
      <c r="P516" s="155" t="s">
        <v>170</v>
      </c>
      <c r="Q516" s="155" t="s">
        <v>47</v>
      </c>
      <c r="R516" s="155" t="s">
        <v>95</v>
      </c>
      <c r="S516" s="155" t="s">
        <v>1080</v>
      </c>
      <c r="T516" s="155" t="s">
        <v>1081</v>
      </c>
      <c r="U516" s="155" t="s">
        <v>49</v>
      </c>
      <c r="V516" s="155" t="s">
        <v>58</v>
      </c>
      <c r="W516" s="155" t="s">
        <v>170</v>
      </c>
      <c r="X516" s="155" t="s">
        <v>95</v>
      </c>
    </row>
    <row r="517" spans="2:26">
      <c r="B517" s="5">
        <v>14</v>
      </c>
      <c r="C517" s="39" t="s">
        <v>144</v>
      </c>
      <c r="G517" s="6"/>
      <c r="I517" s="39" t="s">
        <v>1075</v>
      </c>
      <c r="J517" s="1">
        <v>41</v>
      </c>
      <c r="K517" s="1">
        <v>41</v>
      </c>
      <c r="L517" s="1">
        <v>48</v>
      </c>
      <c r="M517" s="1">
        <v>38</v>
      </c>
      <c r="N517" s="1">
        <v>57</v>
      </c>
      <c r="O517" s="1">
        <v>31</v>
      </c>
      <c r="P517" s="1">
        <v>28</v>
      </c>
      <c r="Q517" s="1">
        <v>73</v>
      </c>
      <c r="R517" s="1">
        <v>28</v>
      </c>
      <c r="S517" s="1">
        <v>33</v>
      </c>
      <c r="T517" s="1">
        <v>36</v>
      </c>
      <c r="U517" s="1">
        <v>43</v>
      </c>
      <c r="V517" s="1">
        <v>49</v>
      </c>
      <c r="W517" s="1">
        <v>34</v>
      </c>
      <c r="X517" s="1">
        <v>29</v>
      </c>
      <c r="Y517" s="1">
        <f>SUM(J517:X517)</f>
        <v>609</v>
      </c>
      <c r="Z517" s="1">
        <f>SUM(J517:X517)/15</f>
        <v>40.6</v>
      </c>
    </row>
    <row r="518" spans="2:26">
      <c r="B518" s="5">
        <v>15</v>
      </c>
      <c r="C518" s="39" t="s">
        <v>234</v>
      </c>
      <c r="G518" s="6"/>
      <c r="I518" s="39" t="s">
        <v>1076</v>
      </c>
      <c r="J518" s="1">
        <v>10</v>
      </c>
      <c r="K518" s="1">
        <v>15</v>
      </c>
      <c r="L518" s="1">
        <v>10</v>
      </c>
      <c r="M518" s="1">
        <v>10</v>
      </c>
      <c r="N518" s="1">
        <v>22</v>
      </c>
      <c r="O518" s="1">
        <v>28</v>
      </c>
      <c r="P518" s="1">
        <v>23</v>
      </c>
      <c r="Q518" s="1">
        <v>5</v>
      </c>
      <c r="R518" s="1">
        <v>42</v>
      </c>
      <c r="S518" s="1">
        <v>36</v>
      </c>
      <c r="T518" s="1">
        <v>14</v>
      </c>
      <c r="U518" s="1">
        <v>13</v>
      </c>
      <c r="V518" s="1">
        <v>7</v>
      </c>
      <c r="W518" s="1">
        <v>15</v>
      </c>
      <c r="X518" s="1">
        <v>26</v>
      </c>
      <c r="Y518" s="1">
        <f>SUM(J518:X518)</f>
        <v>276</v>
      </c>
      <c r="Z518" s="1">
        <f>SUM(J518:X518)/15</f>
        <v>18.399999999999999</v>
      </c>
    </row>
    <row r="519" spans="2:26">
      <c r="B519" s="18"/>
      <c r="G519" s="6"/>
      <c r="Y519" s="1"/>
      <c r="Z519" s="1"/>
    </row>
    <row r="520" spans="2:26">
      <c r="B520" s="18"/>
      <c r="C520" s="39" t="s">
        <v>325</v>
      </c>
      <c r="G520" s="6"/>
      <c r="I520" s="39" t="s">
        <v>1082</v>
      </c>
      <c r="J520" s="1">
        <v>6</v>
      </c>
      <c r="K520" s="1">
        <v>5</v>
      </c>
      <c r="L520" s="1">
        <v>7</v>
      </c>
      <c r="M520" s="1">
        <v>5</v>
      </c>
      <c r="N520" s="1">
        <v>8</v>
      </c>
      <c r="O520" s="1">
        <v>4</v>
      </c>
      <c r="P520" s="1">
        <v>4</v>
      </c>
      <c r="Q520" s="1">
        <v>11</v>
      </c>
      <c r="R520" s="1">
        <v>4</v>
      </c>
      <c r="S520" s="1">
        <v>5</v>
      </c>
      <c r="T520" s="1">
        <v>6</v>
      </c>
      <c r="U520" s="1">
        <v>7</v>
      </c>
      <c r="V520" s="1">
        <v>7</v>
      </c>
      <c r="W520" s="1">
        <v>5</v>
      </c>
      <c r="X520" s="1">
        <v>4</v>
      </c>
      <c r="Y520" s="1">
        <f>SUM(J520:X520)</f>
        <v>88</v>
      </c>
      <c r="Z520" s="1">
        <f>+Y520/15</f>
        <v>5.8666666666666663</v>
      </c>
    </row>
    <row r="521" spans="2:26">
      <c r="B521" s="18"/>
      <c r="C521" s="39" t="s">
        <v>1055</v>
      </c>
      <c r="G521" s="6"/>
      <c r="I521" s="39" t="s">
        <v>1083</v>
      </c>
      <c r="J521" s="1">
        <v>1</v>
      </c>
      <c r="K521" s="1">
        <v>2</v>
      </c>
      <c r="L521" s="1">
        <v>2</v>
      </c>
      <c r="M521" s="1">
        <v>1</v>
      </c>
      <c r="N521" s="1">
        <v>4</v>
      </c>
      <c r="O521" s="1">
        <v>3</v>
      </c>
      <c r="P521" s="1">
        <v>3</v>
      </c>
      <c r="Q521" s="1">
        <v>1</v>
      </c>
      <c r="R521" s="1">
        <v>6</v>
      </c>
      <c r="S521" s="1">
        <v>5</v>
      </c>
      <c r="T521" s="1">
        <v>2</v>
      </c>
      <c r="U521" s="1">
        <v>1</v>
      </c>
      <c r="V521" s="1">
        <v>1</v>
      </c>
      <c r="W521" s="1">
        <v>2</v>
      </c>
      <c r="X521" s="1">
        <v>4</v>
      </c>
      <c r="Y521" s="1">
        <f>SUM(J521:X521)</f>
        <v>38</v>
      </c>
      <c r="Z521" s="1">
        <f>+Y521/15</f>
        <v>2.5333333333333332</v>
      </c>
    </row>
    <row r="522" spans="2:26">
      <c r="B522" s="18"/>
      <c r="C522" s="39" t="s">
        <v>1056</v>
      </c>
      <c r="G522" s="6"/>
    </row>
    <row r="523" spans="2:26">
      <c r="B523" s="18"/>
      <c r="C523" s="39" t="s">
        <v>366</v>
      </c>
      <c r="G523" s="6"/>
    </row>
    <row r="524" spans="2:26">
      <c r="B524" s="18"/>
      <c r="C524" s="39" t="s">
        <v>350</v>
      </c>
      <c r="G524" s="6"/>
    </row>
    <row r="525" spans="2:26">
      <c r="B525" s="18"/>
      <c r="C525" s="39" t="s">
        <v>1057</v>
      </c>
      <c r="G525" s="6"/>
    </row>
    <row r="526" spans="2:26">
      <c r="B526" s="18"/>
      <c r="C526" s="39" t="s">
        <v>1058</v>
      </c>
      <c r="G526" s="6"/>
    </row>
    <row r="527" spans="2:26">
      <c r="B527" s="18"/>
      <c r="C527" s="39" t="s">
        <v>1059</v>
      </c>
      <c r="G527" s="6"/>
    </row>
    <row r="528" spans="2:26">
      <c r="B528" s="18"/>
      <c r="C528" s="39"/>
      <c r="G528" s="6"/>
    </row>
    <row r="529" spans="2:7">
      <c r="B529" s="18"/>
      <c r="C529" s="2" t="s">
        <v>21</v>
      </c>
      <c r="G529" s="6"/>
    </row>
    <row r="530" spans="2:7">
      <c r="B530" s="82" t="s">
        <v>352</v>
      </c>
      <c r="C530" s="39" t="s">
        <v>35</v>
      </c>
      <c r="G530" s="6"/>
    </row>
    <row r="531" spans="2:7">
      <c r="B531" s="82" t="s">
        <v>336</v>
      </c>
      <c r="C531" s="39" t="s">
        <v>160</v>
      </c>
      <c r="G531" s="6"/>
    </row>
    <row r="532" spans="2:7">
      <c r="B532" s="82" t="s">
        <v>336</v>
      </c>
      <c r="C532" s="39" t="s">
        <v>211</v>
      </c>
      <c r="G532" s="6"/>
    </row>
    <row r="533" spans="2:7">
      <c r="B533" s="82" t="s">
        <v>336</v>
      </c>
      <c r="C533" s="39" t="s">
        <v>234</v>
      </c>
      <c r="G533" s="6"/>
    </row>
    <row r="534" spans="2:7">
      <c r="B534" s="82"/>
      <c r="C534" s="39"/>
      <c r="G534" s="6"/>
    </row>
    <row r="535" spans="2:7">
      <c r="B535" s="18"/>
      <c r="C535" s="15" t="s">
        <v>337</v>
      </c>
      <c r="G535" s="6"/>
    </row>
    <row r="536" spans="2:7">
      <c r="B536" s="82" t="s">
        <v>338</v>
      </c>
      <c r="C536" s="39" t="s">
        <v>236</v>
      </c>
      <c r="G536" s="6"/>
    </row>
    <row r="537" spans="2:7">
      <c r="B537" s="18"/>
      <c r="G537" s="6"/>
    </row>
    <row r="538" spans="2:7">
      <c r="B538" s="18"/>
      <c r="C538" s="1" t="s">
        <v>23</v>
      </c>
      <c r="G538" s="6"/>
    </row>
    <row r="539" spans="2:7">
      <c r="B539" s="18" t="s">
        <v>336</v>
      </c>
      <c r="C539" s="154" t="s">
        <v>33</v>
      </c>
      <c r="G539" s="6"/>
    </row>
    <row r="540" spans="2:7">
      <c r="B540" s="18" t="s">
        <v>336</v>
      </c>
      <c r="C540" s="154" t="s">
        <v>234</v>
      </c>
      <c r="G540" s="6"/>
    </row>
    <row r="541" spans="2:7">
      <c r="B541" s="18" t="s">
        <v>336</v>
      </c>
      <c r="C541" s="154" t="s">
        <v>230</v>
      </c>
      <c r="G541" s="6"/>
    </row>
    <row r="542" spans="2:7">
      <c r="B542" s="18" t="s">
        <v>336</v>
      </c>
      <c r="C542" s="66" t="s">
        <v>35</v>
      </c>
      <c r="G542" s="6"/>
    </row>
    <row r="543" spans="2:7" ht="13.5" thickBot="1">
      <c r="B543" s="19"/>
      <c r="C543" s="20"/>
      <c r="D543" s="20"/>
      <c r="E543" s="8"/>
      <c r="F543" s="20"/>
      <c r="G543" s="9"/>
    </row>
    <row r="545" spans="2:7" ht="13.5" thickBot="1"/>
    <row r="546" spans="2:7" ht="13.5" thickBot="1">
      <c r="B546" s="236">
        <v>44492</v>
      </c>
      <c r="C546" s="237"/>
      <c r="D546" s="237"/>
      <c r="E546" s="237"/>
      <c r="F546" s="237"/>
      <c r="G546" s="238"/>
    </row>
    <row r="547" spans="2:7" ht="13.5" thickBot="1">
      <c r="B547" s="18"/>
      <c r="G547" s="6"/>
    </row>
    <row r="548" spans="2:7">
      <c r="B548" s="18"/>
      <c r="C548" s="21" t="s">
        <v>27</v>
      </c>
      <c r="D548" s="16"/>
      <c r="E548" s="80" t="s">
        <v>184</v>
      </c>
      <c r="F548" s="4">
        <v>14</v>
      </c>
      <c r="G548" s="6"/>
    </row>
    <row r="549" spans="2:7" ht="13.5" thickBot="1">
      <c r="B549" s="18"/>
      <c r="C549" s="7"/>
      <c r="D549" s="20"/>
      <c r="E549" s="83" t="s">
        <v>1</v>
      </c>
      <c r="F549" s="22">
        <v>36</v>
      </c>
      <c r="G549" s="6"/>
    </row>
    <row r="550" spans="2:7" ht="13.5" thickBot="1">
      <c r="B550" s="18"/>
      <c r="G550" s="6"/>
    </row>
    <row r="551" spans="2:7">
      <c r="B551" s="18"/>
      <c r="C551" s="3" t="s">
        <v>4</v>
      </c>
      <c r="D551" s="16"/>
      <c r="E551" s="80" t="s">
        <v>184</v>
      </c>
      <c r="F551" s="17"/>
      <c r="G551" s="6"/>
    </row>
    <row r="552" spans="2:7">
      <c r="B552" s="18"/>
      <c r="C552" s="5" t="s">
        <v>2</v>
      </c>
      <c r="E552" s="39" t="s">
        <v>326</v>
      </c>
      <c r="F552" s="6"/>
      <c r="G552" s="6"/>
    </row>
    <row r="553" spans="2:7" ht="13.5" thickBot="1">
      <c r="B553" s="18"/>
      <c r="C553" s="7" t="s">
        <v>3</v>
      </c>
      <c r="D553" s="20"/>
      <c r="E553" s="81" t="s">
        <v>354</v>
      </c>
      <c r="F553" s="9"/>
      <c r="G553" s="6"/>
    </row>
    <row r="554" spans="2:7" ht="13.5" thickBot="1">
      <c r="B554" s="18"/>
      <c r="G554" s="6"/>
    </row>
    <row r="555" spans="2:7" ht="13.5" thickBot="1">
      <c r="B555" s="18"/>
      <c r="C555" s="23" t="s">
        <v>29</v>
      </c>
      <c r="D555" s="24"/>
      <c r="E555" s="87" t="s">
        <v>317</v>
      </c>
      <c r="F555" s="25"/>
      <c r="G555" s="6"/>
    </row>
    <row r="556" spans="2:7">
      <c r="B556" s="18"/>
      <c r="G556" s="6"/>
    </row>
    <row r="557" spans="2:7">
      <c r="B557" s="18"/>
      <c r="C557" t="s">
        <v>5</v>
      </c>
      <c r="G557" s="6"/>
    </row>
    <row r="558" spans="2:7">
      <c r="B558" s="18"/>
      <c r="G558" s="6"/>
    </row>
    <row r="559" spans="2:7">
      <c r="B559" s="5">
        <v>1</v>
      </c>
      <c r="C559" s="39" t="s">
        <v>6</v>
      </c>
      <c r="G559" s="6"/>
    </row>
    <row r="560" spans="2:7">
      <c r="B560" s="5">
        <v>2</v>
      </c>
      <c r="C560" s="39" t="s">
        <v>160</v>
      </c>
      <c r="G560" s="6"/>
    </row>
    <row r="561" spans="2:7">
      <c r="B561" s="5">
        <v>3</v>
      </c>
      <c r="C561" s="39" t="s">
        <v>35</v>
      </c>
      <c r="G561" s="6"/>
    </row>
    <row r="562" spans="2:7">
      <c r="B562" s="5">
        <v>4</v>
      </c>
      <c r="C562" s="39" t="s">
        <v>10</v>
      </c>
      <c r="G562" s="6"/>
    </row>
    <row r="563" spans="2:7">
      <c r="B563" s="5">
        <v>5</v>
      </c>
      <c r="C563" s="39" t="s">
        <v>207</v>
      </c>
      <c r="G563" s="6"/>
    </row>
    <row r="564" spans="2:7">
      <c r="B564" s="5">
        <v>6</v>
      </c>
      <c r="C564" s="39" t="s">
        <v>211</v>
      </c>
      <c r="G564" s="6"/>
    </row>
    <row r="565" spans="2:7">
      <c r="B565" s="5">
        <v>7</v>
      </c>
      <c r="C565" s="39" t="s">
        <v>33</v>
      </c>
      <c r="G565" s="6"/>
    </row>
    <row r="566" spans="2:7">
      <c r="B566" s="5">
        <v>8</v>
      </c>
      <c r="C566" s="39" t="s">
        <v>230</v>
      </c>
      <c r="G566" s="6"/>
    </row>
    <row r="567" spans="2:7">
      <c r="B567" s="5">
        <v>9</v>
      </c>
      <c r="C567" s="39" t="s">
        <v>217</v>
      </c>
      <c r="G567" s="6"/>
    </row>
    <row r="568" spans="2:7">
      <c r="B568" s="5">
        <v>10</v>
      </c>
      <c r="C568" s="39" t="s">
        <v>208</v>
      </c>
      <c r="G568" s="6"/>
    </row>
    <row r="569" spans="2:7">
      <c r="B569" s="5">
        <v>11</v>
      </c>
      <c r="C569" s="39" t="s">
        <v>247</v>
      </c>
      <c r="G569" s="6"/>
    </row>
    <row r="570" spans="2:7">
      <c r="B570" s="5">
        <v>12</v>
      </c>
      <c r="C570" s="39" t="s">
        <v>236</v>
      </c>
      <c r="G570" s="6"/>
    </row>
    <row r="571" spans="2:7">
      <c r="B571" s="5">
        <v>13</v>
      </c>
      <c r="C571" s="39" t="s">
        <v>142</v>
      </c>
      <c r="G571" s="6"/>
    </row>
    <row r="572" spans="2:7">
      <c r="B572" s="5">
        <v>14</v>
      </c>
      <c r="C572" s="39" t="s">
        <v>959</v>
      </c>
      <c r="G572" s="6"/>
    </row>
    <row r="573" spans="2:7">
      <c r="B573" s="5">
        <v>15</v>
      </c>
      <c r="C573" s="39" t="s">
        <v>234</v>
      </c>
      <c r="G573" s="6"/>
    </row>
    <row r="574" spans="2:7">
      <c r="B574" s="18"/>
      <c r="G574" s="6"/>
    </row>
    <row r="575" spans="2:7">
      <c r="B575" s="18"/>
      <c r="C575" s="39" t="s">
        <v>325</v>
      </c>
      <c r="G575" s="6"/>
    </row>
    <row r="576" spans="2:7">
      <c r="B576" s="18"/>
      <c r="C576" s="39" t="s">
        <v>374</v>
      </c>
      <c r="G576" s="6"/>
    </row>
    <row r="577" spans="2:7">
      <c r="B577" s="18"/>
      <c r="C577" s="39" t="s">
        <v>368</v>
      </c>
      <c r="G577" s="6"/>
    </row>
    <row r="578" spans="2:7">
      <c r="B578" s="18"/>
      <c r="C578" s="39" t="s">
        <v>366</v>
      </c>
      <c r="G578" s="6"/>
    </row>
    <row r="579" spans="2:7">
      <c r="B579" s="18"/>
      <c r="C579" s="39" t="s">
        <v>1085</v>
      </c>
      <c r="G579" s="6"/>
    </row>
    <row r="580" spans="2:7">
      <c r="B580" s="18"/>
      <c r="C580" s="39" t="s">
        <v>1086</v>
      </c>
      <c r="G580" s="6"/>
    </row>
    <row r="581" spans="2:7">
      <c r="B581" s="18"/>
      <c r="C581" s="39" t="s">
        <v>1087</v>
      </c>
      <c r="G581" s="6"/>
    </row>
    <row r="582" spans="2:7">
      <c r="B582" s="18"/>
      <c r="C582" s="39"/>
      <c r="G582" s="6"/>
    </row>
    <row r="583" spans="2:7">
      <c r="B583" s="18"/>
      <c r="C583" s="2" t="s">
        <v>21</v>
      </c>
      <c r="G583" s="6"/>
    </row>
    <row r="584" spans="2:7">
      <c r="B584" s="82" t="s">
        <v>352</v>
      </c>
      <c r="C584" s="39" t="s">
        <v>144</v>
      </c>
      <c r="G584" s="6"/>
    </row>
    <row r="585" spans="2:7">
      <c r="B585" s="82" t="s">
        <v>336</v>
      </c>
      <c r="C585" s="39" t="s">
        <v>208</v>
      </c>
      <c r="G585" s="6"/>
    </row>
    <row r="586" spans="2:7">
      <c r="B586" s="82" t="s">
        <v>336</v>
      </c>
      <c r="C586" s="39" t="s">
        <v>211</v>
      </c>
      <c r="G586" s="6"/>
    </row>
    <row r="587" spans="2:7">
      <c r="B587" s="82" t="s">
        <v>336</v>
      </c>
      <c r="C587" s="39" t="s">
        <v>230</v>
      </c>
      <c r="G587" s="6"/>
    </row>
    <row r="588" spans="2:7">
      <c r="B588" s="82" t="s">
        <v>336</v>
      </c>
      <c r="C588" s="39" t="s">
        <v>160</v>
      </c>
      <c r="G588" s="6"/>
    </row>
    <row r="589" spans="2:7">
      <c r="B589" s="82"/>
      <c r="C589" s="39"/>
      <c r="G589" s="6"/>
    </row>
    <row r="590" spans="2:7">
      <c r="B590" s="18"/>
      <c r="C590" s="15" t="s">
        <v>337</v>
      </c>
      <c r="G590" s="6"/>
    </row>
    <row r="591" spans="2:7">
      <c r="B591" s="82" t="s">
        <v>335</v>
      </c>
      <c r="C591" s="39" t="s">
        <v>236</v>
      </c>
      <c r="G591" s="6"/>
    </row>
    <row r="592" spans="2:7">
      <c r="B592" s="18"/>
      <c r="G592" s="6"/>
    </row>
    <row r="593" spans="2:7">
      <c r="B593" s="18"/>
      <c r="C593" s="1" t="s">
        <v>23</v>
      </c>
      <c r="G593" s="6"/>
    </row>
    <row r="594" spans="2:7">
      <c r="B594" s="18"/>
      <c r="C594" s="66" t="s">
        <v>339</v>
      </c>
      <c r="G594" s="6"/>
    </row>
    <row r="595" spans="2:7" ht="13.5" thickBot="1">
      <c r="B595" s="19"/>
      <c r="C595" s="20"/>
      <c r="D595" s="20"/>
      <c r="E595" s="8"/>
      <c r="F595" s="20"/>
      <c r="G595" s="9"/>
    </row>
    <row r="597" spans="2:7" ht="13.5" thickBot="1"/>
    <row r="598" spans="2:7" ht="13.5" thickBot="1">
      <c r="B598" s="236">
        <v>44499</v>
      </c>
      <c r="C598" s="237"/>
      <c r="D598" s="237"/>
      <c r="E598" s="237"/>
      <c r="F598" s="237"/>
      <c r="G598" s="238"/>
    </row>
    <row r="599" spans="2:7" ht="13.5" thickBot="1">
      <c r="B599" s="18"/>
      <c r="G599" s="6"/>
    </row>
    <row r="600" spans="2:7">
      <c r="B600" s="18"/>
      <c r="C600" s="21" t="s">
        <v>27</v>
      </c>
      <c r="D600" s="16"/>
      <c r="E600" s="80" t="s">
        <v>1</v>
      </c>
      <c r="F600" s="4">
        <v>43</v>
      </c>
      <c r="G600" s="6"/>
    </row>
    <row r="601" spans="2:7" ht="13.5" thickBot="1">
      <c r="B601" s="18"/>
      <c r="C601" s="7"/>
      <c r="D601" s="20"/>
      <c r="E601" s="83" t="s">
        <v>49</v>
      </c>
      <c r="F601" s="22">
        <v>13</v>
      </c>
      <c r="G601" s="6"/>
    </row>
    <row r="602" spans="2:7" ht="13.5" thickBot="1">
      <c r="B602" s="18"/>
      <c r="G602" s="6"/>
    </row>
    <row r="603" spans="2:7">
      <c r="B603" s="18"/>
      <c r="C603" s="3" t="s">
        <v>4</v>
      </c>
      <c r="D603" s="16"/>
      <c r="E603" s="80" t="s">
        <v>1</v>
      </c>
      <c r="F603" s="84" t="s">
        <v>205</v>
      </c>
      <c r="G603" s="6"/>
    </row>
    <row r="604" spans="2:7">
      <c r="B604" s="18"/>
      <c r="C604" s="5" t="s">
        <v>2</v>
      </c>
      <c r="E604" s="39" t="s">
        <v>326</v>
      </c>
      <c r="F604" s="6"/>
      <c r="G604" s="6"/>
    </row>
    <row r="605" spans="2:7" ht="13.5" thickBot="1">
      <c r="B605" s="18"/>
      <c r="C605" s="7" t="s">
        <v>3</v>
      </c>
      <c r="D605" s="20"/>
      <c r="E605" s="81" t="s">
        <v>354</v>
      </c>
      <c r="F605" s="9"/>
      <c r="G605" s="6"/>
    </row>
    <row r="606" spans="2:7" ht="13.5" thickBot="1">
      <c r="B606" s="18"/>
      <c r="G606" s="6"/>
    </row>
    <row r="607" spans="2:7" ht="13.5" thickBot="1">
      <c r="B607" s="18"/>
      <c r="C607" s="23" t="s">
        <v>29</v>
      </c>
      <c r="D607" s="24"/>
      <c r="E607" s="87" t="s">
        <v>1088</v>
      </c>
      <c r="F607" s="25"/>
      <c r="G607" s="6"/>
    </row>
    <row r="608" spans="2:7">
      <c r="B608" s="18"/>
      <c r="G608" s="6"/>
    </row>
    <row r="609" spans="2:7">
      <c r="B609" s="18"/>
      <c r="C609" t="s">
        <v>5</v>
      </c>
      <c r="G609" s="6"/>
    </row>
    <row r="610" spans="2:7">
      <c r="B610" s="18"/>
      <c r="G610" s="6"/>
    </row>
    <row r="611" spans="2:7">
      <c r="B611" s="5">
        <v>1</v>
      </c>
      <c r="C611" s="39" t="s">
        <v>6</v>
      </c>
      <c r="G611" s="6"/>
    </row>
    <row r="612" spans="2:7">
      <c r="B612" s="5">
        <v>2</v>
      </c>
      <c r="C612" s="39" t="s">
        <v>160</v>
      </c>
      <c r="G612" s="6"/>
    </row>
    <row r="613" spans="2:7">
      <c r="B613" s="5">
        <v>3</v>
      </c>
      <c r="C613" s="39" t="s">
        <v>35</v>
      </c>
      <c r="G613" s="6"/>
    </row>
    <row r="614" spans="2:7">
      <c r="B614" s="5">
        <v>4</v>
      </c>
      <c r="C614" s="39" t="s">
        <v>10</v>
      </c>
      <c r="G614" s="6"/>
    </row>
    <row r="615" spans="2:7">
      <c r="B615" s="5">
        <v>5</v>
      </c>
      <c r="C615" s="39" t="s">
        <v>207</v>
      </c>
      <c r="G615" s="6"/>
    </row>
    <row r="616" spans="2:7">
      <c r="B616" s="5">
        <v>6</v>
      </c>
      <c r="C616" s="39" t="s">
        <v>146</v>
      </c>
      <c r="G616" s="6"/>
    </row>
    <row r="617" spans="2:7">
      <c r="B617" s="5">
        <v>7</v>
      </c>
      <c r="C617" s="39" t="s">
        <v>33</v>
      </c>
      <c r="G617" s="6"/>
    </row>
    <row r="618" spans="2:7">
      <c r="B618" s="5">
        <v>8</v>
      </c>
      <c r="C618" s="39" t="s">
        <v>230</v>
      </c>
      <c r="G618" s="6"/>
    </row>
    <row r="619" spans="2:7">
      <c r="B619" s="5">
        <v>9</v>
      </c>
      <c r="C619" s="39" t="s">
        <v>217</v>
      </c>
      <c r="G619" s="6"/>
    </row>
    <row r="620" spans="2:7">
      <c r="B620" s="5">
        <v>10</v>
      </c>
      <c r="C620" s="39" t="s">
        <v>208</v>
      </c>
      <c r="G620" s="6"/>
    </row>
    <row r="621" spans="2:7">
      <c r="B621" s="5">
        <v>11</v>
      </c>
      <c r="C621" s="39" t="s">
        <v>247</v>
      </c>
      <c r="G621" s="6"/>
    </row>
    <row r="622" spans="2:7">
      <c r="B622" s="5">
        <v>12</v>
      </c>
      <c r="C622" s="39" t="s">
        <v>236</v>
      </c>
      <c r="G622" s="6"/>
    </row>
    <row r="623" spans="2:7">
      <c r="B623" s="5">
        <v>13</v>
      </c>
      <c r="C623" s="39" t="s">
        <v>142</v>
      </c>
      <c r="G623" s="6"/>
    </row>
    <row r="624" spans="2:7">
      <c r="B624" s="5">
        <v>14</v>
      </c>
      <c r="C624" s="39" t="s">
        <v>959</v>
      </c>
      <c r="G624" s="6"/>
    </row>
    <row r="625" spans="2:13">
      <c r="B625" s="5">
        <v>15</v>
      </c>
      <c r="C625" s="39" t="s">
        <v>234</v>
      </c>
      <c r="G625" s="6"/>
    </row>
    <row r="626" spans="2:13">
      <c r="B626" s="18"/>
      <c r="G626" s="6"/>
    </row>
    <row r="627" spans="2:13">
      <c r="B627" s="18"/>
      <c r="C627" s="39" t="s">
        <v>325</v>
      </c>
      <c r="G627" s="6"/>
    </row>
    <row r="628" spans="2:13">
      <c r="B628" s="18"/>
      <c r="C628" s="39" t="s">
        <v>1055</v>
      </c>
      <c r="G628" s="6"/>
    </row>
    <row r="629" spans="2:13">
      <c r="B629" s="18"/>
      <c r="C629" s="39" t="s">
        <v>368</v>
      </c>
      <c r="G629" s="6"/>
      <c r="K629" t="s">
        <v>1119</v>
      </c>
      <c r="M629">
        <v>2</v>
      </c>
    </row>
    <row r="630" spans="2:13">
      <c r="B630" s="18"/>
      <c r="C630" s="39" t="s">
        <v>1089</v>
      </c>
      <c r="G630" s="6"/>
      <c r="K630" t="s">
        <v>1120</v>
      </c>
      <c r="M630">
        <v>2</v>
      </c>
    </row>
    <row r="631" spans="2:13">
      <c r="B631" s="18"/>
      <c r="C631" s="39" t="s">
        <v>1090</v>
      </c>
      <c r="G631" s="6"/>
      <c r="K631" t="s">
        <v>1121</v>
      </c>
      <c r="M631">
        <v>1</v>
      </c>
    </row>
    <row r="632" spans="2:13">
      <c r="B632" s="18"/>
      <c r="C632" s="39" t="s">
        <v>1091</v>
      </c>
      <c r="G632" s="6"/>
      <c r="K632" t="s">
        <v>1122</v>
      </c>
      <c r="M632">
        <v>1</v>
      </c>
    </row>
    <row r="633" spans="2:13">
      <c r="B633" s="18"/>
      <c r="C633" s="39" t="s">
        <v>1092</v>
      </c>
      <c r="G633" s="6"/>
      <c r="K633" t="s">
        <v>1123</v>
      </c>
      <c r="M633">
        <v>1</v>
      </c>
    </row>
    <row r="634" spans="2:13">
      <c r="B634" s="18"/>
      <c r="C634" s="39" t="s">
        <v>1093</v>
      </c>
      <c r="G634" s="6"/>
      <c r="K634" t="s">
        <v>1124</v>
      </c>
      <c r="M634">
        <v>1</v>
      </c>
    </row>
    <row r="635" spans="2:13">
      <c r="B635" s="18"/>
      <c r="C635" s="39" t="s">
        <v>1094</v>
      </c>
      <c r="G635" s="6"/>
      <c r="K635" t="s">
        <v>1125</v>
      </c>
      <c r="M635">
        <v>1</v>
      </c>
    </row>
    <row r="636" spans="2:13">
      <c r="B636" s="18"/>
      <c r="C636" s="39"/>
      <c r="G636" s="6"/>
      <c r="K636" t="s">
        <v>1126</v>
      </c>
      <c r="M636">
        <v>1</v>
      </c>
    </row>
    <row r="637" spans="2:13">
      <c r="B637" s="18"/>
      <c r="C637" s="2" t="s">
        <v>21</v>
      </c>
      <c r="G637" s="6"/>
      <c r="K637" t="s">
        <v>1127</v>
      </c>
      <c r="M637">
        <v>1</v>
      </c>
    </row>
    <row r="638" spans="2:13">
      <c r="B638" s="82" t="s">
        <v>352</v>
      </c>
      <c r="C638" s="39" t="s">
        <v>1095</v>
      </c>
      <c r="G638" s="6"/>
      <c r="K638" t="s">
        <v>1128</v>
      </c>
      <c r="M638">
        <v>1</v>
      </c>
    </row>
    <row r="639" spans="2:13">
      <c r="B639" s="82" t="s">
        <v>352</v>
      </c>
      <c r="C639" s="39" t="s">
        <v>1096</v>
      </c>
      <c r="G639" s="6"/>
      <c r="K639" t="s">
        <v>1129</v>
      </c>
      <c r="M639">
        <v>1</v>
      </c>
    </row>
    <row r="640" spans="2:13">
      <c r="B640" s="82" t="s">
        <v>336</v>
      </c>
      <c r="C640" s="39" t="s">
        <v>144</v>
      </c>
      <c r="G640" s="6"/>
      <c r="M640">
        <f>SUM(M629:M639)</f>
        <v>13</v>
      </c>
    </row>
    <row r="641" spans="2:7">
      <c r="B641" s="82" t="s">
        <v>336</v>
      </c>
      <c r="C641" s="39" t="s">
        <v>1097</v>
      </c>
      <c r="G641" s="6"/>
    </row>
    <row r="642" spans="2:7">
      <c r="B642" s="82" t="s">
        <v>336</v>
      </c>
      <c r="C642" s="39" t="s">
        <v>234</v>
      </c>
      <c r="G642" s="6"/>
    </row>
    <row r="643" spans="2:7">
      <c r="B643" s="82"/>
      <c r="C643" s="39"/>
      <c r="G643" s="6"/>
    </row>
    <row r="644" spans="2:7">
      <c r="B644" s="18"/>
      <c r="C644" s="15" t="s">
        <v>337</v>
      </c>
      <c r="G644" s="6"/>
    </row>
    <row r="645" spans="2:7">
      <c r="B645" s="82" t="s">
        <v>338</v>
      </c>
      <c r="C645" s="39" t="s">
        <v>236</v>
      </c>
      <c r="G645" s="6"/>
    </row>
    <row r="646" spans="2:7">
      <c r="B646" s="18"/>
      <c r="G646" s="6"/>
    </row>
    <row r="647" spans="2:7">
      <c r="B647" s="18"/>
      <c r="C647" s="1" t="s">
        <v>23</v>
      </c>
      <c r="G647" s="6"/>
    </row>
    <row r="648" spans="2:7">
      <c r="B648" s="18"/>
      <c r="C648" s="66" t="s">
        <v>339</v>
      </c>
      <c r="G648" s="6"/>
    </row>
    <row r="649" spans="2:7" ht="13.5" thickBot="1">
      <c r="B649" s="19"/>
      <c r="C649" s="20"/>
      <c r="D649" s="20"/>
      <c r="E649" s="8"/>
      <c r="F649" s="20"/>
      <c r="G649" s="9"/>
    </row>
    <row r="651" spans="2:7" ht="13.5" thickBot="1"/>
    <row r="652" spans="2:7" ht="13.5" thickBot="1">
      <c r="B652" s="236">
        <v>44506</v>
      </c>
      <c r="C652" s="237"/>
      <c r="D652" s="237"/>
      <c r="E652" s="237"/>
      <c r="F652" s="237"/>
      <c r="G652" s="238"/>
    </row>
    <row r="653" spans="2:7" ht="13.5" thickBot="1">
      <c r="B653" s="18"/>
      <c r="G653" s="6"/>
    </row>
    <row r="654" spans="2:7">
      <c r="B654" s="18"/>
      <c r="C654" s="21" t="s">
        <v>27</v>
      </c>
      <c r="D654" s="16"/>
      <c r="E654" s="80" t="s">
        <v>58</v>
      </c>
      <c r="F654" s="4">
        <v>7</v>
      </c>
      <c r="G654" s="6"/>
    </row>
    <row r="655" spans="2:7" ht="13.5" thickBot="1">
      <c r="B655" s="18"/>
      <c r="C655" s="7"/>
      <c r="D655" s="20"/>
      <c r="E655" s="83" t="s">
        <v>1</v>
      </c>
      <c r="F655" s="22">
        <v>49</v>
      </c>
      <c r="G655" s="6"/>
    </row>
    <row r="656" spans="2:7" ht="13.5" thickBot="1">
      <c r="B656" s="18"/>
      <c r="G656" s="6"/>
    </row>
    <row r="657" spans="2:7">
      <c r="B657" s="18"/>
      <c r="C657" s="3" t="s">
        <v>4</v>
      </c>
      <c r="D657" s="16"/>
      <c r="E657" s="80" t="s">
        <v>58</v>
      </c>
      <c r="F657" s="84"/>
      <c r="G657" s="6"/>
    </row>
    <row r="658" spans="2:7">
      <c r="B658" s="18"/>
      <c r="C658" s="5" t="s">
        <v>2</v>
      </c>
      <c r="E658" s="39" t="s">
        <v>326</v>
      </c>
      <c r="F658" s="6"/>
      <c r="G658" s="6"/>
    </row>
    <row r="659" spans="2:7" ht="13.5" thickBot="1">
      <c r="B659" s="18"/>
      <c r="C659" s="7" t="s">
        <v>3</v>
      </c>
      <c r="D659" s="20"/>
      <c r="E659" s="81" t="s">
        <v>326</v>
      </c>
      <c r="F659" s="9"/>
      <c r="G659" s="6"/>
    </row>
    <row r="660" spans="2:7" ht="13.5" thickBot="1">
      <c r="B660" s="18"/>
      <c r="G660" s="6"/>
    </row>
    <row r="661" spans="2:7" ht="13.5" thickBot="1">
      <c r="B661" s="18"/>
      <c r="C661" s="23" t="s">
        <v>29</v>
      </c>
      <c r="D661" s="24"/>
      <c r="E661" s="87" t="s">
        <v>1104</v>
      </c>
      <c r="F661" s="25"/>
      <c r="G661" s="6"/>
    </row>
    <row r="662" spans="2:7">
      <c r="B662" s="18"/>
      <c r="G662" s="6"/>
    </row>
    <row r="663" spans="2:7">
      <c r="B663" s="18"/>
      <c r="C663" t="s">
        <v>5</v>
      </c>
      <c r="G663" s="6"/>
    </row>
    <row r="664" spans="2:7">
      <c r="B664" s="18"/>
      <c r="G664" s="6"/>
    </row>
    <row r="665" spans="2:7">
      <c r="B665" s="5">
        <v>1</v>
      </c>
      <c r="C665" s="39" t="s">
        <v>1105</v>
      </c>
      <c r="G665" s="6"/>
    </row>
    <row r="666" spans="2:7">
      <c r="B666" s="5">
        <v>2</v>
      </c>
      <c r="C666" s="39" t="s">
        <v>160</v>
      </c>
      <c r="G666" s="6"/>
    </row>
    <row r="667" spans="2:7">
      <c r="B667" s="5">
        <v>3</v>
      </c>
      <c r="C667" s="39" t="s">
        <v>6</v>
      </c>
      <c r="G667" s="6"/>
    </row>
    <row r="668" spans="2:7">
      <c r="B668" s="5">
        <v>4</v>
      </c>
      <c r="C668" s="39" t="s">
        <v>10</v>
      </c>
      <c r="G668" s="6"/>
    </row>
    <row r="669" spans="2:7">
      <c r="B669" s="5">
        <v>5</v>
      </c>
      <c r="C669" s="39" t="s">
        <v>207</v>
      </c>
      <c r="G669" s="6"/>
    </row>
    <row r="670" spans="2:7">
      <c r="B670" s="5">
        <v>6</v>
      </c>
      <c r="C670" s="39" t="s">
        <v>1106</v>
      </c>
      <c r="G670" s="6"/>
    </row>
    <row r="671" spans="2:7">
      <c r="B671" s="5">
        <v>7</v>
      </c>
      <c r="C671" s="39" t="s">
        <v>1107</v>
      </c>
      <c r="G671" s="6"/>
    </row>
    <row r="672" spans="2:7">
      <c r="B672" s="5">
        <v>8</v>
      </c>
      <c r="C672" s="39" t="s">
        <v>1095</v>
      </c>
      <c r="G672" s="6"/>
    </row>
    <row r="673" spans="2:7">
      <c r="B673" s="5">
        <v>9</v>
      </c>
      <c r="C673" s="39" t="s">
        <v>14</v>
      </c>
      <c r="G673" s="6"/>
    </row>
    <row r="674" spans="2:7">
      <c r="B674" s="5">
        <v>10</v>
      </c>
      <c r="C674" s="39" t="s">
        <v>208</v>
      </c>
      <c r="G674" s="6"/>
    </row>
    <row r="675" spans="2:7">
      <c r="B675" s="5">
        <v>11</v>
      </c>
      <c r="C675" s="39" t="s">
        <v>214</v>
      </c>
      <c r="G675" s="6"/>
    </row>
    <row r="676" spans="2:7">
      <c r="B676" s="5">
        <v>12</v>
      </c>
      <c r="C676" s="39" t="s">
        <v>236</v>
      </c>
      <c r="G676" s="6"/>
    </row>
    <row r="677" spans="2:7">
      <c r="B677" s="5">
        <v>13</v>
      </c>
      <c r="C677" s="39" t="s">
        <v>142</v>
      </c>
      <c r="G677" s="6"/>
    </row>
    <row r="678" spans="2:7">
      <c r="B678" s="5">
        <v>14</v>
      </c>
      <c r="C678" s="39" t="s">
        <v>959</v>
      </c>
      <c r="G678" s="6"/>
    </row>
    <row r="679" spans="2:7">
      <c r="B679" s="5">
        <v>15</v>
      </c>
      <c r="C679" s="39" t="s">
        <v>234</v>
      </c>
      <c r="G679" s="6"/>
    </row>
    <row r="680" spans="2:7">
      <c r="B680" s="18"/>
      <c r="G680" s="6"/>
    </row>
    <row r="681" spans="2:7">
      <c r="B681" s="18"/>
      <c r="C681" s="39" t="s">
        <v>325</v>
      </c>
      <c r="G681" s="6"/>
    </row>
    <row r="682" spans="2:7">
      <c r="B682" s="18"/>
      <c r="C682" s="39" t="s">
        <v>1055</v>
      </c>
      <c r="G682" s="6"/>
    </row>
    <row r="683" spans="2:7">
      <c r="B683" s="18"/>
      <c r="C683" s="39" t="s">
        <v>368</v>
      </c>
      <c r="G683" s="6"/>
    </row>
    <row r="684" spans="2:7">
      <c r="B684" s="18"/>
      <c r="C684" s="39" t="s">
        <v>1089</v>
      </c>
      <c r="G684" s="6"/>
    </row>
    <row r="685" spans="2:7">
      <c r="B685" s="18"/>
      <c r="C685" s="39" t="s">
        <v>1108</v>
      </c>
      <c r="G685" s="6"/>
    </row>
    <row r="686" spans="2:7">
      <c r="B686" s="18"/>
      <c r="C686" s="39" t="s">
        <v>1109</v>
      </c>
      <c r="G686" s="6"/>
    </row>
    <row r="687" spans="2:7">
      <c r="B687" s="18"/>
      <c r="C687" s="39" t="s">
        <v>1110</v>
      </c>
      <c r="G687" s="6"/>
    </row>
    <row r="688" spans="2:7">
      <c r="B688" s="18"/>
      <c r="C688" s="39" t="s">
        <v>1111</v>
      </c>
      <c r="G688" s="6"/>
    </row>
    <row r="689" spans="2:7">
      <c r="B689" s="18"/>
      <c r="C689" s="39"/>
      <c r="G689" s="6"/>
    </row>
    <row r="690" spans="2:7">
      <c r="B690" s="18"/>
      <c r="C690" s="39"/>
      <c r="G690" s="6"/>
    </row>
    <row r="691" spans="2:7">
      <c r="B691" s="18"/>
      <c r="C691" s="2" t="s">
        <v>21</v>
      </c>
      <c r="G691" s="6"/>
    </row>
    <row r="692" spans="2:7">
      <c r="B692" s="82" t="s">
        <v>352</v>
      </c>
      <c r="C692" s="39" t="s">
        <v>1112</v>
      </c>
      <c r="G692" s="6"/>
    </row>
    <row r="693" spans="2:7">
      <c r="B693" s="82" t="s">
        <v>336</v>
      </c>
      <c r="C693" s="39" t="s">
        <v>1113</v>
      </c>
      <c r="G693" s="6"/>
    </row>
    <row r="694" spans="2:7">
      <c r="B694" s="82" t="s">
        <v>336</v>
      </c>
      <c r="C694" s="39" t="s">
        <v>144</v>
      </c>
      <c r="G694" s="6"/>
    </row>
    <row r="695" spans="2:7">
      <c r="B695" s="82" t="s">
        <v>336</v>
      </c>
      <c r="C695" s="39" t="s">
        <v>1096</v>
      </c>
      <c r="G695" s="6"/>
    </row>
    <row r="696" spans="2:7">
      <c r="B696" s="82" t="s">
        <v>336</v>
      </c>
      <c r="C696" s="39" t="s">
        <v>207</v>
      </c>
      <c r="G696" s="6"/>
    </row>
    <row r="697" spans="2:7">
      <c r="B697" s="82" t="s">
        <v>336</v>
      </c>
      <c r="C697" s="39" t="s">
        <v>1105</v>
      </c>
      <c r="G697" s="6"/>
    </row>
    <row r="698" spans="2:7">
      <c r="B698" s="82"/>
      <c r="C698" s="39"/>
      <c r="G698" s="6"/>
    </row>
    <row r="699" spans="2:7">
      <c r="B699" s="18"/>
      <c r="C699" s="15" t="s">
        <v>337</v>
      </c>
      <c r="G699" s="6"/>
    </row>
    <row r="700" spans="2:7">
      <c r="B700" s="82" t="s">
        <v>418</v>
      </c>
      <c r="C700" s="39" t="s">
        <v>236</v>
      </c>
      <c r="G700" s="6"/>
    </row>
    <row r="701" spans="2:7">
      <c r="B701" s="18"/>
      <c r="G701" s="6"/>
    </row>
    <row r="702" spans="2:7">
      <c r="B702" s="18"/>
      <c r="C702" s="1" t="s">
        <v>23</v>
      </c>
      <c r="G702" s="6"/>
    </row>
    <row r="703" spans="2:7">
      <c r="B703" s="18"/>
      <c r="C703" s="66" t="s">
        <v>339</v>
      </c>
      <c r="G703" s="6"/>
    </row>
    <row r="704" spans="2:7" ht="13.5" thickBot="1">
      <c r="B704" s="19"/>
      <c r="C704" s="20"/>
      <c r="D704" s="20"/>
      <c r="E704" s="8"/>
      <c r="F704" s="20"/>
      <c r="G704" s="9"/>
    </row>
    <row r="706" spans="2:7" ht="13.5" thickBot="1"/>
    <row r="707" spans="2:7" ht="13.5" thickBot="1">
      <c r="B707" s="236" t="s">
        <v>1144</v>
      </c>
      <c r="C707" s="237"/>
      <c r="D707" s="237"/>
      <c r="E707" s="237"/>
      <c r="F707" s="237"/>
      <c r="G707" s="238"/>
    </row>
    <row r="708" spans="2:7" ht="13.5" thickBot="1">
      <c r="B708" s="18"/>
      <c r="G708" s="6"/>
    </row>
    <row r="709" spans="2:7">
      <c r="B709" s="18"/>
      <c r="C709" s="21" t="s">
        <v>27</v>
      </c>
      <c r="D709" s="16"/>
      <c r="E709" s="80" t="s">
        <v>1</v>
      </c>
      <c r="F709" s="4">
        <v>34</v>
      </c>
      <c r="G709" s="6"/>
    </row>
    <row r="710" spans="2:7" ht="13.5" thickBot="1">
      <c r="B710" s="18"/>
      <c r="C710" s="7"/>
      <c r="D710" s="20"/>
      <c r="E710" s="83" t="s">
        <v>170</v>
      </c>
      <c r="F710" s="22">
        <v>15</v>
      </c>
      <c r="G710" s="6"/>
    </row>
    <row r="711" spans="2:7" ht="13.5" thickBot="1">
      <c r="B711" s="18"/>
      <c r="G711" s="6"/>
    </row>
    <row r="712" spans="2:7">
      <c r="B712" s="18"/>
      <c r="C712" s="3" t="s">
        <v>4</v>
      </c>
      <c r="D712" s="16"/>
      <c r="E712" s="80" t="s">
        <v>58</v>
      </c>
      <c r="F712" s="84" t="s">
        <v>205</v>
      </c>
      <c r="G712" s="6"/>
    </row>
    <row r="713" spans="2:7">
      <c r="B713" s="18"/>
      <c r="C713" s="5" t="s">
        <v>2</v>
      </c>
      <c r="E713" s="39" t="s">
        <v>326</v>
      </c>
      <c r="F713" s="6"/>
      <c r="G713" s="6"/>
    </row>
    <row r="714" spans="2:7" ht="13.5" thickBot="1">
      <c r="B714" s="18"/>
      <c r="C714" s="7" t="s">
        <v>3</v>
      </c>
      <c r="D714" s="20"/>
      <c r="E714" s="81" t="s">
        <v>354</v>
      </c>
      <c r="F714" s="9"/>
      <c r="G714" s="6"/>
    </row>
    <row r="715" spans="2:7" ht="13.5" thickBot="1">
      <c r="B715" s="18"/>
      <c r="G715" s="6"/>
    </row>
    <row r="716" spans="2:7" ht="13.5" thickBot="1">
      <c r="B716" s="18"/>
      <c r="C716" s="23" t="s">
        <v>29</v>
      </c>
      <c r="D716" s="24"/>
      <c r="E716" s="87" t="s">
        <v>263</v>
      </c>
      <c r="F716" s="25"/>
      <c r="G716" s="6"/>
    </row>
    <row r="717" spans="2:7">
      <c r="B717" s="18"/>
      <c r="G717" s="6"/>
    </row>
    <row r="718" spans="2:7">
      <c r="B718" s="18"/>
      <c r="C718" t="s">
        <v>5</v>
      </c>
      <c r="G718" s="6"/>
    </row>
    <row r="719" spans="2:7">
      <c r="B719" s="18"/>
      <c r="G719" s="6"/>
    </row>
    <row r="720" spans="2:7">
      <c r="B720" s="5">
        <v>1</v>
      </c>
      <c r="C720" s="39" t="s">
        <v>1105</v>
      </c>
      <c r="G720" s="6"/>
    </row>
    <row r="721" spans="2:7">
      <c r="B721" s="5">
        <v>2</v>
      </c>
      <c r="C721" s="39" t="s">
        <v>11</v>
      </c>
      <c r="G721" s="6"/>
    </row>
    <row r="722" spans="2:7">
      <c r="B722" s="5">
        <v>3</v>
      </c>
      <c r="C722" s="39" t="s">
        <v>6</v>
      </c>
      <c r="G722" s="6"/>
    </row>
    <row r="723" spans="2:7">
      <c r="B723" s="5">
        <v>4</v>
      </c>
      <c r="C723" s="39" t="s">
        <v>10</v>
      </c>
      <c r="G723" s="6"/>
    </row>
    <row r="724" spans="2:7">
      <c r="B724" s="5">
        <v>5</v>
      </c>
      <c r="C724" s="39" t="s">
        <v>207</v>
      </c>
      <c r="G724" s="6"/>
    </row>
    <row r="725" spans="2:7">
      <c r="B725" s="5">
        <v>6</v>
      </c>
      <c r="C725" s="39" t="s">
        <v>1095</v>
      </c>
      <c r="G725" s="6"/>
    </row>
    <row r="726" spans="2:7">
      <c r="B726" s="5">
        <v>7</v>
      </c>
      <c r="C726" s="39" t="s">
        <v>211</v>
      </c>
      <c r="G726" s="6"/>
    </row>
    <row r="727" spans="2:7">
      <c r="B727" s="5">
        <v>8</v>
      </c>
      <c r="C727" s="39" t="s">
        <v>230</v>
      </c>
      <c r="G727" s="6"/>
    </row>
    <row r="728" spans="2:7">
      <c r="B728" s="5">
        <v>9</v>
      </c>
      <c r="C728" s="39" t="s">
        <v>14</v>
      </c>
      <c r="G728" s="6"/>
    </row>
    <row r="729" spans="2:7">
      <c r="B729" s="5">
        <v>10</v>
      </c>
      <c r="C729" s="39" t="s">
        <v>208</v>
      </c>
      <c r="G729" s="6"/>
    </row>
    <row r="730" spans="2:7">
      <c r="B730" s="5">
        <v>11</v>
      </c>
      <c r="C730" s="39" t="s">
        <v>214</v>
      </c>
      <c r="G730" s="6"/>
    </row>
    <row r="731" spans="2:7">
      <c r="B731" s="5">
        <v>12</v>
      </c>
      <c r="C731" s="39" t="s">
        <v>236</v>
      </c>
      <c r="G731" s="6"/>
    </row>
    <row r="732" spans="2:7">
      <c r="B732" s="5">
        <v>13</v>
      </c>
      <c r="C732" s="39" t="s">
        <v>142</v>
      </c>
      <c r="G732" s="6"/>
    </row>
    <row r="733" spans="2:7">
      <c r="B733" s="5">
        <v>14</v>
      </c>
      <c r="C733" s="39" t="s">
        <v>959</v>
      </c>
      <c r="G733" s="6"/>
    </row>
    <row r="734" spans="2:7">
      <c r="B734" s="5">
        <v>15</v>
      </c>
      <c r="C734" s="39" t="s">
        <v>234</v>
      </c>
      <c r="G734" s="6"/>
    </row>
    <row r="735" spans="2:7">
      <c r="B735" s="18"/>
      <c r="G735" s="6"/>
    </row>
    <row r="736" spans="2:7">
      <c r="B736" s="18"/>
      <c r="C736" s="39" t="s">
        <v>325</v>
      </c>
      <c r="G736" s="6"/>
    </row>
    <row r="737" spans="2:7">
      <c r="B737" s="18"/>
      <c r="C737" s="39" t="s">
        <v>1131</v>
      </c>
      <c r="G737" s="6"/>
    </row>
    <row r="738" spans="2:7">
      <c r="B738" s="18"/>
      <c r="C738" s="39" t="s">
        <v>358</v>
      </c>
      <c r="G738" s="6"/>
    </row>
    <row r="739" spans="2:7">
      <c r="B739" s="18"/>
      <c r="C739" s="39" t="s">
        <v>1132</v>
      </c>
      <c r="G739" s="6"/>
    </row>
    <row r="740" spans="2:7">
      <c r="B740" s="18"/>
      <c r="C740" s="39" t="s">
        <v>1133</v>
      </c>
      <c r="G740" s="6"/>
    </row>
    <row r="741" spans="2:7">
      <c r="B741" s="18"/>
      <c r="C741" s="39" t="s">
        <v>1109</v>
      </c>
      <c r="G741" s="6"/>
    </row>
    <row r="742" spans="2:7">
      <c r="B742" s="18"/>
      <c r="C742" s="39" t="s">
        <v>1134</v>
      </c>
      <c r="G742" s="6"/>
    </row>
    <row r="743" spans="2:7">
      <c r="B743" s="18"/>
      <c r="C743" s="39" t="s">
        <v>378</v>
      </c>
      <c r="G743" s="6"/>
    </row>
    <row r="744" spans="2:7">
      <c r="B744" s="18"/>
      <c r="C744" s="39" t="s">
        <v>1135</v>
      </c>
      <c r="G744" s="6"/>
    </row>
    <row r="745" spans="2:7">
      <c r="B745" s="18"/>
      <c r="C745" s="39"/>
      <c r="G745" s="6"/>
    </row>
    <row r="746" spans="2:7">
      <c r="B746" s="18"/>
      <c r="C746" s="39"/>
      <c r="G746" s="6"/>
    </row>
    <row r="747" spans="2:7">
      <c r="B747" s="18"/>
      <c r="C747" s="2" t="s">
        <v>21</v>
      </c>
      <c r="G747" s="6"/>
    </row>
    <row r="748" spans="2:7">
      <c r="B748" s="82" t="s">
        <v>336</v>
      </c>
      <c r="C748" s="39" t="s">
        <v>1112</v>
      </c>
      <c r="G748" s="6"/>
    </row>
    <row r="749" spans="2:7">
      <c r="B749" s="82" t="s">
        <v>336</v>
      </c>
      <c r="C749" s="39" t="s">
        <v>214</v>
      </c>
      <c r="G749" s="6"/>
    </row>
    <row r="750" spans="2:7">
      <c r="B750" s="82" t="s">
        <v>336</v>
      </c>
      <c r="C750" s="39" t="s">
        <v>234</v>
      </c>
      <c r="G750" s="6"/>
    </row>
    <row r="751" spans="2:7">
      <c r="B751" s="82" t="s">
        <v>336</v>
      </c>
      <c r="C751" s="39" t="s">
        <v>1096</v>
      </c>
      <c r="G751" s="6"/>
    </row>
    <row r="752" spans="2:7">
      <c r="B752" s="82" t="s">
        <v>336</v>
      </c>
      <c r="C752" s="39" t="s">
        <v>327</v>
      </c>
      <c r="G752" s="6"/>
    </row>
    <row r="753" spans="2:7">
      <c r="B753" s="82"/>
      <c r="C753" s="39"/>
      <c r="G753" s="6"/>
    </row>
    <row r="754" spans="2:7">
      <c r="B754" s="18"/>
      <c r="C754" s="15" t="s">
        <v>337</v>
      </c>
      <c r="G754" s="6"/>
    </row>
    <row r="755" spans="2:7">
      <c r="B755" s="82" t="s">
        <v>335</v>
      </c>
      <c r="C755" s="39" t="s">
        <v>236</v>
      </c>
      <c r="G755" s="6"/>
    </row>
    <row r="756" spans="2:7">
      <c r="B756" s="18"/>
      <c r="G756" s="6"/>
    </row>
    <row r="757" spans="2:7">
      <c r="B757" s="18"/>
      <c r="C757" s="1" t="s">
        <v>22</v>
      </c>
      <c r="G757" s="6"/>
    </row>
    <row r="758" spans="2:7">
      <c r="B758" s="82" t="s">
        <v>336</v>
      </c>
      <c r="C758" t="s">
        <v>236</v>
      </c>
      <c r="G758" s="6"/>
    </row>
    <row r="759" spans="2:7">
      <c r="B759" s="18"/>
      <c r="G759" s="6"/>
    </row>
    <row r="760" spans="2:7">
      <c r="B760" s="18"/>
      <c r="C760" s="1" t="s">
        <v>23</v>
      </c>
      <c r="G760" s="6"/>
    </row>
    <row r="761" spans="2:7">
      <c r="B761" s="18"/>
      <c r="C761" s="66" t="s">
        <v>339</v>
      </c>
      <c r="G761" s="6"/>
    </row>
    <row r="762" spans="2:7" ht="13.5" thickBot="1">
      <c r="B762" s="19"/>
      <c r="C762" s="20"/>
      <c r="D762" s="20"/>
      <c r="E762" s="8"/>
      <c r="F762" s="20"/>
      <c r="G762" s="9"/>
    </row>
    <row r="764" spans="2:7" ht="13.5" thickBot="1"/>
    <row r="765" spans="2:7" ht="13.5" thickBot="1">
      <c r="B765" s="243" t="s">
        <v>1145</v>
      </c>
      <c r="C765" s="244"/>
      <c r="D765" s="244"/>
      <c r="E765" s="244"/>
      <c r="F765" s="244"/>
      <c r="G765" s="245"/>
    </row>
    <row r="766" spans="2:7" ht="13.5" thickBot="1">
      <c r="B766" s="82"/>
      <c r="C766" s="39"/>
      <c r="D766" s="39"/>
      <c r="E766" s="15"/>
      <c r="F766" s="39"/>
      <c r="G766" s="152"/>
    </row>
    <row r="767" spans="2:7">
      <c r="B767" s="82"/>
      <c r="C767" s="21" t="s">
        <v>27</v>
      </c>
      <c r="D767" s="80"/>
      <c r="E767" s="80" t="s">
        <v>95</v>
      </c>
      <c r="F767" s="88">
        <v>26</v>
      </c>
      <c r="G767" s="152"/>
    </row>
    <row r="768" spans="2:7" ht="13.5" thickBot="1">
      <c r="B768" s="82"/>
      <c r="C768" s="149"/>
      <c r="D768" s="83"/>
      <c r="E768" s="83" t="s">
        <v>1</v>
      </c>
      <c r="F768" s="160">
        <v>29</v>
      </c>
      <c r="G768" s="152"/>
    </row>
    <row r="769" spans="2:7" ht="13.5" thickBot="1">
      <c r="B769" s="82"/>
      <c r="C769" s="39"/>
      <c r="D769" s="39"/>
      <c r="E769" s="15"/>
      <c r="F769" s="39"/>
      <c r="G769" s="152"/>
    </row>
    <row r="770" spans="2:7">
      <c r="B770" s="82"/>
      <c r="C770" s="21" t="s">
        <v>4</v>
      </c>
      <c r="D770" s="80"/>
      <c r="E770" s="80" t="s">
        <v>95</v>
      </c>
      <c r="F770" s="84"/>
      <c r="G770" s="152"/>
    </row>
    <row r="771" spans="2:7">
      <c r="B771" s="82"/>
      <c r="C771" s="41" t="s">
        <v>2</v>
      </c>
      <c r="D771" s="39"/>
      <c r="E771" s="39" t="s">
        <v>404</v>
      </c>
      <c r="F771" s="152"/>
      <c r="G771" s="152"/>
    </row>
    <row r="772" spans="2:7" ht="13.5" thickBot="1">
      <c r="B772" s="82"/>
      <c r="C772" s="149" t="s">
        <v>3</v>
      </c>
      <c r="D772" s="83"/>
      <c r="E772" s="81" t="s">
        <v>344</v>
      </c>
      <c r="F772" s="157"/>
      <c r="G772" s="152"/>
    </row>
    <row r="773" spans="2:7" ht="13.5" thickBot="1">
      <c r="B773" s="82"/>
      <c r="C773" s="39"/>
      <c r="D773" s="39"/>
      <c r="E773" s="15"/>
      <c r="F773" s="39"/>
      <c r="G773" s="152"/>
    </row>
    <row r="774" spans="2:7" ht="13.5" thickBot="1">
      <c r="B774" s="82"/>
      <c r="C774" s="123" t="s">
        <v>29</v>
      </c>
      <c r="D774" s="161"/>
      <c r="E774" s="87" t="s">
        <v>1146</v>
      </c>
      <c r="F774" s="162"/>
      <c r="G774" s="152"/>
    </row>
    <row r="775" spans="2:7">
      <c r="B775" s="82"/>
      <c r="C775" s="39"/>
      <c r="D775" s="39"/>
      <c r="E775" s="15"/>
      <c r="F775" s="39"/>
      <c r="G775" s="152"/>
    </row>
    <row r="776" spans="2:7">
      <c r="B776" s="82"/>
      <c r="C776" s="39" t="s">
        <v>5</v>
      </c>
      <c r="D776" s="39"/>
      <c r="E776" s="15"/>
      <c r="F776" s="39"/>
      <c r="G776" s="152"/>
    </row>
    <row r="777" spans="2:7">
      <c r="B777" s="82"/>
      <c r="C777" s="39"/>
      <c r="D777" s="39"/>
      <c r="E777" s="15"/>
      <c r="F777" s="39"/>
      <c r="G777" s="152"/>
    </row>
    <row r="778" spans="2:7">
      <c r="B778" s="41">
        <v>1</v>
      </c>
      <c r="C778" s="39" t="s">
        <v>1105</v>
      </c>
      <c r="D778" s="39"/>
      <c r="E778" s="15"/>
      <c r="F778" s="39"/>
      <c r="G778" s="152"/>
    </row>
    <row r="779" spans="2:7">
      <c r="B779" s="41">
        <v>2</v>
      </c>
      <c r="C779" s="39" t="s">
        <v>11</v>
      </c>
      <c r="D779" s="39"/>
      <c r="E779" s="15"/>
      <c r="F779" s="39"/>
      <c r="G779" s="152"/>
    </row>
    <row r="780" spans="2:7">
      <c r="B780" s="41">
        <v>3</v>
      </c>
      <c r="C780" s="39" t="s">
        <v>6</v>
      </c>
      <c r="D780" s="39"/>
      <c r="E780" s="15"/>
      <c r="F780" s="39"/>
      <c r="G780" s="152"/>
    </row>
    <row r="781" spans="2:7">
      <c r="B781" s="41">
        <v>4</v>
      </c>
      <c r="C781" s="39" t="s">
        <v>10</v>
      </c>
      <c r="D781" s="39"/>
      <c r="E781" s="15"/>
      <c r="F781" s="39"/>
      <c r="G781" s="152"/>
    </row>
    <row r="782" spans="2:7">
      <c r="B782" s="41">
        <v>5</v>
      </c>
      <c r="C782" s="39" t="s">
        <v>207</v>
      </c>
      <c r="D782" s="39"/>
      <c r="E782" s="15"/>
      <c r="F782" s="39"/>
      <c r="G782" s="152"/>
    </row>
    <row r="783" spans="2:7">
      <c r="B783" s="41">
        <v>6</v>
      </c>
      <c r="C783" s="39" t="s">
        <v>1095</v>
      </c>
      <c r="D783" s="39"/>
      <c r="E783" s="15"/>
      <c r="F783" s="39"/>
      <c r="G783" s="152"/>
    </row>
    <row r="784" spans="2:7">
      <c r="B784" s="41">
        <v>7</v>
      </c>
      <c r="C784" s="39" t="s">
        <v>211</v>
      </c>
      <c r="D784" s="39"/>
      <c r="E784" s="15"/>
      <c r="F784" s="39"/>
      <c r="G784" s="152"/>
    </row>
    <row r="785" spans="2:7">
      <c r="B785" s="41">
        <v>8</v>
      </c>
      <c r="C785" s="39" t="s">
        <v>230</v>
      </c>
      <c r="D785" s="39"/>
      <c r="E785" s="15"/>
      <c r="F785" s="39"/>
      <c r="G785" s="152"/>
    </row>
    <row r="786" spans="2:7">
      <c r="B786" s="41">
        <v>9</v>
      </c>
      <c r="C786" s="39" t="s">
        <v>14</v>
      </c>
      <c r="D786" s="39"/>
      <c r="E786" s="15"/>
      <c r="F786" s="39"/>
      <c r="G786" s="152"/>
    </row>
    <row r="787" spans="2:7">
      <c r="B787" s="41">
        <v>10</v>
      </c>
      <c r="C787" s="39" t="s">
        <v>208</v>
      </c>
      <c r="D787" s="39"/>
      <c r="E787" s="15"/>
      <c r="F787" s="39"/>
      <c r="G787" s="152"/>
    </row>
    <row r="788" spans="2:7">
      <c r="B788" s="41">
        <v>11</v>
      </c>
      <c r="C788" s="39" t="s">
        <v>214</v>
      </c>
      <c r="D788" s="39"/>
      <c r="E788" s="15"/>
      <c r="F788" s="39"/>
      <c r="G788" s="152"/>
    </row>
    <row r="789" spans="2:7">
      <c r="B789" s="41">
        <v>12</v>
      </c>
      <c r="C789" s="39" t="s">
        <v>236</v>
      </c>
      <c r="D789" s="39"/>
      <c r="E789" s="15"/>
      <c r="F789" s="39"/>
      <c r="G789" s="152"/>
    </row>
    <row r="790" spans="2:7">
      <c r="B790" s="41">
        <v>13</v>
      </c>
      <c r="C790" s="39" t="s">
        <v>142</v>
      </c>
      <c r="D790" s="39"/>
      <c r="E790" s="15"/>
      <c r="F790" s="39"/>
      <c r="G790" s="152"/>
    </row>
    <row r="791" spans="2:7">
      <c r="B791" s="41">
        <v>14</v>
      </c>
      <c r="C791" s="39" t="s">
        <v>959</v>
      </c>
      <c r="D791" s="39"/>
      <c r="E791" s="15"/>
      <c r="F791" s="39"/>
      <c r="G791" s="152"/>
    </row>
    <row r="792" spans="2:7">
      <c r="B792" s="41">
        <v>15</v>
      </c>
      <c r="C792" s="39" t="s">
        <v>234</v>
      </c>
      <c r="D792" s="39"/>
      <c r="E792" s="15"/>
      <c r="F792" s="39"/>
      <c r="G792" s="152"/>
    </row>
    <row r="793" spans="2:7">
      <c r="B793" s="82"/>
      <c r="C793" s="39"/>
      <c r="D793" s="39"/>
      <c r="E793" s="15"/>
      <c r="F793" s="39"/>
      <c r="G793" s="152"/>
    </row>
    <row r="794" spans="2:7">
      <c r="B794" s="82"/>
      <c r="C794" s="39" t="s">
        <v>325</v>
      </c>
      <c r="D794" s="39"/>
      <c r="E794" s="15"/>
      <c r="F794" s="39"/>
      <c r="G794" s="152"/>
    </row>
    <row r="795" spans="2:7">
      <c r="B795" s="82"/>
      <c r="C795" s="39" t="s">
        <v>1131</v>
      </c>
      <c r="D795" s="39"/>
      <c r="E795" s="15"/>
      <c r="F795" s="39"/>
      <c r="G795" s="152"/>
    </row>
    <row r="796" spans="2:7">
      <c r="B796" s="82"/>
      <c r="C796" s="39" t="s">
        <v>1147</v>
      </c>
      <c r="D796" s="39"/>
      <c r="E796" s="15"/>
      <c r="F796" s="39"/>
      <c r="G796" s="152"/>
    </row>
    <row r="797" spans="2:7">
      <c r="B797" s="82"/>
      <c r="C797" s="39" t="s">
        <v>1089</v>
      </c>
      <c r="D797" s="39"/>
      <c r="E797" s="15"/>
      <c r="F797" s="39"/>
      <c r="G797" s="152"/>
    </row>
    <row r="798" spans="2:7">
      <c r="B798" s="82"/>
      <c r="C798" s="39" t="s">
        <v>367</v>
      </c>
      <c r="D798" s="39"/>
      <c r="E798" s="15"/>
      <c r="F798" s="39"/>
      <c r="G798" s="152"/>
    </row>
    <row r="799" spans="2:7">
      <c r="B799" s="82"/>
      <c r="C799" s="39" t="s">
        <v>1148</v>
      </c>
      <c r="D799" s="39"/>
      <c r="E799" s="15"/>
      <c r="F799" s="39"/>
      <c r="G799" s="152"/>
    </row>
    <row r="800" spans="2:7">
      <c r="B800" s="82"/>
      <c r="C800" s="39" t="s">
        <v>1109</v>
      </c>
      <c r="D800" s="39"/>
      <c r="E800" s="15"/>
      <c r="F800" s="39"/>
      <c r="G800" s="152"/>
    </row>
    <row r="801" spans="2:7">
      <c r="B801" s="82"/>
      <c r="C801" s="39"/>
      <c r="D801" s="39"/>
      <c r="E801" s="15"/>
      <c r="F801" s="39"/>
      <c r="G801" s="152"/>
    </row>
    <row r="802" spans="2:7">
      <c r="B802" s="82"/>
      <c r="C802" s="39"/>
      <c r="D802" s="39"/>
      <c r="E802" s="15"/>
      <c r="F802" s="39"/>
      <c r="G802" s="152"/>
    </row>
    <row r="803" spans="2:7">
      <c r="B803" s="82"/>
      <c r="C803" s="153" t="s">
        <v>21</v>
      </c>
      <c r="D803" s="39"/>
      <c r="E803" s="15"/>
      <c r="F803" s="39"/>
      <c r="G803" s="152"/>
    </row>
    <row r="804" spans="2:7">
      <c r="B804" s="82" t="s">
        <v>352</v>
      </c>
      <c r="C804" s="39" t="s">
        <v>211</v>
      </c>
      <c r="D804" s="39"/>
      <c r="E804" s="15"/>
      <c r="F804" s="39"/>
      <c r="G804" s="152"/>
    </row>
    <row r="805" spans="2:7">
      <c r="B805" s="82" t="s">
        <v>336</v>
      </c>
      <c r="C805" s="39" t="s">
        <v>236</v>
      </c>
      <c r="D805" s="39"/>
      <c r="E805" s="15"/>
      <c r="F805" s="39"/>
      <c r="G805" s="152"/>
    </row>
    <row r="806" spans="2:7">
      <c r="B806" s="82" t="s">
        <v>336</v>
      </c>
      <c r="C806" s="39" t="s">
        <v>142</v>
      </c>
      <c r="D806" s="39"/>
      <c r="E806" s="15"/>
      <c r="F806" s="39"/>
      <c r="G806" s="152"/>
    </row>
    <row r="807" spans="2:7">
      <c r="B807" s="82"/>
      <c r="C807" s="39"/>
      <c r="D807" s="39"/>
      <c r="E807" s="15"/>
      <c r="F807" s="39"/>
      <c r="G807" s="152"/>
    </row>
    <row r="808" spans="2:7">
      <c r="B808" s="82"/>
      <c r="C808" s="15" t="s">
        <v>337</v>
      </c>
      <c r="D808" s="39"/>
      <c r="E808" s="15"/>
      <c r="F808" s="39"/>
      <c r="G808" s="152"/>
    </row>
    <row r="809" spans="2:7">
      <c r="B809" s="82" t="s">
        <v>335</v>
      </c>
      <c r="C809" s="39" t="s">
        <v>236</v>
      </c>
      <c r="D809" s="39"/>
      <c r="E809" s="15"/>
      <c r="F809" s="39"/>
      <c r="G809" s="152"/>
    </row>
    <row r="810" spans="2:7">
      <c r="B810" s="82"/>
      <c r="C810" s="39"/>
      <c r="D810" s="39"/>
      <c r="E810" s="15"/>
      <c r="F810" s="39"/>
      <c r="G810" s="152"/>
    </row>
    <row r="811" spans="2:7">
      <c r="B811" s="82"/>
      <c r="C811" s="15" t="s">
        <v>22</v>
      </c>
      <c r="D811" s="39"/>
      <c r="E811" s="15"/>
      <c r="F811" s="39"/>
      <c r="G811" s="152"/>
    </row>
    <row r="812" spans="2:7">
      <c r="B812" s="82" t="s">
        <v>336</v>
      </c>
      <c r="C812" s="39" t="s">
        <v>236</v>
      </c>
      <c r="D812" s="39"/>
      <c r="E812" s="15"/>
      <c r="F812" s="39"/>
      <c r="G812" s="152"/>
    </row>
    <row r="813" spans="2:7">
      <c r="B813" s="82"/>
      <c r="C813" s="39"/>
      <c r="D813" s="39"/>
      <c r="E813" s="15"/>
      <c r="F813" s="39"/>
      <c r="G813" s="152"/>
    </row>
    <row r="814" spans="2:7">
      <c r="B814" s="82"/>
      <c r="C814" s="15" t="s">
        <v>23</v>
      </c>
      <c r="D814" s="39"/>
      <c r="E814" s="15"/>
      <c r="F814" s="39"/>
      <c r="G814" s="152"/>
    </row>
    <row r="815" spans="2:7">
      <c r="B815" s="82"/>
      <c r="C815" s="66" t="s">
        <v>339</v>
      </c>
      <c r="D815" s="39"/>
      <c r="E815" s="15"/>
      <c r="F815" s="39"/>
      <c r="G815" s="152"/>
    </row>
    <row r="816" spans="2:7" ht="13.5" thickBot="1">
      <c r="B816" s="163"/>
      <c r="C816" s="83"/>
      <c r="D816" s="83"/>
      <c r="E816" s="164"/>
      <c r="F816" s="83"/>
      <c r="G816" s="157"/>
    </row>
  </sheetData>
  <mergeCells count="15">
    <mergeCell ref="B765:G765"/>
    <mergeCell ref="B707:G707"/>
    <mergeCell ref="B652:G652"/>
    <mergeCell ref="B598:G598"/>
    <mergeCell ref="B2:G2"/>
    <mergeCell ref="B57:G57"/>
    <mergeCell ref="B172:G172"/>
    <mergeCell ref="B113:G113"/>
    <mergeCell ref="B226:G226"/>
    <mergeCell ref="B546:G546"/>
    <mergeCell ref="B283:G283"/>
    <mergeCell ref="B332:G332"/>
    <mergeCell ref="B383:G383"/>
    <mergeCell ref="B442:G442"/>
    <mergeCell ref="B491:G491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Z1352"/>
  <sheetViews>
    <sheetView topLeftCell="A18" workbookViewId="0">
      <selection activeCell="C279" sqref="C279:C283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</cols>
  <sheetData>
    <row r="1" spans="2:7" ht="13.5" thickBot="1"/>
    <row r="2" spans="2:7" ht="13.5" thickBot="1">
      <c r="B2" s="236">
        <v>44646</v>
      </c>
      <c r="C2" s="237"/>
      <c r="D2" s="237"/>
      <c r="E2" s="237"/>
      <c r="F2" s="237"/>
      <c r="G2" s="238"/>
    </row>
    <row r="3" spans="2:7" ht="13.5" thickBot="1">
      <c r="B3" s="18"/>
      <c r="G3" s="6"/>
    </row>
    <row r="4" spans="2:7">
      <c r="B4" s="18"/>
      <c r="C4" s="21" t="s">
        <v>27</v>
      </c>
      <c r="D4" s="16"/>
      <c r="E4" s="80" t="s">
        <v>113</v>
      </c>
      <c r="F4" s="4">
        <v>47</v>
      </c>
      <c r="G4" s="6"/>
    </row>
    <row r="5" spans="2:7" ht="13.5" thickBot="1">
      <c r="B5" s="18"/>
      <c r="C5" s="7"/>
      <c r="D5" s="20"/>
      <c r="E5" s="83" t="s">
        <v>1</v>
      </c>
      <c r="F5" s="22">
        <v>12</v>
      </c>
      <c r="G5" s="6"/>
    </row>
    <row r="6" spans="2:7" ht="13.5" thickBot="1">
      <c r="B6" s="18"/>
      <c r="G6" s="6"/>
    </row>
    <row r="7" spans="2:7">
      <c r="B7" s="18"/>
      <c r="C7" s="3" t="s">
        <v>4</v>
      </c>
      <c r="D7" s="16"/>
      <c r="E7" s="80" t="s">
        <v>113</v>
      </c>
      <c r="F7" s="17"/>
      <c r="G7" s="6"/>
    </row>
    <row r="8" spans="2:7">
      <c r="B8" s="18"/>
      <c r="C8" s="5" t="s">
        <v>2</v>
      </c>
      <c r="E8" s="39" t="s">
        <v>326</v>
      </c>
      <c r="F8" s="6"/>
      <c r="G8" s="6"/>
    </row>
    <row r="9" spans="2:7" ht="13.5" thickBot="1">
      <c r="B9" s="18"/>
      <c r="C9" s="7" t="s">
        <v>3</v>
      </c>
      <c r="D9" s="20"/>
      <c r="E9" s="81" t="s">
        <v>354</v>
      </c>
      <c r="F9" s="9"/>
      <c r="G9" s="6"/>
    </row>
    <row r="10" spans="2:7" ht="13.5" thickBot="1">
      <c r="B10" s="18"/>
      <c r="G10" s="6"/>
    </row>
    <row r="11" spans="2:7" ht="13.5" thickBot="1">
      <c r="B11" s="18"/>
      <c r="C11" s="23" t="s">
        <v>29</v>
      </c>
      <c r="D11" s="24"/>
      <c r="E11" s="87" t="s">
        <v>375</v>
      </c>
      <c r="F11" s="25"/>
      <c r="G11" s="6"/>
    </row>
    <row r="12" spans="2:7">
      <c r="B12" s="18"/>
      <c r="G12" s="6"/>
    </row>
    <row r="13" spans="2:7">
      <c r="B13" s="18"/>
      <c r="C13" t="s">
        <v>5</v>
      </c>
      <c r="G13" s="6"/>
    </row>
    <row r="14" spans="2:7">
      <c r="B14" s="18"/>
      <c r="G14" s="6"/>
    </row>
    <row r="15" spans="2:7">
      <c r="B15" s="5">
        <v>1</v>
      </c>
      <c r="C15" s="39" t="s">
        <v>53</v>
      </c>
      <c r="G15" s="6"/>
    </row>
    <row r="16" spans="2:7">
      <c r="B16" s="5">
        <v>2</v>
      </c>
      <c r="C16" s="39" t="s">
        <v>1113</v>
      </c>
      <c r="G16" s="6"/>
    </row>
    <row r="17" spans="2:7">
      <c r="B17" s="5">
        <v>3</v>
      </c>
      <c r="C17" s="39" t="s">
        <v>327</v>
      </c>
      <c r="G17" s="6"/>
    </row>
    <row r="18" spans="2:7">
      <c r="B18" s="5">
        <v>4</v>
      </c>
      <c r="C18" s="39" t="s">
        <v>10</v>
      </c>
      <c r="G18" s="6"/>
    </row>
    <row r="19" spans="2:7">
      <c r="B19" s="5">
        <v>5</v>
      </c>
      <c r="C19" s="39" t="s">
        <v>207</v>
      </c>
      <c r="G19" s="6"/>
    </row>
    <row r="20" spans="2:7">
      <c r="B20" s="5">
        <v>6</v>
      </c>
      <c r="C20" s="39" t="s">
        <v>211</v>
      </c>
      <c r="G20" s="6"/>
    </row>
    <row r="21" spans="2:7">
      <c r="B21" s="5">
        <v>7</v>
      </c>
      <c r="C21" s="39" t="s">
        <v>33</v>
      </c>
      <c r="G21" s="6"/>
    </row>
    <row r="22" spans="2:7">
      <c r="B22" s="5">
        <v>8</v>
      </c>
      <c r="C22" s="39" t="s">
        <v>230</v>
      </c>
      <c r="G22" s="6"/>
    </row>
    <row r="23" spans="2:7">
      <c r="B23" s="5">
        <v>9</v>
      </c>
      <c r="C23" s="39" t="s">
        <v>361</v>
      </c>
      <c r="G23" s="6"/>
    </row>
    <row r="24" spans="2:7">
      <c r="B24" s="5">
        <v>10</v>
      </c>
      <c r="C24" s="39" t="s">
        <v>234</v>
      </c>
      <c r="G24" s="6"/>
    </row>
    <row r="25" spans="2:7">
      <c r="B25" s="5">
        <v>11</v>
      </c>
      <c r="C25" s="39" t="s">
        <v>247</v>
      </c>
      <c r="G25" s="6"/>
    </row>
    <row r="26" spans="2:7">
      <c r="B26" s="5">
        <v>12</v>
      </c>
      <c r="C26" s="39" t="s">
        <v>1150</v>
      </c>
      <c r="G26" s="6"/>
    </row>
    <row r="27" spans="2:7">
      <c r="B27" s="5">
        <v>13</v>
      </c>
      <c r="C27" s="39" t="s">
        <v>142</v>
      </c>
      <c r="G27" s="6"/>
    </row>
    <row r="28" spans="2:7">
      <c r="B28" s="5">
        <v>14</v>
      </c>
      <c r="C28" s="39" t="s">
        <v>1151</v>
      </c>
      <c r="G28" s="6"/>
    </row>
    <row r="29" spans="2:7">
      <c r="B29" s="5">
        <v>15</v>
      </c>
      <c r="C29" s="39" t="s">
        <v>214</v>
      </c>
      <c r="G29" s="6"/>
    </row>
    <row r="30" spans="2:7">
      <c r="B30" s="18"/>
      <c r="G30" s="6"/>
    </row>
    <row r="31" spans="2:7">
      <c r="B31" s="18"/>
      <c r="C31" s="39" t="s">
        <v>325</v>
      </c>
      <c r="G31" s="6"/>
    </row>
    <row r="32" spans="2:7">
      <c r="B32" s="18"/>
      <c r="C32" s="39" t="s">
        <v>1152</v>
      </c>
      <c r="G32" s="6"/>
    </row>
    <row r="33" spans="2:7">
      <c r="B33" s="18"/>
      <c r="C33" s="39" t="s">
        <v>331</v>
      </c>
      <c r="G33" s="6"/>
    </row>
    <row r="34" spans="2:7">
      <c r="B34" s="18"/>
      <c r="C34" s="39" t="s">
        <v>1089</v>
      </c>
      <c r="G34" s="6"/>
    </row>
    <row r="35" spans="2:7">
      <c r="B35" s="18"/>
      <c r="C35" s="39" t="s">
        <v>334</v>
      </c>
      <c r="G35" s="6"/>
    </row>
    <row r="36" spans="2:7">
      <c r="B36" s="18"/>
      <c r="C36" s="39" t="s">
        <v>1109</v>
      </c>
      <c r="G36" s="6"/>
    </row>
    <row r="37" spans="2:7">
      <c r="B37" s="18"/>
      <c r="C37" s="39" t="s">
        <v>1153</v>
      </c>
      <c r="G37" s="6"/>
    </row>
    <row r="38" spans="2:7">
      <c r="B38" s="18"/>
      <c r="G38" s="6"/>
    </row>
    <row r="39" spans="2:7">
      <c r="B39" s="18"/>
      <c r="C39" s="2" t="s">
        <v>21</v>
      </c>
      <c r="G39" s="6"/>
    </row>
    <row r="40" spans="2:7">
      <c r="B40" s="82" t="s">
        <v>336</v>
      </c>
      <c r="C40" s="39" t="s">
        <v>247</v>
      </c>
      <c r="G40" s="6"/>
    </row>
    <row r="41" spans="2:7">
      <c r="B41" s="82" t="s">
        <v>336</v>
      </c>
      <c r="C41" s="39" t="s">
        <v>214</v>
      </c>
      <c r="G41" s="6"/>
    </row>
    <row r="42" spans="2:7">
      <c r="B42" s="18"/>
      <c r="C42" s="39"/>
      <c r="G42" s="6"/>
    </row>
    <row r="43" spans="2:7">
      <c r="B43" s="18"/>
      <c r="C43" s="15" t="s">
        <v>337</v>
      </c>
      <c r="G43" s="6"/>
    </row>
    <row r="44" spans="2:7">
      <c r="B44" s="82" t="s">
        <v>336</v>
      </c>
      <c r="C44" s="39" t="s">
        <v>214</v>
      </c>
      <c r="G44" s="6"/>
    </row>
    <row r="45" spans="2:7">
      <c r="B45" s="18"/>
      <c r="G45" s="6"/>
    </row>
    <row r="46" spans="2:7">
      <c r="B46" s="18"/>
      <c r="C46" s="1" t="s">
        <v>22</v>
      </c>
      <c r="G46" s="6"/>
    </row>
    <row r="47" spans="2:7">
      <c r="B47" s="82" t="s">
        <v>336</v>
      </c>
      <c r="C47" t="s">
        <v>339</v>
      </c>
      <c r="G47" s="6"/>
    </row>
    <row r="48" spans="2:7">
      <c r="B48" s="18"/>
      <c r="G48" s="6"/>
    </row>
    <row r="49" spans="2:7">
      <c r="B49" s="18"/>
      <c r="C49" s="1" t="s">
        <v>23</v>
      </c>
      <c r="G49" s="6"/>
    </row>
    <row r="50" spans="2:7">
      <c r="B50" s="18" t="s">
        <v>336</v>
      </c>
      <c r="C50" s="66" t="s">
        <v>142</v>
      </c>
      <c r="G50" s="6"/>
    </row>
    <row r="51" spans="2:7" ht="13.5" thickBot="1">
      <c r="B51" s="19"/>
      <c r="C51" s="20"/>
      <c r="D51" s="20"/>
      <c r="E51" s="8"/>
      <c r="F51" s="20"/>
      <c r="G51" s="9"/>
    </row>
    <row r="53" spans="2:7" ht="13.5" thickBot="1"/>
    <row r="54" spans="2:7" ht="13.5" thickBot="1">
      <c r="B54" s="236">
        <v>44653</v>
      </c>
      <c r="C54" s="237"/>
      <c r="D54" s="237"/>
      <c r="E54" s="237"/>
      <c r="F54" s="237"/>
      <c r="G54" s="238"/>
    </row>
    <row r="55" spans="2:7" ht="13.5" thickBot="1">
      <c r="B55" s="18"/>
      <c r="G55" s="6"/>
    </row>
    <row r="56" spans="2:7">
      <c r="B56" s="18"/>
      <c r="C56" s="21" t="s">
        <v>27</v>
      </c>
      <c r="D56" s="16"/>
      <c r="E56" s="80" t="s">
        <v>1</v>
      </c>
      <c r="F56" s="4">
        <v>47</v>
      </c>
      <c r="G56" s="6"/>
    </row>
    <row r="57" spans="2:7" ht="13.5" thickBot="1">
      <c r="B57" s="18"/>
      <c r="C57" s="7"/>
      <c r="D57" s="20"/>
      <c r="E57" s="83" t="s">
        <v>123</v>
      </c>
      <c r="F57" s="22">
        <v>12</v>
      </c>
      <c r="G57" s="6"/>
    </row>
    <row r="58" spans="2:7" ht="13.5" thickBot="1">
      <c r="B58" s="18"/>
      <c r="G58" s="6"/>
    </row>
    <row r="59" spans="2:7">
      <c r="B59" s="18"/>
      <c r="C59" s="3" t="s">
        <v>4</v>
      </c>
      <c r="D59" s="16"/>
      <c r="E59" s="80" t="s">
        <v>1</v>
      </c>
      <c r="F59" s="17" t="s">
        <v>205</v>
      </c>
      <c r="G59" s="6"/>
    </row>
    <row r="60" spans="2:7">
      <c r="B60" s="18"/>
      <c r="C60" s="5" t="s">
        <v>2</v>
      </c>
      <c r="E60" s="39" t="s">
        <v>326</v>
      </c>
      <c r="F60" s="6"/>
      <c r="G60" s="6"/>
    </row>
    <row r="61" spans="2:7" ht="13.5" thickBot="1">
      <c r="B61" s="18"/>
      <c r="C61" s="7" t="s">
        <v>3</v>
      </c>
      <c r="D61" s="20"/>
      <c r="E61" s="81" t="s">
        <v>326</v>
      </c>
      <c r="F61" s="9"/>
      <c r="G61" s="6"/>
    </row>
    <row r="62" spans="2:7" ht="13.5" thickBot="1">
      <c r="B62" s="18"/>
      <c r="G62" s="6"/>
    </row>
    <row r="63" spans="2:7" ht="13.5" thickBot="1">
      <c r="B63" s="18"/>
      <c r="C63" s="23" t="s">
        <v>29</v>
      </c>
      <c r="D63" s="24"/>
      <c r="E63" s="87" t="s">
        <v>216</v>
      </c>
      <c r="F63" s="25"/>
      <c r="G63" s="6"/>
    </row>
    <row r="64" spans="2:7">
      <c r="B64" s="18"/>
      <c r="G64" s="6"/>
    </row>
    <row r="65" spans="2:7">
      <c r="B65" s="18"/>
      <c r="C65" t="s">
        <v>5</v>
      </c>
      <c r="G65" s="6"/>
    </row>
    <row r="66" spans="2:7">
      <c r="B66" s="18"/>
      <c r="G66" s="6"/>
    </row>
    <row r="67" spans="2:7">
      <c r="B67" s="5">
        <v>1</v>
      </c>
      <c r="C67" s="39" t="s">
        <v>327</v>
      </c>
      <c r="G67" s="6"/>
    </row>
    <row r="68" spans="2:7">
      <c r="B68" s="5">
        <v>2</v>
      </c>
      <c r="C68" s="39" t="s">
        <v>53</v>
      </c>
      <c r="G68" s="6"/>
    </row>
    <row r="69" spans="2:7">
      <c r="B69" s="5">
        <v>3</v>
      </c>
      <c r="C69" s="39" t="s">
        <v>1158</v>
      </c>
      <c r="G69" s="6"/>
    </row>
    <row r="70" spans="2:7">
      <c r="B70" s="5">
        <v>4</v>
      </c>
      <c r="C70" s="39" t="s">
        <v>10</v>
      </c>
      <c r="G70" s="6"/>
    </row>
    <row r="71" spans="2:7">
      <c r="B71" s="5">
        <v>5</v>
      </c>
      <c r="C71" s="39" t="s">
        <v>207</v>
      </c>
      <c r="G71" s="6"/>
    </row>
    <row r="72" spans="2:7">
      <c r="B72" s="5">
        <v>6</v>
      </c>
      <c r="C72" s="39" t="s">
        <v>211</v>
      </c>
      <c r="G72" s="6"/>
    </row>
    <row r="73" spans="2:7">
      <c r="B73" s="5">
        <v>7</v>
      </c>
      <c r="C73" s="39" t="s">
        <v>1159</v>
      </c>
      <c r="G73" s="6"/>
    </row>
    <row r="74" spans="2:7">
      <c r="B74" s="5">
        <v>8</v>
      </c>
      <c r="C74" s="39" t="s">
        <v>33</v>
      </c>
      <c r="G74" s="6"/>
    </row>
    <row r="75" spans="2:7">
      <c r="B75" s="5">
        <v>9</v>
      </c>
      <c r="C75" s="39" t="s">
        <v>14</v>
      </c>
      <c r="G75" s="6"/>
    </row>
    <row r="76" spans="2:7">
      <c r="B76" s="5">
        <v>10</v>
      </c>
      <c r="C76" s="39" t="s">
        <v>234</v>
      </c>
      <c r="G76" s="6"/>
    </row>
    <row r="77" spans="2:7">
      <c r="B77" s="5">
        <v>11</v>
      </c>
      <c r="C77" s="39" t="s">
        <v>247</v>
      </c>
      <c r="G77" s="6"/>
    </row>
    <row r="78" spans="2:7">
      <c r="B78" s="5">
        <v>12</v>
      </c>
      <c r="C78" s="39" t="s">
        <v>1150</v>
      </c>
      <c r="G78" s="6"/>
    </row>
    <row r="79" spans="2:7">
      <c r="B79" s="5">
        <v>13</v>
      </c>
      <c r="C79" s="39" t="s">
        <v>142</v>
      </c>
      <c r="G79" s="6"/>
    </row>
    <row r="80" spans="2:7">
      <c r="B80" s="5">
        <v>14</v>
      </c>
      <c r="C80" s="39" t="s">
        <v>1151</v>
      </c>
      <c r="G80" s="6"/>
    </row>
    <row r="81" spans="2:7">
      <c r="B81" s="5">
        <v>15</v>
      </c>
      <c r="C81" s="39" t="s">
        <v>214</v>
      </c>
      <c r="G81" s="6"/>
    </row>
    <row r="82" spans="2:7">
      <c r="B82" s="18"/>
      <c r="G82" s="6"/>
    </row>
    <row r="83" spans="2:7">
      <c r="B83" s="18"/>
      <c r="C83" s="39" t="s">
        <v>325</v>
      </c>
      <c r="G83" s="6"/>
    </row>
    <row r="84" spans="2:7">
      <c r="B84" s="18"/>
      <c r="C84" s="39" t="s">
        <v>1089</v>
      </c>
      <c r="G84" s="6"/>
    </row>
    <row r="85" spans="2:7">
      <c r="B85" s="18"/>
      <c r="C85" s="39" t="s">
        <v>1160</v>
      </c>
      <c r="G85" s="6"/>
    </row>
    <row r="86" spans="2:7">
      <c r="B86" s="18"/>
      <c r="C86" s="39" t="s">
        <v>1161</v>
      </c>
      <c r="G86" s="6"/>
    </row>
    <row r="87" spans="2:7">
      <c r="B87" s="18"/>
      <c r="G87" s="6"/>
    </row>
    <row r="88" spans="2:7">
      <c r="B88" s="18"/>
      <c r="C88" s="2" t="s">
        <v>21</v>
      </c>
      <c r="G88" s="6"/>
    </row>
    <row r="89" spans="2:7">
      <c r="B89" s="82" t="s">
        <v>352</v>
      </c>
      <c r="C89" s="39" t="s">
        <v>18</v>
      </c>
      <c r="G89" s="6"/>
    </row>
    <row r="90" spans="2:7">
      <c r="B90" s="82" t="s">
        <v>336</v>
      </c>
      <c r="C90" s="39" t="s">
        <v>247</v>
      </c>
      <c r="G90" s="6"/>
    </row>
    <row r="91" spans="2:7">
      <c r="B91" s="82" t="s">
        <v>336</v>
      </c>
      <c r="C91" s="39" t="s">
        <v>234</v>
      </c>
      <c r="G91" s="6"/>
    </row>
    <row r="92" spans="2:7">
      <c r="B92" s="82" t="s">
        <v>336</v>
      </c>
      <c r="C92" s="39" t="s">
        <v>214</v>
      </c>
      <c r="G92" s="6"/>
    </row>
    <row r="93" spans="2:7">
      <c r="B93" s="18"/>
      <c r="C93" s="39"/>
      <c r="G93" s="6"/>
    </row>
    <row r="94" spans="2:7">
      <c r="B94" s="18"/>
      <c r="C94" s="15" t="s">
        <v>337</v>
      </c>
      <c r="G94" s="6"/>
    </row>
    <row r="95" spans="2:7">
      <c r="B95" s="82" t="s">
        <v>352</v>
      </c>
      <c r="C95" s="39" t="s">
        <v>214</v>
      </c>
      <c r="G95" s="6"/>
    </row>
    <row r="96" spans="2:7">
      <c r="B96" s="18"/>
      <c r="G96" s="6"/>
    </row>
    <row r="97" spans="2:7">
      <c r="B97" s="18"/>
      <c r="C97" s="1" t="s">
        <v>22</v>
      </c>
      <c r="G97" s="6"/>
    </row>
    <row r="98" spans="2:7">
      <c r="B98" s="82" t="s">
        <v>336</v>
      </c>
      <c r="C98" t="s">
        <v>339</v>
      </c>
      <c r="G98" s="6"/>
    </row>
    <row r="99" spans="2:7">
      <c r="B99" s="18"/>
      <c r="G99" s="6"/>
    </row>
    <row r="100" spans="2:7">
      <c r="B100" s="18"/>
      <c r="C100" s="1" t="s">
        <v>23</v>
      </c>
      <c r="G100" s="6"/>
    </row>
    <row r="101" spans="2:7">
      <c r="B101" s="18"/>
      <c r="C101" s="66" t="s">
        <v>339</v>
      </c>
      <c r="G101" s="6"/>
    </row>
    <row r="102" spans="2:7" ht="13.5" thickBot="1">
      <c r="B102" s="19"/>
      <c r="C102" s="20"/>
      <c r="D102" s="20"/>
      <c r="E102" s="8"/>
      <c r="F102" s="20"/>
      <c r="G102" s="9"/>
    </row>
    <row r="104" spans="2:7" ht="13.5" thickBot="1"/>
    <row r="105" spans="2:7" ht="13.5" thickBot="1">
      <c r="B105" s="236">
        <v>44660</v>
      </c>
      <c r="C105" s="237"/>
      <c r="D105" s="237"/>
      <c r="E105" s="237"/>
      <c r="F105" s="237"/>
      <c r="G105" s="238"/>
    </row>
    <row r="106" spans="2:7" ht="13.5" thickBot="1">
      <c r="B106" s="18"/>
      <c r="G106" s="6"/>
    </row>
    <row r="107" spans="2:7">
      <c r="B107" s="18"/>
      <c r="C107" s="21" t="s">
        <v>27</v>
      </c>
      <c r="D107" s="16"/>
      <c r="E107" s="80" t="s">
        <v>114</v>
      </c>
      <c r="F107" s="4">
        <v>20</v>
      </c>
      <c r="G107" s="6"/>
    </row>
    <row r="108" spans="2:7" ht="13.5" thickBot="1">
      <c r="B108" s="18"/>
      <c r="C108" s="7"/>
      <c r="D108" s="20"/>
      <c r="E108" s="83" t="s">
        <v>1</v>
      </c>
      <c r="F108" s="22">
        <v>50</v>
      </c>
      <c r="G108" s="6"/>
    </row>
    <row r="109" spans="2:7" ht="13.5" thickBot="1">
      <c r="B109" s="18"/>
      <c r="G109" s="6"/>
    </row>
    <row r="110" spans="2:7">
      <c r="B110" s="18"/>
      <c r="C110" s="3" t="s">
        <v>4</v>
      </c>
      <c r="D110" s="16"/>
      <c r="E110" s="80" t="s">
        <v>114</v>
      </c>
      <c r="F110" s="84" t="s">
        <v>1162</v>
      </c>
      <c r="G110" s="6"/>
    </row>
    <row r="111" spans="2:7">
      <c r="B111" s="18"/>
      <c r="C111" s="5" t="s">
        <v>2</v>
      </c>
      <c r="E111" s="39" t="s">
        <v>326</v>
      </c>
      <c r="F111" s="6"/>
      <c r="G111" s="6"/>
    </row>
    <row r="112" spans="2:7" ht="13.5" thickBot="1">
      <c r="B112" s="18"/>
      <c r="C112" s="7" t="s">
        <v>3</v>
      </c>
      <c r="D112" s="20"/>
      <c r="E112" s="81" t="s">
        <v>344</v>
      </c>
      <c r="F112" s="9"/>
      <c r="G112" s="6"/>
    </row>
    <row r="113" spans="2:7" ht="13.5" thickBot="1">
      <c r="B113" s="18"/>
      <c r="G113" s="6"/>
    </row>
    <row r="114" spans="2:7" ht="13.5" thickBot="1">
      <c r="B114" s="18"/>
      <c r="C114" s="23" t="s">
        <v>29</v>
      </c>
      <c r="D114" s="24"/>
      <c r="E114" s="87" t="s">
        <v>1163</v>
      </c>
      <c r="F114" s="25"/>
      <c r="G114" s="6"/>
    </row>
    <row r="115" spans="2:7">
      <c r="B115" s="18"/>
      <c r="G115" s="6"/>
    </row>
    <row r="116" spans="2:7">
      <c r="B116" s="18"/>
      <c r="C116" t="s">
        <v>5</v>
      </c>
      <c r="G116" s="6"/>
    </row>
    <row r="117" spans="2:7">
      <c r="B117" s="18"/>
      <c r="G117" s="6"/>
    </row>
    <row r="118" spans="2:7">
      <c r="B118" s="5">
        <v>1</v>
      </c>
      <c r="C118" s="39" t="s">
        <v>327</v>
      </c>
      <c r="G118" s="6"/>
    </row>
    <row r="119" spans="2:7">
      <c r="B119" s="5">
        <v>2</v>
      </c>
      <c r="C119" s="39" t="s">
        <v>53</v>
      </c>
      <c r="G119" s="6"/>
    </row>
    <row r="120" spans="2:7">
      <c r="B120" s="5">
        <v>3</v>
      </c>
      <c r="C120" s="39" t="s">
        <v>1158</v>
      </c>
      <c r="G120" s="6"/>
    </row>
    <row r="121" spans="2:7">
      <c r="B121" s="5">
        <v>4</v>
      </c>
      <c r="C121" s="39" t="s">
        <v>10</v>
      </c>
      <c r="G121" s="6"/>
    </row>
    <row r="122" spans="2:7">
      <c r="B122" s="5">
        <v>5</v>
      </c>
      <c r="C122" s="39" t="s">
        <v>207</v>
      </c>
      <c r="G122" s="6"/>
    </row>
    <row r="123" spans="2:7">
      <c r="B123" s="5">
        <v>6</v>
      </c>
      <c r="C123" s="39" t="s">
        <v>211</v>
      </c>
      <c r="G123" s="6"/>
    </row>
    <row r="124" spans="2:7">
      <c r="B124" s="5">
        <v>7</v>
      </c>
      <c r="C124" s="39" t="s">
        <v>33</v>
      </c>
      <c r="G124" s="6"/>
    </row>
    <row r="125" spans="2:7">
      <c r="B125" s="5">
        <v>8</v>
      </c>
      <c r="C125" s="39" t="s">
        <v>1096</v>
      </c>
      <c r="G125" s="6"/>
    </row>
    <row r="126" spans="2:7">
      <c r="B126" s="5">
        <v>9</v>
      </c>
      <c r="C126" s="39" t="s">
        <v>361</v>
      </c>
      <c r="G126" s="6"/>
    </row>
    <row r="127" spans="2:7">
      <c r="B127" s="5">
        <v>10</v>
      </c>
      <c r="C127" s="39" t="s">
        <v>607</v>
      </c>
      <c r="G127" s="6"/>
    </row>
    <row r="128" spans="2:7">
      <c r="B128" s="5">
        <v>11</v>
      </c>
      <c r="C128" s="39" t="s">
        <v>247</v>
      </c>
      <c r="G128" s="6"/>
    </row>
    <row r="129" spans="2:7">
      <c r="B129" s="5">
        <v>12</v>
      </c>
      <c r="C129" s="39" t="s">
        <v>1150</v>
      </c>
      <c r="G129" s="6"/>
    </row>
    <row r="130" spans="2:7">
      <c r="B130" s="5">
        <v>13</v>
      </c>
      <c r="C130" s="39" t="s">
        <v>142</v>
      </c>
      <c r="G130" s="6"/>
    </row>
    <row r="131" spans="2:7">
      <c r="B131" s="5">
        <v>14</v>
      </c>
      <c r="C131" s="39" t="s">
        <v>214</v>
      </c>
      <c r="G131" s="6"/>
    </row>
    <row r="132" spans="2:7">
      <c r="B132" s="5">
        <v>15</v>
      </c>
      <c r="C132" s="39" t="s">
        <v>234</v>
      </c>
      <c r="G132" s="6"/>
    </row>
    <row r="133" spans="2:7">
      <c r="B133" s="18"/>
      <c r="G133" s="6"/>
    </row>
    <row r="134" spans="2:7">
      <c r="B134" s="18"/>
      <c r="C134" s="39" t="s">
        <v>325</v>
      </c>
      <c r="G134" s="6"/>
    </row>
    <row r="135" spans="2:7">
      <c r="B135" s="18"/>
      <c r="C135" s="39" t="s">
        <v>1089</v>
      </c>
      <c r="G135" s="6"/>
    </row>
    <row r="136" spans="2:7">
      <c r="B136" s="18"/>
      <c r="C136" s="39" t="s">
        <v>1164</v>
      </c>
      <c r="G136" s="6"/>
    </row>
    <row r="137" spans="2:7">
      <c r="B137" s="18"/>
      <c r="C137" s="39" t="s">
        <v>1165</v>
      </c>
      <c r="G137" s="6"/>
    </row>
    <row r="138" spans="2:7">
      <c r="B138" s="18"/>
      <c r="C138" s="39" t="s">
        <v>1166</v>
      </c>
      <c r="G138" s="6"/>
    </row>
    <row r="139" spans="2:7">
      <c r="B139" s="18"/>
      <c r="C139" s="39" t="s">
        <v>1167</v>
      </c>
      <c r="G139" s="6"/>
    </row>
    <row r="140" spans="2:7">
      <c r="B140" s="18"/>
      <c r="C140" s="39" t="s">
        <v>1169</v>
      </c>
      <c r="G140" s="6"/>
    </row>
    <row r="141" spans="2:7">
      <c r="B141" s="18"/>
      <c r="C141" s="39" t="s">
        <v>1168</v>
      </c>
      <c r="G141" s="6"/>
    </row>
    <row r="142" spans="2:7">
      <c r="B142" s="18"/>
      <c r="C142" s="39" t="s">
        <v>1170</v>
      </c>
      <c r="G142" s="6"/>
    </row>
    <row r="143" spans="2:7">
      <c r="B143" s="18"/>
      <c r="G143" s="6"/>
    </row>
    <row r="144" spans="2:7">
      <c r="B144" s="18"/>
      <c r="C144" s="2" t="s">
        <v>21</v>
      </c>
      <c r="G144" s="6"/>
    </row>
    <row r="145" spans="2:7">
      <c r="B145" s="82" t="s">
        <v>336</v>
      </c>
      <c r="C145" s="39" t="s">
        <v>1096</v>
      </c>
      <c r="G145" s="6"/>
    </row>
    <row r="146" spans="2:7">
      <c r="B146" s="82" t="s">
        <v>336</v>
      </c>
      <c r="C146" s="39" t="s">
        <v>247</v>
      </c>
      <c r="G146" s="6"/>
    </row>
    <row r="147" spans="2:7">
      <c r="B147" s="82" t="s">
        <v>336</v>
      </c>
      <c r="C147" s="39" t="s">
        <v>33</v>
      </c>
      <c r="G147" s="6"/>
    </row>
    <row r="148" spans="2:7">
      <c r="B148" s="18"/>
      <c r="C148" s="39"/>
      <c r="G148" s="6"/>
    </row>
    <row r="149" spans="2:7">
      <c r="B149" s="18"/>
      <c r="C149" s="15" t="s">
        <v>337</v>
      </c>
      <c r="G149" s="6"/>
    </row>
    <row r="150" spans="2:7">
      <c r="B150" s="82" t="s">
        <v>336</v>
      </c>
      <c r="C150" s="39" t="s">
        <v>214</v>
      </c>
      <c r="G150" s="6"/>
    </row>
    <row r="151" spans="2:7">
      <c r="B151" s="18"/>
      <c r="G151" s="6"/>
    </row>
    <row r="152" spans="2:7">
      <c r="B152" s="18"/>
      <c r="C152" s="1" t="s">
        <v>22</v>
      </c>
      <c r="G152" s="6"/>
    </row>
    <row r="153" spans="2:7">
      <c r="B153" s="82" t="s">
        <v>336</v>
      </c>
      <c r="C153" s="39" t="s">
        <v>214</v>
      </c>
      <c r="G153" s="6"/>
    </row>
    <row r="154" spans="2:7">
      <c r="B154" s="18"/>
      <c r="G154" s="6"/>
    </row>
    <row r="155" spans="2:7">
      <c r="B155" s="18"/>
      <c r="C155" s="1" t="s">
        <v>23</v>
      </c>
      <c r="G155" s="6"/>
    </row>
    <row r="156" spans="2:7">
      <c r="B156" s="82" t="s">
        <v>336</v>
      </c>
      <c r="C156" s="66" t="s">
        <v>33</v>
      </c>
      <c r="G156" s="6"/>
    </row>
    <row r="157" spans="2:7">
      <c r="B157" s="82" t="s">
        <v>336</v>
      </c>
      <c r="C157" s="66" t="s">
        <v>214</v>
      </c>
      <c r="G157" s="6"/>
    </row>
    <row r="158" spans="2:7" ht="13.5" thickBot="1">
      <c r="B158" s="19"/>
      <c r="C158" s="20"/>
      <c r="D158" s="20"/>
      <c r="E158" s="8"/>
      <c r="F158" s="20"/>
      <c r="G158" s="9"/>
    </row>
    <row r="160" spans="2:7" ht="13.5" thickBot="1"/>
    <row r="161" spans="2:7" ht="13.5" thickBot="1">
      <c r="B161" s="236">
        <v>44674</v>
      </c>
      <c r="C161" s="237"/>
      <c r="D161" s="237"/>
      <c r="E161" s="237"/>
      <c r="F161" s="237"/>
      <c r="G161" s="238"/>
    </row>
    <row r="162" spans="2:7" ht="13.5" thickBot="1">
      <c r="B162" s="18"/>
      <c r="G162" s="6"/>
    </row>
    <row r="163" spans="2:7">
      <c r="B163" s="18"/>
      <c r="C163" s="21" t="s">
        <v>27</v>
      </c>
      <c r="D163" s="16"/>
      <c r="E163" s="80" t="s">
        <v>1</v>
      </c>
      <c r="F163" s="4">
        <v>3</v>
      </c>
      <c r="G163" s="6"/>
    </row>
    <row r="164" spans="2:7" ht="13.5" thickBot="1">
      <c r="B164" s="18"/>
      <c r="C164" s="7"/>
      <c r="D164" s="20"/>
      <c r="E164" s="83" t="s">
        <v>91</v>
      </c>
      <c r="F164" s="22">
        <v>26</v>
      </c>
      <c r="G164" s="6"/>
    </row>
    <row r="165" spans="2:7" ht="13.5" thickBot="1">
      <c r="B165" s="18"/>
      <c r="G165" s="6"/>
    </row>
    <row r="166" spans="2:7">
      <c r="B166" s="18"/>
      <c r="C166" s="3" t="s">
        <v>4</v>
      </c>
      <c r="D166" s="16"/>
      <c r="E166" s="80" t="s">
        <v>1</v>
      </c>
      <c r="F166" s="84" t="s">
        <v>205</v>
      </c>
      <c r="G166" s="6"/>
    </row>
    <row r="167" spans="2:7">
      <c r="B167" s="18"/>
      <c r="C167" s="5" t="s">
        <v>2</v>
      </c>
      <c r="E167" s="39" t="s">
        <v>326</v>
      </c>
      <c r="F167" s="6"/>
      <c r="G167" s="6"/>
    </row>
    <row r="168" spans="2:7" ht="13.5" thickBot="1">
      <c r="B168" s="18"/>
      <c r="C168" s="7" t="s">
        <v>3</v>
      </c>
      <c r="D168" s="20"/>
      <c r="E168" s="81" t="s">
        <v>326</v>
      </c>
      <c r="F168" s="9"/>
      <c r="G168" s="6"/>
    </row>
    <row r="169" spans="2:7" ht="13.5" thickBot="1">
      <c r="B169" s="18"/>
      <c r="G169" s="6"/>
    </row>
    <row r="170" spans="2:7" ht="13.5" thickBot="1">
      <c r="B170" s="18"/>
      <c r="C170" s="23" t="s">
        <v>29</v>
      </c>
      <c r="D170" s="24"/>
      <c r="E170" s="87" t="s">
        <v>1171</v>
      </c>
      <c r="F170" s="25"/>
      <c r="G170" s="6"/>
    </row>
    <row r="171" spans="2:7">
      <c r="B171" s="18"/>
      <c r="G171" s="6"/>
    </row>
    <row r="172" spans="2:7">
      <c r="B172" s="18"/>
      <c r="C172" t="s">
        <v>5</v>
      </c>
      <c r="G172" s="6"/>
    </row>
    <row r="173" spans="2:7">
      <c r="B173" s="18"/>
      <c r="G173" s="6"/>
    </row>
    <row r="174" spans="2:7">
      <c r="B174" s="5">
        <v>1</v>
      </c>
      <c r="C174" s="39" t="s">
        <v>1172</v>
      </c>
      <c r="G174" s="6"/>
    </row>
    <row r="175" spans="2:7">
      <c r="B175" s="5">
        <v>2</v>
      </c>
      <c r="C175" s="39" t="s">
        <v>1113</v>
      </c>
      <c r="G175" s="6"/>
    </row>
    <row r="176" spans="2:7">
      <c r="B176" s="5">
        <v>3</v>
      </c>
      <c r="C176" s="39" t="s">
        <v>327</v>
      </c>
      <c r="G176" s="6"/>
    </row>
    <row r="177" spans="2:7">
      <c r="B177" s="5">
        <v>4</v>
      </c>
      <c r="C177" s="39" t="s">
        <v>1173</v>
      </c>
      <c r="G177" s="6"/>
    </row>
    <row r="178" spans="2:7">
      <c r="B178" s="5">
        <v>5</v>
      </c>
      <c r="C178" s="39" t="s">
        <v>207</v>
      </c>
      <c r="G178" s="6"/>
    </row>
    <row r="179" spans="2:7">
      <c r="B179" s="5">
        <v>6</v>
      </c>
      <c r="C179" s="39" t="s">
        <v>211</v>
      </c>
      <c r="G179" s="6"/>
    </row>
    <row r="180" spans="2:7">
      <c r="B180" s="5">
        <v>7</v>
      </c>
      <c r="C180" s="39" t="s">
        <v>33</v>
      </c>
      <c r="G180" s="6"/>
    </row>
    <row r="181" spans="2:7">
      <c r="B181" s="5">
        <v>8</v>
      </c>
      <c r="C181" s="39" t="s">
        <v>1159</v>
      </c>
      <c r="G181" s="6"/>
    </row>
    <row r="182" spans="2:7">
      <c r="B182" s="5">
        <v>9</v>
      </c>
      <c r="C182" s="39" t="s">
        <v>14</v>
      </c>
      <c r="G182" s="6"/>
    </row>
    <row r="183" spans="2:7">
      <c r="B183" s="5">
        <v>10</v>
      </c>
      <c r="C183" s="39" t="s">
        <v>607</v>
      </c>
      <c r="G183" s="6"/>
    </row>
    <row r="184" spans="2:7">
      <c r="B184" s="5">
        <v>11</v>
      </c>
      <c r="C184" s="39" t="s">
        <v>1151</v>
      </c>
      <c r="G184" s="6"/>
    </row>
    <row r="185" spans="2:7">
      <c r="B185" s="5">
        <v>12</v>
      </c>
      <c r="C185" s="39" t="s">
        <v>1150</v>
      </c>
      <c r="G185" s="6"/>
    </row>
    <row r="186" spans="2:7">
      <c r="B186" s="5">
        <v>13</v>
      </c>
      <c r="C186" s="39" t="s">
        <v>142</v>
      </c>
      <c r="G186" s="6"/>
    </row>
    <row r="187" spans="2:7">
      <c r="B187" s="5">
        <v>14</v>
      </c>
      <c r="C187" s="39" t="s">
        <v>1174</v>
      </c>
      <c r="G187" s="6"/>
    </row>
    <row r="188" spans="2:7">
      <c r="B188" s="5">
        <v>15</v>
      </c>
      <c r="C188" s="39" t="s">
        <v>247</v>
      </c>
      <c r="G188" s="6"/>
    </row>
    <row r="189" spans="2:7">
      <c r="B189" s="18"/>
      <c r="G189" s="6"/>
    </row>
    <row r="190" spans="2:7">
      <c r="B190" s="18"/>
      <c r="C190" s="39" t="s">
        <v>325</v>
      </c>
      <c r="G190" s="6"/>
    </row>
    <row r="191" spans="2:7">
      <c r="B191" s="18"/>
      <c r="C191" s="39" t="s">
        <v>1175</v>
      </c>
      <c r="G191" s="6"/>
    </row>
    <row r="192" spans="2:7">
      <c r="B192" s="18"/>
      <c r="C192" s="39" t="s">
        <v>1176</v>
      </c>
      <c r="G192" s="6"/>
    </row>
    <row r="193" spans="2:7">
      <c r="B193" s="18"/>
      <c r="C193" s="39" t="s">
        <v>1177</v>
      </c>
      <c r="G193" s="6"/>
    </row>
    <row r="194" spans="2:7">
      <c r="B194" s="18"/>
      <c r="C194" s="39" t="s">
        <v>1166</v>
      </c>
      <c r="G194" s="6"/>
    </row>
    <row r="195" spans="2:7">
      <c r="B195" s="18"/>
      <c r="G195" s="6"/>
    </row>
    <row r="196" spans="2:7">
      <c r="B196" s="18"/>
      <c r="C196" s="2" t="s">
        <v>21</v>
      </c>
      <c r="G196" s="6"/>
    </row>
    <row r="197" spans="2:7">
      <c r="B197" s="82"/>
      <c r="C197" s="39" t="s">
        <v>339</v>
      </c>
      <c r="G197" s="6"/>
    </row>
    <row r="198" spans="2:7">
      <c r="B198" s="82"/>
      <c r="C198" s="39"/>
      <c r="G198" s="6"/>
    </row>
    <row r="199" spans="2:7">
      <c r="B199" s="18"/>
      <c r="C199" s="1" t="s">
        <v>22</v>
      </c>
      <c r="G199" s="6"/>
    </row>
    <row r="200" spans="2:7">
      <c r="B200" s="82" t="s">
        <v>336</v>
      </c>
      <c r="C200" s="39" t="s">
        <v>607</v>
      </c>
      <c r="G200" s="6"/>
    </row>
    <row r="201" spans="2:7">
      <c r="B201" s="18"/>
      <c r="G201" s="6"/>
    </row>
    <row r="202" spans="2:7">
      <c r="B202" s="18"/>
      <c r="C202" s="1" t="s">
        <v>23</v>
      </c>
      <c r="G202" s="6"/>
    </row>
    <row r="203" spans="2:7">
      <c r="B203" s="82" t="s">
        <v>336</v>
      </c>
      <c r="C203" s="66" t="s">
        <v>33</v>
      </c>
      <c r="G203" s="6"/>
    </row>
    <row r="204" spans="2:7" ht="13.5" thickBot="1">
      <c r="B204" s="19"/>
      <c r="C204" s="20"/>
      <c r="D204" s="20"/>
      <c r="E204" s="8"/>
      <c r="F204" s="20"/>
      <c r="G204" s="9"/>
    </row>
    <row r="205" spans="2:7">
      <c r="B205" s="121"/>
      <c r="C205" s="16"/>
      <c r="D205" s="16"/>
      <c r="E205" s="120"/>
      <c r="F205" s="16"/>
      <c r="G205" s="16"/>
    </row>
    <row r="206" spans="2:7" ht="13.5" thickBot="1"/>
    <row r="207" spans="2:7" ht="13.5" thickBot="1">
      <c r="B207" s="236">
        <v>44681</v>
      </c>
      <c r="C207" s="237"/>
      <c r="D207" s="237"/>
      <c r="E207" s="237"/>
      <c r="F207" s="237"/>
      <c r="G207" s="238"/>
    </row>
    <row r="208" spans="2:7" ht="13.5" thickBot="1">
      <c r="B208" s="18"/>
      <c r="G208" s="6"/>
    </row>
    <row r="209" spans="2:7">
      <c r="B209" s="18"/>
      <c r="C209" s="21" t="s">
        <v>27</v>
      </c>
      <c r="D209" s="16"/>
      <c r="E209" s="80" t="s">
        <v>115</v>
      </c>
      <c r="F209" s="4">
        <v>53</v>
      </c>
      <c r="G209" s="6"/>
    </row>
    <row r="210" spans="2:7" ht="13.5" thickBot="1">
      <c r="B210" s="18"/>
      <c r="C210" s="7"/>
      <c r="D210" s="20"/>
      <c r="E210" s="83" t="s">
        <v>1</v>
      </c>
      <c r="F210" s="22">
        <v>14</v>
      </c>
      <c r="G210" s="6"/>
    </row>
    <row r="211" spans="2:7" ht="13.5" thickBot="1">
      <c r="B211" s="18"/>
      <c r="G211" s="6"/>
    </row>
    <row r="212" spans="2:7">
      <c r="B212" s="18"/>
      <c r="C212" s="3" t="s">
        <v>4</v>
      </c>
      <c r="D212" s="16"/>
      <c r="E212" s="80" t="s">
        <v>115</v>
      </c>
      <c r="F212" s="84"/>
      <c r="G212" s="6"/>
    </row>
    <row r="213" spans="2:7">
      <c r="B213" s="18"/>
      <c r="C213" s="5" t="s">
        <v>2</v>
      </c>
      <c r="E213" s="39" t="s">
        <v>326</v>
      </c>
      <c r="F213" s="6"/>
      <c r="G213" s="6"/>
    </row>
    <row r="214" spans="2:7" ht="13.5" thickBot="1">
      <c r="B214" s="18"/>
      <c r="C214" s="7" t="s">
        <v>3</v>
      </c>
      <c r="D214" s="20"/>
      <c r="E214" s="81" t="s">
        <v>354</v>
      </c>
      <c r="F214" s="9"/>
      <c r="G214" s="6"/>
    </row>
    <row r="215" spans="2:7" ht="13.5" thickBot="1">
      <c r="B215" s="18"/>
      <c r="G215" s="6"/>
    </row>
    <row r="216" spans="2:7" ht="13.5" thickBot="1">
      <c r="B216" s="18"/>
      <c r="C216" s="23" t="s">
        <v>29</v>
      </c>
      <c r="D216" s="24"/>
      <c r="E216" s="87" t="s">
        <v>1180</v>
      </c>
      <c r="F216" s="25"/>
      <c r="G216" s="6"/>
    </row>
    <row r="217" spans="2:7">
      <c r="B217" s="18"/>
      <c r="G217" s="6"/>
    </row>
    <row r="218" spans="2:7">
      <c r="B218" s="18"/>
      <c r="C218" t="s">
        <v>5</v>
      </c>
      <c r="G218" s="6"/>
    </row>
    <row r="219" spans="2:7">
      <c r="B219" s="18"/>
      <c r="G219" s="6"/>
    </row>
    <row r="220" spans="2:7">
      <c r="B220" s="5">
        <v>1</v>
      </c>
      <c r="C220" s="39" t="s">
        <v>11</v>
      </c>
      <c r="G220" s="6"/>
    </row>
    <row r="221" spans="2:7">
      <c r="B221" s="5">
        <v>2</v>
      </c>
      <c r="C221" s="39" t="s">
        <v>1113</v>
      </c>
      <c r="G221" s="6"/>
    </row>
    <row r="222" spans="2:7">
      <c r="B222" s="5">
        <v>3</v>
      </c>
      <c r="C222" s="39" t="s">
        <v>327</v>
      </c>
      <c r="G222" s="6"/>
    </row>
    <row r="223" spans="2:7">
      <c r="B223" s="5">
        <v>4</v>
      </c>
      <c r="C223" s="39" t="s">
        <v>1106</v>
      </c>
      <c r="G223" s="6"/>
    </row>
    <row r="224" spans="2:7">
      <c r="B224" s="5">
        <v>5</v>
      </c>
      <c r="C224" s="39" t="s">
        <v>207</v>
      </c>
      <c r="G224" s="6"/>
    </row>
    <row r="225" spans="2:7">
      <c r="B225" s="5">
        <v>6</v>
      </c>
      <c r="C225" s="39" t="s">
        <v>211</v>
      </c>
      <c r="G225" s="6"/>
    </row>
    <row r="226" spans="2:7">
      <c r="B226" s="5">
        <v>7</v>
      </c>
      <c r="C226" s="39" t="s">
        <v>33</v>
      </c>
      <c r="G226" s="6"/>
    </row>
    <row r="227" spans="2:7">
      <c r="B227" s="5">
        <v>8</v>
      </c>
      <c r="C227" s="39" t="s">
        <v>1159</v>
      </c>
      <c r="G227" s="6"/>
    </row>
    <row r="228" spans="2:7">
      <c r="B228" s="5">
        <v>9</v>
      </c>
      <c r="C228" s="39" t="s">
        <v>14</v>
      </c>
      <c r="G228" s="6"/>
    </row>
    <row r="229" spans="2:7">
      <c r="B229" s="5">
        <v>10</v>
      </c>
      <c r="C229" s="39" t="s">
        <v>607</v>
      </c>
      <c r="G229" s="6"/>
    </row>
    <row r="230" spans="2:7">
      <c r="B230" s="5">
        <v>11</v>
      </c>
      <c r="C230" s="39" t="s">
        <v>1097</v>
      </c>
      <c r="G230" s="6"/>
    </row>
    <row r="231" spans="2:7">
      <c r="B231" s="5">
        <v>12</v>
      </c>
      <c r="C231" s="39" t="s">
        <v>1150</v>
      </c>
      <c r="G231" s="6"/>
    </row>
    <row r="232" spans="2:7">
      <c r="B232" s="5">
        <v>13</v>
      </c>
      <c r="C232" s="39" t="s">
        <v>142</v>
      </c>
      <c r="G232" s="6"/>
    </row>
    <row r="233" spans="2:7">
      <c r="B233" s="5">
        <v>14</v>
      </c>
      <c r="C233" s="39" t="s">
        <v>1174</v>
      </c>
      <c r="G233" s="6"/>
    </row>
    <row r="234" spans="2:7">
      <c r="B234" s="5">
        <v>15</v>
      </c>
      <c r="C234" s="39" t="s">
        <v>247</v>
      </c>
      <c r="G234" s="6"/>
    </row>
    <row r="235" spans="2:7">
      <c r="B235" s="18"/>
      <c r="G235" s="6"/>
    </row>
    <row r="236" spans="2:7">
      <c r="B236" s="18"/>
      <c r="C236" s="39" t="s">
        <v>325</v>
      </c>
      <c r="G236" s="6"/>
    </row>
    <row r="237" spans="2:7">
      <c r="B237" s="18"/>
      <c r="C237" s="39" t="s">
        <v>1169</v>
      </c>
      <c r="G237" s="6"/>
    </row>
    <row r="238" spans="2:7">
      <c r="B238" s="18"/>
      <c r="C238" s="39" t="s">
        <v>1181</v>
      </c>
      <c r="G238" s="6"/>
    </row>
    <row r="239" spans="2:7">
      <c r="B239" s="18"/>
      <c r="C239" s="39" t="s">
        <v>1176</v>
      </c>
      <c r="G239" s="6"/>
    </row>
    <row r="240" spans="2:7">
      <c r="B240" s="18"/>
      <c r="C240" s="39" t="s">
        <v>1109</v>
      </c>
      <c r="G240" s="6"/>
    </row>
    <row r="241" spans="2:7">
      <c r="B241" s="18"/>
      <c r="G241" s="6"/>
    </row>
    <row r="242" spans="2:7">
      <c r="B242" s="18"/>
      <c r="C242" s="2" t="s">
        <v>21</v>
      </c>
      <c r="G242" s="6"/>
    </row>
    <row r="243" spans="2:7">
      <c r="B243" s="82" t="s">
        <v>336</v>
      </c>
      <c r="C243" s="39" t="s">
        <v>1097</v>
      </c>
      <c r="G243" s="6"/>
    </row>
    <row r="244" spans="2:7">
      <c r="B244" s="82" t="s">
        <v>336</v>
      </c>
      <c r="C244" s="39" t="s">
        <v>1172</v>
      </c>
      <c r="G244" s="6"/>
    </row>
    <row r="245" spans="2:7">
      <c r="B245" s="82"/>
      <c r="C245" s="39"/>
      <c r="G245" s="6"/>
    </row>
    <row r="246" spans="2:7">
      <c r="B246" s="18"/>
      <c r="C246" s="15" t="s">
        <v>337</v>
      </c>
      <c r="G246" s="6"/>
    </row>
    <row r="247" spans="2:7">
      <c r="B247" s="82" t="s">
        <v>352</v>
      </c>
      <c r="C247" s="39" t="s">
        <v>607</v>
      </c>
      <c r="G247" s="6"/>
    </row>
    <row r="248" spans="2:7">
      <c r="B248" s="18"/>
      <c r="G248" s="6"/>
    </row>
    <row r="249" spans="2:7">
      <c r="B249" s="18"/>
      <c r="C249" s="1" t="s">
        <v>23</v>
      </c>
      <c r="G249" s="6"/>
    </row>
    <row r="250" spans="2:7">
      <c r="B250" s="82"/>
      <c r="C250" s="66" t="s">
        <v>339</v>
      </c>
      <c r="G250" s="6"/>
    </row>
    <row r="251" spans="2:7">
      <c r="B251" s="18"/>
      <c r="G251" s="6"/>
    </row>
    <row r="252" spans="2:7" ht="13.5" thickBot="1">
      <c r="B252" s="19"/>
      <c r="C252" s="20"/>
      <c r="D252" s="20"/>
      <c r="E252" s="8"/>
      <c r="F252" s="20"/>
      <c r="G252" s="9"/>
    </row>
    <row r="253" spans="2:7">
      <c r="B253" s="121"/>
      <c r="C253" s="16"/>
      <c r="D253" s="16"/>
      <c r="E253" s="120"/>
      <c r="F253" s="16"/>
      <c r="G253" s="16"/>
    </row>
    <row r="254" spans="2:7" ht="13.5" thickBot="1"/>
    <row r="255" spans="2:7" ht="13.5" thickBot="1">
      <c r="B255" s="236">
        <v>44688</v>
      </c>
      <c r="C255" s="237"/>
      <c r="D255" s="237"/>
      <c r="E255" s="237"/>
      <c r="F255" s="237"/>
      <c r="G255" s="238"/>
    </row>
    <row r="256" spans="2:7" ht="13.5" thickBot="1">
      <c r="B256" s="18"/>
      <c r="G256" s="6"/>
    </row>
    <row r="257" spans="2:7">
      <c r="B257" s="18"/>
      <c r="C257" s="21" t="s">
        <v>27</v>
      </c>
      <c r="D257" s="16"/>
      <c r="E257" s="80" t="s">
        <v>1</v>
      </c>
      <c r="F257" s="4">
        <v>17</v>
      </c>
      <c r="G257" s="6"/>
    </row>
    <row r="258" spans="2:7" ht="13.5" thickBot="1">
      <c r="B258" s="18"/>
      <c r="C258" s="7"/>
      <c r="D258" s="20"/>
      <c r="E258" s="83" t="s">
        <v>116</v>
      </c>
      <c r="F258" s="22">
        <v>61</v>
      </c>
      <c r="G258" s="6"/>
    </row>
    <row r="259" spans="2:7" ht="13.5" thickBot="1">
      <c r="B259" s="18"/>
      <c r="G259" s="6"/>
    </row>
    <row r="260" spans="2:7">
      <c r="B260" s="18"/>
      <c r="C260" s="3" t="s">
        <v>4</v>
      </c>
      <c r="D260" s="16"/>
      <c r="E260" s="80" t="s">
        <v>1</v>
      </c>
      <c r="F260" s="84" t="s">
        <v>205</v>
      </c>
      <c r="G260" s="6"/>
    </row>
    <row r="261" spans="2:7">
      <c r="B261" s="18"/>
      <c r="C261" s="5" t="s">
        <v>2</v>
      </c>
      <c r="E261" s="39" t="s">
        <v>326</v>
      </c>
      <c r="F261" s="6"/>
      <c r="G261" s="6"/>
    </row>
    <row r="262" spans="2:7" ht="13.5" thickBot="1">
      <c r="B262" s="18"/>
      <c r="C262" s="7" t="s">
        <v>3</v>
      </c>
      <c r="D262" s="20"/>
      <c r="E262" s="81" t="s">
        <v>344</v>
      </c>
      <c r="F262" s="9"/>
      <c r="G262" s="6"/>
    </row>
    <row r="263" spans="2:7" ht="13.5" thickBot="1">
      <c r="B263" s="18"/>
      <c r="G263" s="6"/>
    </row>
    <row r="264" spans="2:7" ht="13.5" thickBot="1">
      <c r="B264" s="18"/>
      <c r="C264" s="23" t="s">
        <v>29</v>
      </c>
      <c r="D264" s="24"/>
      <c r="E264" s="87" t="s">
        <v>216</v>
      </c>
      <c r="F264" s="25"/>
      <c r="G264" s="6"/>
    </row>
    <row r="265" spans="2:7">
      <c r="B265" s="18"/>
      <c r="G265" s="6"/>
    </row>
    <row r="266" spans="2:7">
      <c r="B266" s="18"/>
      <c r="C266" t="s">
        <v>5</v>
      </c>
      <c r="G266" s="6"/>
    </row>
    <row r="267" spans="2:7">
      <c r="B267" s="18"/>
      <c r="G267" s="6"/>
    </row>
    <row r="268" spans="2:7">
      <c r="B268" s="5">
        <v>1</v>
      </c>
      <c r="C268" s="39" t="s">
        <v>11</v>
      </c>
      <c r="G268" s="6"/>
    </row>
    <row r="269" spans="2:7">
      <c r="B269" s="5">
        <v>2</v>
      </c>
      <c r="C269" s="39" t="s">
        <v>1113</v>
      </c>
      <c r="G269" s="6"/>
    </row>
    <row r="270" spans="2:7">
      <c r="B270" s="5">
        <v>3</v>
      </c>
      <c r="C270" s="39" t="s">
        <v>327</v>
      </c>
      <c r="G270" s="6"/>
    </row>
    <row r="271" spans="2:7">
      <c r="B271" s="5">
        <v>4</v>
      </c>
      <c r="C271" s="39" t="s">
        <v>1173</v>
      </c>
      <c r="G271" s="6"/>
    </row>
    <row r="272" spans="2:7">
      <c r="B272" s="5">
        <v>5</v>
      </c>
      <c r="C272" s="39" t="s">
        <v>207</v>
      </c>
      <c r="G272" s="6"/>
    </row>
    <row r="273" spans="2:7">
      <c r="B273" s="5">
        <v>6</v>
      </c>
      <c r="C273" s="39" t="s">
        <v>211</v>
      </c>
      <c r="G273" s="6"/>
    </row>
    <row r="274" spans="2:7">
      <c r="B274" s="5">
        <v>7</v>
      </c>
      <c r="C274" s="39" t="s">
        <v>33</v>
      </c>
      <c r="G274" s="6"/>
    </row>
    <row r="275" spans="2:7">
      <c r="B275" s="5">
        <v>8</v>
      </c>
      <c r="C275" s="39" t="s">
        <v>1159</v>
      </c>
      <c r="G275" s="6"/>
    </row>
    <row r="276" spans="2:7">
      <c r="B276" s="5">
        <v>9</v>
      </c>
      <c r="C276" s="39" t="s">
        <v>14</v>
      </c>
      <c r="G276" s="6"/>
    </row>
    <row r="277" spans="2:7">
      <c r="B277" s="5">
        <v>10</v>
      </c>
      <c r="C277" s="39" t="s">
        <v>1112</v>
      </c>
      <c r="G277" s="6"/>
    </row>
    <row r="278" spans="2:7">
      <c r="B278" s="5">
        <v>11</v>
      </c>
      <c r="C278" s="39" t="s">
        <v>1097</v>
      </c>
      <c r="G278" s="6"/>
    </row>
    <row r="279" spans="2:7">
      <c r="B279" s="5">
        <v>12</v>
      </c>
      <c r="C279" s="39" t="s">
        <v>1150</v>
      </c>
      <c r="G279" s="6"/>
    </row>
    <row r="280" spans="2:7">
      <c r="B280" s="5">
        <v>13</v>
      </c>
      <c r="C280" s="39" t="s">
        <v>142</v>
      </c>
      <c r="G280" s="6"/>
    </row>
    <row r="281" spans="2:7">
      <c r="B281" s="5">
        <v>14</v>
      </c>
      <c r="C281" s="39" t="s">
        <v>144</v>
      </c>
      <c r="G281" s="6"/>
    </row>
    <row r="282" spans="2:7">
      <c r="B282" s="5">
        <v>15</v>
      </c>
      <c r="C282" s="39" t="s">
        <v>607</v>
      </c>
      <c r="G282" s="6"/>
    </row>
    <row r="283" spans="2:7">
      <c r="B283" s="18"/>
      <c r="G283" s="6"/>
    </row>
    <row r="284" spans="2:7">
      <c r="B284" s="18"/>
      <c r="C284" s="39" t="s">
        <v>325</v>
      </c>
      <c r="G284" s="6"/>
    </row>
    <row r="285" spans="2:7">
      <c r="B285" s="18"/>
      <c r="C285" s="39" t="s">
        <v>1182</v>
      </c>
      <c r="G285" s="6"/>
    </row>
    <row r="286" spans="2:7">
      <c r="B286" s="18"/>
      <c r="C286" s="39" t="s">
        <v>1183</v>
      </c>
      <c r="G286" s="6"/>
    </row>
    <row r="287" spans="2:7">
      <c r="B287" s="18"/>
      <c r="C287" s="39" t="s">
        <v>1160</v>
      </c>
      <c r="G287" s="6"/>
    </row>
    <row r="288" spans="2:7">
      <c r="B288" s="18"/>
      <c r="C288" s="39" t="s">
        <v>1184</v>
      </c>
      <c r="G288" s="6"/>
    </row>
    <row r="289" spans="2:7">
      <c r="B289" s="18"/>
      <c r="C289" s="39" t="s">
        <v>1185</v>
      </c>
      <c r="G289" s="6"/>
    </row>
    <row r="290" spans="2:7">
      <c r="B290" s="18"/>
      <c r="C290" s="39" t="s">
        <v>1109</v>
      </c>
      <c r="G290" s="6"/>
    </row>
    <row r="291" spans="2:7">
      <c r="B291" s="18"/>
      <c r="G291" s="6"/>
    </row>
    <row r="292" spans="2:7">
      <c r="B292" s="18"/>
      <c r="C292" s="2" t="s">
        <v>21</v>
      </c>
      <c r="G292" s="6"/>
    </row>
    <row r="293" spans="2:7">
      <c r="B293" s="82" t="s">
        <v>352</v>
      </c>
      <c r="C293" s="39" t="s">
        <v>14</v>
      </c>
      <c r="G293" s="6"/>
    </row>
    <row r="294" spans="2:7">
      <c r="B294" s="82" t="s">
        <v>336</v>
      </c>
      <c r="C294" s="39" t="s">
        <v>1173</v>
      </c>
      <c r="G294" s="6"/>
    </row>
    <row r="295" spans="2:7">
      <c r="B295" s="82"/>
      <c r="C295" s="39"/>
      <c r="G295" s="6"/>
    </row>
    <row r="296" spans="2:7">
      <c r="B296" s="18"/>
      <c r="C296" s="15" t="s">
        <v>337</v>
      </c>
      <c r="G296" s="6"/>
    </row>
    <row r="297" spans="2:7">
      <c r="B297" s="82" t="s">
        <v>336</v>
      </c>
      <c r="C297" s="39" t="s">
        <v>607</v>
      </c>
      <c r="G297" s="6"/>
    </row>
    <row r="298" spans="2:7">
      <c r="B298" s="18"/>
      <c r="G298" s="6"/>
    </row>
    <row r="299" spans="2:7">
      <c r="B299" s="18"/>
      <c r="C299" s="1" t="s">
        <v>23</v>
      </c>
      <c r="G299" s="6"/>
    </row>
    <row r="300" spans="2:7">
      <c r="B300" s="82" t="s">
        <v>336</v>
      </c>
      <c r="C300" s="66" t="s">
        <v>18</v>
      </c>
      <c r="G300" s="6"/>
    </row>
    <row r="301" spans="2:7">
      <c r="B301" s="82" t="s">
        <v>336</v>
      </c>
      <c r="C301" s="39" t="s">
        <v>1097</v>
      </c>
      <c r="G301" s="6"/>
    </row>
    <row r="302" spans="2:7" ht="13.5" thickBot="1">
      <c r="B302" s="19"/>
      <c r="C302" s="20"/>
      <c r="D302" s="20"/>
      <c r="E302" s="8"/>
      <c r="F302" s="20"/>
      <c r="G302" s="9"/>
    </row>
    <row r="304" spans="2:7" ht="13.5" thickBot="1"/>
    <row r="305" spans="2:7" ht="13.5" thickBot="1">
      <c r="B305" s="236">
        <v>44695</v>
      </c>
      <c r="C305" s="237"/>
      <c r="D305" s="237"/>
      <c r="E305" s="237"/>
      <c r="F305" s="237"/>
      <c r="G305" s="238"/>
    </row>
    <row r="306" spans="2:7" ht="13.5" thickBot="1">
      <c r="B306" s="18"/>
      <c r="G306" s="6"/>
    </row>
    <row r="307" spans="2:7">
      <c r="B307" s="18"/>
      <c r="C307" s="21" t="s">
        <v>27</v>
      </c>
      <c r="D307" s="16"/>
      <c r="E307" s="80" t="s">
        <v>90</v>
      </c>
      <c r="F307" s="4">
        <v>36</v>
      </c>
      <c r="G307" s="6"/>
    </row>
    <row r="308" spans="2:7" ht="13.5" thickBot="1">
      <c r="B308" s="18"/>
      <c r="C308" s="7"/>
      <c r="D308" s="20"/>
      <c r="E308" s="83" t="s">
        <v>1</v>
      </c>
      <c r="F308" s="22">
        <v>28</v>
      </c>
      <c r="G308" s="6"/>
    </row>
    <row r="309" spans="2:7" ht="13.5" thickBot="1">
      <c r="B309" s="18"/>
      <c r="G309" s="6"/>
    </row>
    <row r="310" spans="2:7">
      <c r="B310" s="18"/>
      <c r="C310" s="3" t="s">
        <v>4</v>
      </c>
      <c r="D310" s="16"/>
      <c r="E310" s="80" t="s">
        <v>90</v>
      </c>
      <c r="F310" s="84"/>
      <c r="G310" s="6"/>
    </row>
    <row r="311" spans="2:7">
      <c r="B311" s="18"/>
      <c r="C311" s="5" t="s">
        <v>2</v>
      </c>
      <c r="E311" s="39" t="s">
        <v>326</v>
      </c>
      <c r="F311" s="6"/>
      <c r="G311" s="6"/>
    </row>
    <row r="312" spans="2:7" ht="13.5" thickBot="1">
      <c r="B312" s="18"/>
      <c r="C312" s="7" t="s">
        <v>3</v>
      </c>
      <c r="D312" s="20"/>
      <c r="E312" s="81" t="s">
        <v>354</v>
      </c>
      <c r="F312" s="9"/>
      <c r="G312" s="6"/>
    </row>
    <row r="313" spans="2:7" ht="13.5" thickBot="1">
      <c r="B313" s="18"/>
      <c r="G313" s="6"/>
    </row>
    <row r="314" spans="2:7" ht="13.5" thickBot="1">
      <c r="B314" s="18"/>
      <c r="C314" s="23" t="s">
        <v>29</v>
      </c>
      <c r="D314" s="24"/>
      <c r="E314" s="87" t="s">
        <v>1171</v>
      </c>
      <c r="F314" s="25"/>
      <c r="G314" s="6"/>
    </row>
    <row r="315" spans="2:7">
      <c r="B315" s="18"/>
      <c r="G315" s="6"/>
    </row>
    <row r="316" spans="2:7">
      <c r="B316" s="18"/>
      <c r="C316" t="s">
        <v>5</v>
      </c>
      <c r="G316" s="6"/>
    </row>
    <row r="317" spans="2:7">
      <c r="B317" s="18"/>
      <c r="G317" s="6"/>
    </row>
    <row r="318" spans="2:7">
      <c r="B318" s="5">
        <v>1</v>
      </c>
      <c r="C318" s="39" t="s">
        <v>327</v>
      </c>
      <c r="G318" s="6"/>
    </row>
    <row r="319" spans="2:7">
      <c r="B319" s="5">
        <v>2</v>
      </c>
      <c r="C319" s="39" t="s">
        <v>1113</v>
      </c>
      <c r="G319" s="6"/>
    </row>
    <row r="320" spans="2:7">
      <c r="B320" s="5">
        <v>3</v>
      </c>
      <c r="C320" s="39" t="s">
        <v>1158</v>
      </c>
      <c r="G320" s="6"/>
    </row>
    <row r="321" spans="2:7">
      <c r="B321" s="5">
        <v>4</v>
      </c>
      <c r="C321" s="39" t="s">
        <v>1173</v>
      </c>
      <c r="G321" s="6"/>
    </row>
    <row r="322" spans="2:7">
      <c r="B322" s="5">
        <v>5</v>
      </c>
      <c r="C322" s="39" t="s">
        <v>207</v>
      </c>
      <c r="G322" s="6"/>
    </row>
    <row r="323" spans="2:7">
      <c r="B323" s="5">
        <v>6</v>
      </c>
      <c r="C323" s="39" t="s">
        <v>211</v>
      </c>
      <c r="G323" s="6"/>
    </row>
    <row r="324" spans="2:7">
      <c r="B324" s="5">
        <v>7</v>
      </c>
      <c r="C324" s="39" t="s">
        <v>33</v>
      </c>
      <c r="G324" s="6"/>
    </row>
    <row r="325" spans="2:7">
      <c r="B325" s="5">
        <v>8</v>
      </c>
      <c r="C325" s="39" t="s">
        <v>1159</v>
      </c>
      <c r="G325" s="6"/>
    </row>
    <row r="326" spans="2:7">
      <c r="B326" s="5">
        <v>9</v>
      </c>
      <c r="C326" s="39" t="s">
        <v>14</v>
      </c>
      <c r="G326" s="6"/>
    </row>
    <row r="327" spans="2:7">
      <c r="B327" s="5">
        <v>10</v>
      </c>
      <c r="C327" s="39" t="s">
        <v>1112</v>
      </c>
      <c r="G327" s="6"/>
    </row>
    <row r="328" spans="2:7">
      <c r="B328" s="5">
        <v>11</v>
      </c>
      <c r="C328" s="39" t="s">
        <v>1097</v>
      </c>
      <c r="G328" s="6"/>
    </row>
    <row r="329" spans="2:7">
      <c r="B329" s="5">
        <v>12</v>
      </c>
      <c r="C329" s="39" t="s">
        <v>236</v>
      </c>
      <c r="G329" s="6"/>
    </row>
    <row r="330" spans="2:7">
      <c r="B330" s="5">
        <v>13</v>
      </c>
      <c r="C330" s="39" t="s">
        <v>142</v>
      </c>
      <c r="G330" s="6"/>
    </row>
    <row r="331" spans="2:7">
      <c r="B331" s="5">
        <v>14</v>
      </c>
      <c r="C331" s="39" t="s">
        <v>144</v>
      </c>
      <c r="G331" s="6"/>
    </row>
    <row r="332" spans="2:7">
      <c r="B332" s="5">
        <v>15</v>
      </c>
      <c r="C332" s="39" t="s">
        <v>607</v>
      </c>
      <c r="G332" s="6"/>
    </row>
    <row r="333" spans="2:7">
      <c r="B333" s="18"/>
      <c r="G333" s="6"/>
    </row>
    <row r="334" spans="2:7">
      <c r="B334" s="18"/>
      <c r="C334" s="39" t="s">
        <v>325</v>
      </c>
      <c r="G334" s="6"/>
    </row>
    <row r="335" spans="2:7">
      <c r="B335" s="18"/>
      <c r="C335" s="39" t="s">
        <v>1186</v>
      </c>
      <c r="G335" s="6"/>
    </row>
    <row r="336" spans="2:7">
      <c r="B336" s="18"/>
      <c r="C336" s="39" t="s">
        <v>1187</v>
      </c>
      <c r="G336" s="6"/>
    </row>
    <row r="337" spans="2:7">
      <c r="B337" s="18"/>
      <c r="C337" s="39" t="s">
        <v>1109</v>
      </c>
      <c r="G337" s="6"/>
    </row>
    <row r="338" spans="2:7">
      <c r="B338" s="18"/>
      <c r="G338" s="6"/>
    </row>
    <row r="339" spans="2:7">
      <c r="B339" s="18"/>
      <c r="C339" s="2" t="s">
        <v>21</v>
      </c>
      <c r="G339" s="6"/>
    </row>
    <row r="340" spans="2:7">
      <c r="B340" s="82" t="s">
        <v>336</v>
      </c>
      <c r="C340" s="39" t="s">
        <v>1097</v>
      </c>
      <c r="G340" s="6"/>
    </row>
    <row r="341" spans="2:7">
      <c r="B341" s="82" t="s">
        <v>336</v>
      </c>
      <c r="C341" s="39" t="s">
        <v>211</v>
      </c>
      <c r="G341" s="6"/>
    </row>
    <row r="342" spans="2:7">
      <c r="B342" s="82" t="s">
        <v>336</v>
      </c>
      <c r="C342" s="39" t="s">
        <v>144</v>
      </c>
      <c r="G342" s="6"/>
    </row>
    <row r="343" spans="2:7">
      <c r="B343" s="82"/>
      <c r="C343" s="39"/>
      <c r="G343" s="6"/>
    </row>
    <row r="344" spans="2:7">
      <c r="B344" s="18"/>
      <c r="C344" s="15" t="s">
        <v>337</v>
      </c>
      <c r="G344" s="6"/>
    </row>
    <row r="345" spans="2:7">
      <c r="B345" s="82" t="s">
        <v>336</v>
      </c>
      <c r="C345" s="39" t="s">
        <v>607</v>
      </c>
      <c r="G345" s="6"/>
    </row>
    <row r="346" spans="2:7">
      <c r="B346" s="82" t="s">
        <v>336</v>
      </c>
      <c r="C346" s="39" t="s">
        <v>236</v>
      </c>
      <c r="G346" s="6"/>
    </row>
    <row r="347" spans="2:7">
      <c r="B347" s="18"/>
      <c r="G347" s="6"/>
    </row>
    <row r="348" spans="2:7">
      <c r="B348" s="18"/>
      <c r="C348" s="1" t="s">
        <v>22</v>
      </c>
      <c r="G348" s="6"/>
    </row>
    <row r="349" spans="2:7">
      <c r="B349" s="82" t="s">
        <v>352</v>
      </c>
      <c r="C349" s="66" t="s">
        <v>607</v>
      </c>
      <c r="G349" s="6"/>
    </row>
    <row r="350" spans="2:7">
      <c r="B350" s="82" t="s">
        <v>336</v>
      </c>
      <c r="C350" s="66" t="s">
        <v>236</v>
      </c>
      <c r="G350" s="6"/>
    </row>
    <row r="351" spans="2:7">
      <c r="B351" s="18"/>
      <c r="G351" s="6"/>
    </row>
    <row r="352" spans="2:7">
      <c r="B352" s="18"/>
      <c r="C352" s="1" t="s">
        <v>23</v>
      </c>
      <c r="G352" s="6"/>
    </row>
    <row r="353" spans="2:7">
      <c r="B353" s="82"/>
      <c r="C353" s="66" t="s">
        <v>339</v>
      </c>
      <c r="G353" s="6"/>
    </row>
    <row r="354" spans="2:7">
      <c r="B354" s="82"/>
      <c r="C354" s="39"/>
      <c r="G354" s="6"/>
    </row>
    <row r="355" spans="2:7" ht="13.5" thickBot="1">
      <c r="B355" s="19"/>
      <c r="C355" s="20"/>
      <c r="D355" s="20"/>
      <c r="E355" s="8"/>
      <c r="F355" s="20"/>
      <c r="G355" s="9"/>
    </row>
    <row r="356" spans="2:7" ht="13.5" thickBot="1">
      <c r="B356" s="19"/>
      <c r="C356" s="20"/>
      <c r="D356" s="20"/>
      <c r="E356" s="8"/>
      <c r="F356" s="20"/>
      <c r="G356" s="9"/>
    </row>
    <row r="358" spans="2:7" ht="13.5" thickBot="1"/>
    <row r="359" spans="2:7" ht="13.5" thickBot="1">
      <c r="B359" s="236">
        <v>44709</v>
      </c>
      <c r="C359" s="237"/>
      <c r="D359" s="237"/>
      <c r="E359" s="237"/>
      <c r="F359" s="237"/>
      <c r="G359" s="238"/>
    </row>
    <row r="360" spans="2:7" ht="13.5" thickBot="1">
      <c r="B360" s="18"/>
      <c r="G360" s="6"/>
    </row>
    <row r="361" spans="2:7">
      <c r="B361" s="18"/>
      <c r="C361" s="21" t="s">
        <v>27</v>
      </c>
      <c r="D361" s="16"/>
      <c r="E361" s="80" t="s">
        <v>1</v>
      </c>
      <c r="F361" s="4">
        <v>19</v>
      </c>
      <c r="G361" s="6"/>
    </row>
    <row r="362" spans="2:7" ht="13.5" thickBot="1">
      <c r="B362" s="18"/>
      <c r="C362" s="7"/>
      <c r="D362" s="20"/>
      <c r="E362" s="83" t="s">
        <v>61</v>
      </c>
      <c r="F362" s="22">
        <v>56</v>
      </c>
      <c r="G362" s="6"/>
    </row>
    <row r="363" spans="2:7" ht="13.5" thickBot="1">
      <c r="B363" s="18"/>
      <c r="G363" s="6"/>
    </row>
    <row r="364" spans="2:7">
      <c r="B364" s="18"/>
      <c r="C364" s="3" t="s">
        <v>4</v>
      </c>
      <c r="D364" s="16"/>
      <c r="E364" s="80" t="s">
        <v>1</v>
      </c>
      <c r="F364" s="84" t="s">
        <v>205</v>
      </c>
      <c r="G364" s="6"/>
    </row>
    <row r="365" spans="2:7">
      <c r="B365" s="18"/>
      <c r="C365" s="5" t="s">
        <v>2</v>
      </c>
      <c r="E365" s="39" t="s">
        <v>404</v>
      </c>
      <c r="F365" s="6"/>
      <c r="G365" s="6"/>
    </row>
    <row r="366" spans="2:7" ht="13.5" thickBot="1">
      <c r="B366" s="18"/>
      <c r="C366" s="7" t="s">
        <v>3</v>
      </c>
      <c r="D366" s="20"/>
      <c r="E366" s="81" t="s">
        <v>385</v>
      </c>
      <c r="F366" s="9"/>
      <c r="G366" s="6"/>
    </row>
    <row r="367" spans="2:7" ht="13.5" thickBot="1">
      <c r="B367" s="18"/>
      <c r="G367" s="6"/>
    </row>
    <row r="368" spans="2:7" ht="13.5" thickBot="1">
      <c r="B368" s="18"/>
      <c r="C368" s="23" t="s">
        <v>29</v>
      </c>
      <c r="D368" s="24"/>
      <c r="E368" s="87" t="s">
        <v>1188</v>
      </c>
      <c r="F368" s="25"/>
      <c r="G368" s="6"/>
    </row>
    <row r="369" spans="2:7">
      <c r="B369" s="18"/>
      <c r="G369" s="6"/>
    </row>
    <row r="370" spans="2:7">
      <c r="B370" s="18"/>
      <c r="C370" t="s">
        <v>5</v>
      </c>
      <c r="G370" s="6"/>
    </row>
    <row r="371" spans="2:7">
      <c r="B371" s="18"/>
      <c r="G371" s="6"/>
    </row>
    <row r="372" spans="2:7">
      <c r="B372" s="5">
        <v>1</v>
      </c>
      <c r="C372" s="39" t="s">
        <v>327</v>
      </c>
      <c r="G372" s="6"/>
    </row>
    <row r="373" spans="2:7">
      <c r="B373" s="5">
        <v>2</v>
      </c>
      <c r="C373" s="39" t="s">
        <v>1113</v>
      </c>
      <c r="G373" s="6"/>
    </row>
    <row r="374" spans="2:7">
      <c r="B374" s="5">
        <v>3</v>
      </c>
      <c r="C374" s="39" t="s">
        <v>1158</v>
      </c>
      <c r="G374" s="6"/>
    </row>
    <row r="375" spans="2:7">
      <c r="B375" s="5">
        <v>4</v>
      </c>
      <c r="C375" s="39" t="s">
        <v>1173</v>
      </c>
      <c r="G375" s="6"/>
    </row>
    <row r="376" spans="2:7">
      <c r="B376" s="5">
        <v>5</v>
      </c>
      <c r="C376" s="39" t="s">
        <v>207</v>
      </c>
      <c r="G376" s="6"/>
    </row>
    <row r="377" spans="2:7">
      <c r="B377" s="5">
        <v>6</v>
      </c>
      <c r="C377" s="39" t="s">
        <v>211</v>
      </c>
      <c r="G377" s="6"/>
    </row>
    <row r="378" spans="2:7">
      <c r="B378" s="5">
        <v>7</v>
      </c>
      <c r="C378" s="39" t="s">
        <v>33</v>
      </c>
      <c r="G378" s="6"/>
    </row>
    <row r="379" spans="2:7">
      <c r="B379" s="5">
        <v>8</v>
      </c>
      <c r="C379" s="39" t="s">
        <v>1159</v>
      </c>
      <c r="G379" s="6"/>
    </row>
    <row r="380" spans="2:7">
      <c r="B380" s="5">
        <v>9</v>
      </c>
      <c r="C380" s="39" t="s">
        <v>14</v>
      </c>
      <c r="G380" s="6"/>
    </row>
    <row r="381" spans="2:7">
      <c r="B381" s="5">
        <v>10</v>
      </c>
      <c r="C381" s="39" t="s">
        <v>1112</v>
      </c>
      <c r="G381" s="6"/>
    </row>
    <row r="382" spans="2:7">
      <c r="B382" s="5">
        <v>11</v>
      </c>
      <c r="C382" s="39" t="s">
        <v>1097</v>
      </c>
      <c r="G382" s="6"/>
    </row>
    <row r="383" spans="2:7">
      <c r="B383" s="5">
        <v>12</v>
      </c>
      <c r="C383" s="39" t="s">
        <v>236</v>
      </c>
      <c r="G383" s="6"/>
    </row>
    <row r="384" spans="2:7">
      <c r="B384" s="5">
        <v>13</v>
      </c>
      <c r="C384" s="39" t="s">
        <v>142</v>
      </c>
      <c r="G384" s="6"/>
    </row>
    <row r="385" spans="2:7">
      <c r="B385" s="5">
        <v>14</v>
      </c>
      <c r="C385" s="39" t="s">
        <v>144</v>
      </c>
      <c r="G385" s="6"/>
    </row>
    <row r="386" spans="2:7">
      <c r="B386" s="5">
        <v>15</v>
      </c>
      <c r="C386" s="39" t="s">
        <v>214</v>
      </c>
      <c r="G386" s="6"/>
    </row>
    <row r="387" spans="2:7">
      <c r="B387" s="18"/>
      <c r="G387" s="6"/>
    </row>
    <row r="388" spans="2:7">
      <c r="B388" s="18"/>
      <c r="C388" s="39" t="s">
        <v>325</v>
      </c>
      <c r="G388" s="6"/>
    </row>
    <row r="389" spans="2:7">
      <c r="B389" s="18"/>
      <c r="C389" s="39" t="s">
        <v>1189</v>
      </c>
      <c r="G389" s="6"/>
    </row>
    <row r="390" spans="2:7">
      <c r="B390" s="18"/>
      <c r="C390" s="39" t="s">
        <v>1190</v>
      </c>
      <c r="G390" s="6"/>
    </row>
    <row r="391" spans="2:7">
      <c r="B391" s="18"/>
      <c r="C391" s="39" t="s">
        <v>1191</v>
      </c>
      <c r="G391" s="6"/>
    </row>
    <row r="392" spans="2:7">
      <c r="B392" s="18"/>
      <c r="C392" s="39" t="s">
        <v>1192</v>
      </c>
      <c r="G392" s="6"/>
    </row>
    <row r="393" spans="2:7">
      <c r="B393" s="18"/>
      <c r="C393" s="39" t="s">
        <v>1193</v>
      </c>
      <c r="G393" s="6"/>
    </row>
    <row r="394" spans="2:7">
      <c r="B394" s="18"/>
      <c r="C394" s="39" t="s">
        <v>1109</v>
      </c>
      <c r="G394" s="6"/>
    </row>
    <row r="395" spans="2:7">
      <c r="B395" s="18"/>
      <c r="C395" s="39" t="s">
        <v>1194</v>
      </c>
      <c r="G395" s="6"/>
    </row>
    <row r="396" spans="2:7">
      <c r="B396" s="18"/>
      <c r="C396" s="39" t="s">
        <v>1195</v>
      </c>
      <c r="G396" s="6"/>
    </row>
    <row r="397" spans="2:7">
      <c r="B397" s="18"/>
      <c r="G397" s="6"/>
    </row>
    <row r="398" spans="2:7">
      <c r="B398" s="18"/>
      <c r="C398" s="2" t="s">
        <v>21</v>
      </c>
      <c r="G398" s="6"/>
    </row>
    <row r="399" spans="2:7">
      <c r="B399" s="82" t="s">
        <v>336</v>
      </c>
      <c r="C399" s="39" t="s">
        <v>214</v>
      </c>
      <c r="G399" s="6"/>
    </row>
    <row r="400" spans="2:7">
      <c r="B400" s="82" t="s">
        <v>336</v>
      </c>
      <c r="C400" s="39" t="s">
        <v>230</v>
      </c>
      <c r="G400" s="6"/>
    </row>
    <row r="401" spans="2:7">
      <c r="B401" s="82" t="s">
        <v>336</v>
      </c>
      <c r="C401" s="39" t="s">
        <v>236</v>
      </c>
      <c r="G401" s="6"/>
    </row>
    <row r="402" spans="2:7">
      <c r="B402" s="82"/>
      <c r="C402" s="39"/>
      <c r="G402" s="6"/>
    </row>
    <row r="403" spans="2:7">
      <c r="B403" s="18"/>
      <c r="C403" s="15" t="s">
        <v>337</v>
      </c>
      <c r="G403" s="6"/>
    </row>
    <row r="404" spans="2:7">
      <c r="B404" s="82" t="s">
        <v>352</v>
      </c>
      <c r="C404" s="39" t="s">
        <v>236</v>
      </c>
      <c r="G404" s="6"/>
    </row>
    <row r="405" spans="2:7">
      <c r="B405" s="18"/>
      <c r="G405" s="6"/>
    </row>
    <row r="406" spans="2:7">
      <c r="B406" s="18"/>
      <c r="C406" s="1" t="s">
        <v>23</v>
      </c>
      <c r="G406" s="6"/>
    </row>
    <row r="407" spans="2:7">
      <c r="B407" s="82" t="s">
        <v>336</v>
      </c>
      <c r="C407" s="66" t="s">
        <v>211</v>
      </c>
      <c r="G407" s="6"/>
    </row>
    <row r="408" spans="2:7">
      <c r="B408" s="82"/>
      <c r="C408" s="39"/>
      <c r="G408" s="6"/>
    </row>
    <row r="409" spans="2:7" ht="13.5" thickBot="1">
      <c r="B409" s="19"/>
      <c r="C409" s="20"/>
      <c r="D409" s="20"/>
      <c r="E409" s="8"/>
      <c r="F409" s="20"/>
      <c r="G409" s="9"/>
    </row>
    <row r="411" spans="2:7" ht="13.5" thickBot="1"/>
    <row r="412" spans="2:7" ht="13.5" thickBot="1">
      <c r="B412" s="236">
        <v>44716</v>
      </c>
      <c r="C412" s="237"/>
      <c r="D412" s="237"/>
      <c r="E412" s="237"/>
      <c r="F412" s="237"/>
      <c r="G412" s="238"/>
    </row>
    <row r="413" spans="2:7" ht="13.5" thickBot="1">
      <c r="B413" s="18"/>
      <c r="G413" s="6"/>
    </row>
    <row r="414" spans="2:7">
      <c r="B414" s="18"/>
      <c r="C414" s="21" t="s">
        <v>27</v>
      </c>
      <c r="D414" s="16"/>
      <c r="E414" s="80" t="s">
        <v>103</v>
      </c>
      <c r="F414" s="4">
        <v>15</v>
      </c>
      <c r="G414" s="6"/>
    </row>
    <row r="415" spans="2:7" ht="13.5" thickBot="1">
      <c r="B415" s="18"/>
      <c r="C415" s="7"/>
      <c r="D415" s="20"/>
      <c r="E415" s="83" t="s">
        <v>1</v>
      </c>
      <c r="F415" s="22">
        <v>12</v>
      </c>
      <c r="G415" s="6"/>
    </row>
    <row r="416" spans="2:7" ht="13.5" thickBot="1">
      <c r="B416" s="18"/>
      <c r="G416" s="6"/>
    </row>
    <row r="417" spans="2:7">
      <c r="B417" s="18"/>
      <c r="C417" s="3" t="s">
        <v>4</v>
      </c>
      <c r="D417" s="16"/>
      <c r="E417" s="80" t="s">
        <v>103</v>
      </c>
      <c r="F417" s="84"/>
      <c r="G417" s="6"/>
    </row>
    <row r="418" spans="2:7">
      <c r="B418" s="18"/>
      <c r="C418" s="5" t="s">
        <v>2</v>
      </c>
      <c r="E418" s="39" t="s">
        <v>404</v>
      </c>
      <c r="F418" s="6"/>
      <c r="G418" s="6"/>
    </row>
    <row r="419" spans="2:7" ht="13.5" thickBot="1">
      <c r="B419" s="18"/>
      <c r="C419" s="7" t="s">
        <v>3</v>
      </c>
      <c r="D419" s="20"/>
      <c r="E419" s="81" t="s">
        <v>344</v>
      </c>
      <c r="F419" s="9"/>
      <c r="G419" s="6"/>
    </row>
    <row r="420" spans="2:7" ht="13.5" thickBot="1">
      <c r="B420" s="18"/>
      <c r="G420" s="6"/>
    </row>
    <row r="421" spans="2:7" ht="13.5" thickBot="1">
      <c r="B421" s="18"/>
      <c r="C421" s="23" t="s">
        <v>29</v>
      </c>
      <c r="D421" s="24"/>
      <c r="E421" s="87" t="s">
        <v>1130</v>
      </c>
      <c r="F421" s="25"/>
      <c r="G421" s="6"/>
    </row>
    <row r="422" spans="2:7">
      <c r="B422" s="18"/>
      <c r="G422" s="6"/>
    </row>
    <row r="423" spans="2:7">
      <c r="B423" s="18"/>
      <c r="C423" t="s">
        <v>5</v>
      </c>
      <c r="G423" s="6"/>
    </row>
    <row r="424" spans="2:7">
      <c r="B424" s="18"/>
      <c r="G424" s="6"/>
    </row>
    <row r="425" spans="2:7">
      <c r="B425" s="5">
        <v>1</v>
      </c>
      <c r="C425" s="39" t="s">
        <v>327</v>
      </c>
      <c r="G425" s="6"/>
    </row>
    <row r="426" spans="2:7">
      <c r="B426" s="5">
        <v>2</v>
      </c>
      <c r="C426" s="39" t="s">
        <v>11</v>
      </c>
      <c r="G426" s="6"/>
    </row>
    <row r="427" spans="2:7">
      <c r="B427" s="5">
        <v>3</v>
      </c>
      <c r="C427" s="39" t="s">
        <v>1158</v>
      </c>
      <c r="G427" s="6"/>
    </row>
    <row r="428" spans="2:7">
      <c r="B428" s="5">
        <v>4</v>
      </c>
      <c r="C428" s="39" t="s">
        <v>10</v>
      </c>
      <c r="G428" s="6"/>
    </row>
    <row r="429" spans="2:7">
      <c r="B429" s="5">
        <v>5</v>
      </c>
      <c r="C429" s="39" t="s">
        <v>207</v>
      </c>
      <c r="G429" s="6"/>
    </row>
    <row r="430" spans="2:7">
      <c r="B430" s="5">
        <v>6</v>
      </c>
      <c r="C430" s="39" t="s">
        <v>1159</v>
      </c>
      <c r="G430" s="6"/>
    </row>
    <row r="431" spans="2:7">
      <c r="B431" s="5">
        <v>7</v>
      </c>
      <c r="C431" s="39" t="s">
        <v>33</v>
      </c>
      <c r="G431" s="6"/>
    </row>
    <row r="432" spans="2:7">
      <c r="B432" s="5">
        <v>8</v>
      </c>
      <c r="C432" s="39" t="s">
        <v>230</v>
      </c>
      <c r="G432" s="6"/>
    </row>
    <row r="433" spans="2:7">
      <c r="B433" s="5">
        <v>9</v>
      </c>
      <c r="C433" s="39" t="s">
        <v>14</v>
      </c>
      <c r="G433" s="6"/>
    </row>
    <row r="434" spans="2:7">
      <c r="B434" s="5">
        <v>10</v>
      </c>
      <c r="C434" s="39" t="s">
        <v>1112</v>
      </c>
      <c r="G434" s="6"/>
    </row>
    <row r="435" spans="2:7">
      <c r="B435" s="5">
        <v>11</v>
      </c>
      <c r="C435" s="39" t="s">
        <v>234</v>
      </c>
      <c r="G435" s="6"/>
    </row>
    <row r="436" spans="2:7">
      <c r="B436" s="5">
        <v>12</v>
      </c>
      <c r="C436" s="39" t="s">
        <v>236</v>
      </c>
      <c r="G436" s="6"/>
    </row>
    <row r="437" spans="2:7">
      <c r="B437" s="5">
        <v>13</v>
      </c>
      <c r="C437" s="39" t="s">
        <v>142</v>
      </c>
      <c r="G437" s="6"/>
    </row>
    <row r="438" spans="2:7">
      <c r="B438" s="5">
        <v>14</v>
      </c>
      <c r="C438" s="39" t="s">
        <v>144</v>
      </c>
      <c r="G438" s="6"/>
    </row>
    <row r="439" spans="2:7">
      <c r="B439" s="5">
        <v>15</v>
      </c>
      <c r="C439" s="39" t="s">
        <v>214</v>
      </c>
      <c r="G439" s="6"/>
    </row>
    <row r="440" spans="2:7">
      <c r="B440" s="18"/>
      <c r="G440" s="6"/>
    </row>
    <row r="441" spans="2:7">
      <c r="B441" s="18"/>
      <c r="C441" s="39" t="s">
        <v>325</v>
      </c>
      <c r="G441" s="6"/>
    </row>
    <row r="442" spans="2:7">
      <c r="B442" s="18"/>
      <c r="C442" s="39" t="s">
        <v>1196</v>
      </c>
      <c r="G442" s="6"/>
    </row>
    <row r="443" spans="2:7">
      <c r="B443" s="18"/>
      <c r="C443" s="39" t="s">
        <v>1089</v>
      </c>
      <c r="G443" s="6"/>
    </row>
    <row r="444" spans="2:7">
      <c r="B444" s="18"/>
      <c r="C444" s="39" t="s">
        <v>1197</v>
      </c>
      <c r="G444" s="6"/>
    </row>
    <row r="445" spans="2:7">
      <c r="B445" s="18"/>
      <c r="C445" s="39" t="s">
        <v>1194</v>
      </c>
      <c r="G445" s="6"/>
    </row>
    <row r="446" spans="2:7">
      <c r="B446" s="18"/>
      <c r="G446" s="6"/>
    </row>
    <row r="447" spans="2:7">
      <c r="B447" s="18"/>
      <c r="C447" s="2" t="s">
        <v>21</v>
      </c>
      <c r="G447" s="6"/>
    </row>
    <row r="448" spans="2:7">
      <c r="B448" s="82"/>
      <c r="C448" s="39" t="s">
        <v>339</v>
      </c>
      <c r="G448" s="6"/>
    </row>
    <row r="449" spans="2:7">
      <c r="B449" s="82"/>
      <c r="C449" s="39"/>
      <c r="G449" s="6"/>
    </row>
    <row r="450" spans="2:7">
      <c r="B450" s="18"/>
      <c r="C450" s="15" t="s">
        <v>22</v>
      </c>
      <c r="G450" s="6"/>
    </row>
    <row r="451" spans="2:7">
      <c r="B451" s="82" t="s">
        <v>338</v>
      </c>
      <c r="C451" s="39" t="s">
        <v>236</v>
      </c>
      <c r="G451" s="6"/>
    </row>
    <row r="452" spans="2:7">
      <c r="B452" s="18"/>
      <c r="G452" s="6"/>
    </row>
    <row r="453" spans="2:7">
      <c r="B453" s="18"/>
      <c r="C453" s="1" t="s">
        <v>23</v>
      </c>
      <c r="G453" s="6"/>
    </row>
    <row r="454" spans="2:7">
      <c r="B454" s="82" t="s">
        <v>336</v>
      </c>
      <c r="C454" s="66" t="s">
        <v>1158</v>
      </c>
      <c r="G454" s="6"/>
    </row>
    <row r="455" spans="2:7">
      <c r="B455" s="82"/>
      <c r="C455" s="39"/>
      <c r="G455" s="6"/>
    </row>
    <row r="456" spans="2:7" ht="13.5" thickBot="1">
      <c r="B456" s="19"/>
      <c r="C456" s="20"/>
      <c r="D456" s="20"/>
      <c r="E456" s="8"/>
      <c r="F456" s="20"/>
      <c r="G456" s="9"/>
    </row>
    <row r="457" spans="2:7">
      <c r="B457" s="121"/>
      <c r="C457" s="16"/>
      <c r="D457" s="16"/>
      <c r="E457" s="120"/>
      <c r="F457" s="16"/>
      <c r="G457" s="16"/>
    </row>
    <row r="458" spans="2:7" ht="13.5" thickBot="1">
      <c r="B458" s="168"/>
      <c r="C458" s="20"/>
      <c r="D458" s="20"/>
      <c r="E458" s="8"/>
      <c r="F458" s="20"/>
      <c r="G458" s="20"/>
    </row>
    <row r="459" spans="2:7" ht="13.5" thickBot="1">
      <c r="B459" s="236">
        <v>44723</v>
      </c>
      <c r="C459" s="237"/>
      <c r="D459" s="237"/>
      <c r="E459" s="237"/>
      <c r="F459" s="237"/>
      <c r="G459" s="238"/>
    </row>
    <row r="460" spans="2:7" ht="13.5" thickBot="1">
      <c r="B460" s="18"/>
      <c r="G460" s="6"/>
    </row>
    <row r="461" spans="2:7">
      <c r="B461" s="18"/>
      <c r="C461" s="21" t="s">
        <v>27</v>
      </c>
      <c r="D461" s="16"/>
      <c r="E461" s="80" t="s">
        <v>92</v>
      </c>
      <c r="F461" s="4">
        <v>12</v>
      </c>
      <c r="G461" s="6"/>
    </row>
    <row r="462" spans="2:7" ht="13.5" thickBot="1">
      <c r="B462" s="18"/>
      <c r="C462" s="7"/>
      <c r="D462" s="20"/>
      <c r="E462" s="83" t="s">
        <v>1</v>
      </c>
      <c r="F462" s="22">
        <v>20</v>
      </c>
      <c r="G462" s="6"/>
    </row>
    <row r="463" spans="2:7" ht="13.5" thickBot="1">
      <c r="B463" s="18"/>
      <c r="G463" s="6"/>
    </row>
    <row r="464" spans="2:7">
      <c r="B464" s="18"/>
      <c r="C464" s="3" t="s">
        <v>4</v>
      </c>
      <c r="D464" s="16"/>
      <c r="E464" s="80" t="s">
        <v>92</v>
      </c>
      <c r="F464" s="84"/>
      <c r="G464" s="6"/>
    </row>
    <row r="465" spans="2:7">
      <c r="B465" s="18"/>
      <c r="C465" s="5" t="s">
        <v>2</v>
      </c>
      <c r="E465" s="39" t="s">
        <v>326</v>
      </c>
      <c r="F465" s="6"/>
      <c r="G465" s="6"/>
    </row>
    <row r="466" spans="2:7" ht="13.5" thickBot="1">
      <c r="B466" s="18"/>
      <c r="C466" s="7" t="s">
        <v>3</v>
      </c>
      <c r="D466" s="20"/>
      <c r="E466" s="81" t="s">
        <v>326</v>
      </c>
      <c r="F466" s="9"/>
      <c r="G466" s="6"/>
    </row>
    <row r="467" spans="2:7" ht="13.5" thickBot="1">
      <c r="B467" s="18"/>
      <c r="G467" s="6"/>
    </row>
    <row r="468" spans="2:7" ht="13.5" thickBot="1">
      <c r="B468" s="18"/>
      <c r="C468" s="23" t="s">
        <v>29</v>
      </c>
      <c r="D468" s="24"/>
      <c r="E468" s="87" t="s">
        <v>303</v>
      </c>
      <c r="F468" s="25"/>
      <c r="G468" s="6"/>
    </row>
    <row r="469" spans="2:7">
      <c r="B469" s="18"/>
      <c r="G469" s="6"/>
    </row>
    <row r="470" spans="2:7">
      <c r="B470" s="18"/>
      <c r="C470" t="s">
        <v>5</v>
      </c>
      <c r="G470" s="6"/>
    </row>
    <row r="471" spans="2:7">
      <c r="B471" s="18"/>
      <c r="G471" s="6"/>
    </row>
    <row r="472" spans="2:7">
      <c r="B472" s="5">
        <v>1</v>
      </c>
      <c r="C472" s="39" t="s">
        <v>327</v>
      </c>
      <c r="G472" s="6"/>
    </row>
    <row r="473" spans="2:7">
      <c r="B473" s="5">
        <v>2</v>
      </c>
      <c r="C473" s="39" t="s">
        <v>11</v>
      </c>
      <c r="G473" s="6"/>
    </row>
    <row r="474" spans="2:7">
      <c r="B474" s="5">
        <v>3</v>
      </c>
      <c r="C474" s="39" t="s">
        <v>1158</v>
      </c>
      <c r="G474" s="6"/>
    </row>
    <row r="475" spans="2:7">
      <c r="B475" s="5">
        <v>4</v>
      </c>
      <c r="C475" s="39" t="s">
        <v>10</v>
      </c>
      <c r="G475" s="6"/>
    </row>
    <row r="476" spans="2:7">
      <c r="B476" s="5">
        <v>5</v>
      </c>
      <c r="C476" s="39" t="s">
        <v>207</v>
      </c>
      <c r="G476" s="6"/>
    </row>
    <row r="477" spans="2:7">
      <c r="B477" s="5">
        <v>6</v>
      </c>
      <c r="C477" s="39" t="s">
        <v>211</v>
      </c>
      <c r="G477" s="6"/>
    </row>
    <row r="478" spans="2:7">
      <c r="B478" s="5">
        <v>7</v>
      </c>
      <c r="C478" s="39" t="s">
        <v>33</v>
      </c>
      <c r="G478" s="6"/>
    </row>
    <row r="479" spans="2:7">
      <c r="B479" s="5">
        <v>8</v>
      </c>
      <c r="C479" s="39" t="s">
        <v>230</v>
      </c>
      <c r="G479" s="6"/>
    </row>
    <row r="480" spans="2:7">
      <c r="B480" s="5">
        <v>9</v>
      </c>
      <c r="C480" s="39" t="s">
        <v>14</v>
      </c>
      <c r="G480" s="6"/>
    </row>
    <row r="481" spans="2:26">
      <c r="B481" s="5">
        <v>10</v>
      </c>
      <c r="C481" s="39" t="s">
        <v>1112</v>
      </c>
      <c r="G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55"/>
      <c r="Z481" s="15"/>
    </row>
    <row r="482" spans="2:26">
      <c r="B482" s="5">
        <v>11</v>
      </c>
      <c r="C482" s="39" t="s">
        <v>214</v>
      </c>
      <c r="G482" s="6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</row>
    <row r="483" spans="2:26">
      <c r="B483" s="5">
        <v>12</v>
      </c>
      <c r="C483" s="39" t="s">
        <v>1198</v>
      </c>
      <c r="G483" s="6"/>
      <c r="I483" s="3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>
      <c r="B484" s="5">
        <v>13</v>
      </c>
      <c r="C484" s="39" t="s">
        <v>142</v>
      </c>
      <c r="G484" s="6"/>
      <c r="I484" s="3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>
      <c r="B485" s="5">
        <v>14</v>
      </c>
      <c r="C485" s="39" t="s">
        <v>144</v>
      </c>
      <c r="G485" s="6"/>
      <c r="Y485" s="1"/>
      <c r="Z485" s="1"/>
    </row>
    <row r="486" spans="2:26">
      <c r="B486" s="5">
        <v>15</v>
      </c>
      <c r="C486" s="39" t="s">
        <v>234</v>
      </c>
      <c r="G486" s="6"/>
      <c r="I486" s="3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>
      <c r="B487" s="18"/>
      <c r="G487" s="6"/>
      <c r="I487" s="3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>
      <c r="B488" s="18"/>
      <c r="C488" s="39" t="s">
        <v>325</v>
      </c>
      <c r="G488" s="6"/>
    </row>
    <row r="489" spans="2:26">
      <c r="B489" s="18"/>
      <c r="C489" s="39" t="s">
        <v>1089</v>
      </c>
      <c r="G489" s="6"/>
    </row>
    <row r="490" spans="2:26">
      <c r="B490" s="18"/>
      <c r="C490" s="39" t="s">
        <v>1199</v>
      </c>
      <c r="G490" s="6"/>
    </row>
    <row r="491" spans="2:26">
      <c r="B491" s="18"/>
      <c r="C491" s="39" t="s">
        <v>1109</v>
      </c>
      <c r="G491" s="6"/>
    </row>
    <row r="492" spans="2:26">
      <c r="B492" s="18"/>
      <c r="G492" s="6"/>
    </row>
    <row r="493" spans="2:26">
      <c r="B493" s="18"/>
      <c r="C493" s="2" t="s">
        <v>21</v>
      </c>
      <c r="G493" s="6"/>
    </row>
    <row r="494" spans="2:26">
      <c r="B494" s="82" t="s">
        <v>352</v>
      </c>
      <c r="C494" s="39" t="s">
        <v>1096</v>
      </c>
      <c r="G494" s="6"/>
    </row>
    <row r="495" spans="2:26">
      <c r="B495" s="82"/>
      <c r="C495" s="39"/>
      <c r="G495" s="6"/>
    </row>
    <row r="496" spans="2:26">
      <c r="B496" s="82"/>
      <c r="C496" s="15" t="s">
        <v>337</v>
      </c>
      <c r="G496" s="6"/>
    </row>
    <row r="497" spans="2:7">
      <c r="B497" s="82" t="s">
        <v>352</v>
      </c>
      <c r="C497" s="66" t="s">
        <v>236</v>
      </c>
      <c r="G497" s="6"/>
    </row>
    <row r="498" spans="2:7">
      <c r="B498" s="82"/>
      <c r="C498" s="39"/>
      <c r="G498" s="6"/>
    </row>
    <row r="499" spans="2:7">
      <c r="B499" s="18"/>
      <c r="C499" s="15" t="s">
        <v>22</v>
      </c>
      <c r="G499" s="6"/>
    </row>
    <row r="500" spans="2:7">
      <c r="B500" s="82" t="s">
        <v>352</v>
      </c>
      <c r="C500" s="39" t="s">
        <v>236</v>
      </c>
      <c r="G500" s="6"/>
    </row>
    <row r="501" spans="2:7">
      <c r="B501" s="18"/>
      <c r="G501" s="6"/>
    </row>
    <row r="502" spans="2:7">
      <c r="B502" s="18"/>
      <c r="C502" s="1" t="s">
        <v>23</v>
      </c>
      <c r="G502" s="6"/>
    </row>
    <row r="503" spans="2:7">
      <c r="B503" s="82"/>
      <c r="C503" s="66" t="s">
        <v>339</v>
      </c>
      <c r="G503" s="6"/>
    </row>
    <row r="504" spans="2:7">
      <c r="B504" s="82"/>
      <c r="C504" s="39"/>
      <c r="G504" s="6"/>
    </row>
    <row r="505" spans="2:7" ht="13.5" thickBot="1">
      <c r="B505" s="19"/>
      <c r="C505" s="20"/>
      <c r="D505" s="20"/>
      <c r="E505" s="8"/>
      <c r="F505" s="20"/>
      <c r="G505" s="9"/>
    </row>
    <row r="506" spans="2:7">
      <c r="B506" s="121"/>
      <c r="C506" s="120"/>
      <c r="D506" s="16"/>
      <c r="E506" s="120"/>
      <c r="F506" s="16"/>
      <c r="G506" s="16"/>
    </row>
    <row r="507" spans="2:7" ht="13.5" thickBot="1">
      <c r="B507" s="168"/>
      <c r="C507" s="171"/>
      <c r="D507" s="20"/>
      <c r="E507" s="8"/>
      <c r="F507" s="20"/>
      <c r="G507" s="20"/>
    </row>
    <row r="508" spans="2:7" ht="13.5" thickBot="1">
      <c r="B508" s="236">
        <v>44737</v>
      </c>
      <c r="C508" s="237"/>
      <c r="D508" s="237"/>
      <c r="E508" s="237"/>
      <c r="F508" s="237"/>
      <c r="G508" s="238"/>
    </row>
    <row r="509" spans="2:7" ht="13.5" thickBot="1">
      <c r="B509" s="18"/>
      <c r="G509" s="6"/>
    </row>
    <row r="510" spans="2:7">
      <c r="B510" s="18"/>
      <c r="C510" s="21" t="s">
        <v>27</v>
      </c>
      <c r="D510" s="16"/>
      <c r="E510" s="80" t="s">
        <v>1</v>
      </c>
      <c r="F510" s="4">
        <v>3</v>
      </c>
      <c r="G510" s="6"/>
    </row>
    <row r="511" spans="2:7" ht="13.5" thickBot="1">
      <c r="B511" s="18"/>
      <c r="C511" s="7"/>
      <c r="D511" s="20"/>
      <c r="E511" s="83" t="s">
        <v>125</v>
      </c>
      <c r="F511" s="22">
        <v>29</v>
      </c>
      <c r="G511" s="6"/>
    </row>
    <row r="512" spans="2:7" ht="13.5" thickBot="1">
      <c r="B512" s="18"/>
      <c r="G512" s="6"/>
    </row>
    <row r="513" spans="2:7">
      <c r="B513" s="18"/>
      <c r="C513" s="3" t="s">
        <v>4</v>
      </c>
      <c r="D513" s="16"/>
      <c r="E513" s="80" t="s">
        <v>1200</v>
      </c>
      <c r="F513" s="84" t="s">
        <v>205</v>
      </c>
      <c r="G513" s="6"/>
    </row>
    <row r="514" spans="2:7">
      <c r="B514" s="18"/>
      <c r="C514" s="5" t="s">
        <v>2</v>
      </c>
      <c r="E514" s="39" t="s">
        <v>326</v>
      </c>
      <c r="F514" s="6"/>
      <c r="G514" s="6"/>
    </row>
    <row r="515" spans="2:7" ht="13.5" thickBot="1">
      <c r="B515" s="18"/>
      <c r="C515" s="7" t="s">
        <v>3</v>
      </c>
      <c r="D515" s="20"/>
      <c r="E515" s="81" t="s">
        <v>344</v>
      </c>
      <c r="F515" s="9"/>
      <c r="G515" s="6"/>
    </row>
    <row r="516" spans="2:7" ht="13.5" thickBot="1">
      <c r="B516" s="18"/>
      <c r="G516" s="6"/>
    </row>
    <row r="517" spans="2:7" ht="13.5" thickBot="1">
      <c r="B517" s="18"/>
      <c r="C517" s="23" t="s">
        <v>29</v>
      </c>
      <c r="D517" s="24"/>
      <c r="E517" s="87" t="s">
        <v>216</v>
      </c>
      <c r="F517" s="25"/>
      <c r="G517" s="6"/>
    </row>
    <row r="518" spans="2:7">
      <c r="B518" s="18"/>
      <c r="G518" s="6"/>
    </row>
    <row r="519" spans="2:7">
      <c r="B519" s="18"/>
      <c r="C519" t="s">
        <v>5</v>
      </c>
      <c r="G519" s="6"/>
    </row>
    <row r="520" spans="2:7">
      <c r="B520" s="18"/>
      <c r="G520" s="6"/>
    </row>
    <row r="521" spans="2:7">
      <c r="B521" s="5">
        <v>1</v>
      </c>
      <c r="C521" s="39" t="s">
        <v>327</v>
      </c>
      <c r="G521" s="6"/>
    </row>
    <row r="522" spans="2:7">
      <c r="B522" s="5">
        <v>2</v>
      </c>
      <c r="C522" s="39" t="s">
        <v>11</v>
      </c>
      <c r="G522" s="6"/>
    </row>
    <row r="523" spans="2:7">
      <c r="B523" s="5">
        <v>3</v>
      </c>
      <c r="C523" s="39" t="s">
        <v>1158</v>
      </c>
      <c r="G523" s="6"/>
    </row>
    <row r="524" spans="2:7">
      <c r="B524" s="5">
        <v>4</v>
      </c>
      <c r="C524" s="39" t="s">
        <v>10</v>
      </c>
      <c r="G524" s="6"/>
    </row>
    <row r="525" spans="2:7">
      <c r="B525" s="5">
        <v>5</v>
      </c>
      <c r="C525" s="39" t="s">
        <v>207</v>
      </c>
      <c r="G525" s="6"/>
    </row>
    <row r="526" spans="2:7">
      <c r="B526" s="5">
        <v>6</v>
      </c>
      <c r="C526" s="39" t="s">
        <v>211</v>
      </c>
      <c r="G526" s="6"/>
    </row>
    <row r="527" spans="2:7">
      <c r="B527" s="5">
        <v>7</v>
      </c>
      <c r="C527" s="39" t="s">
        <v>1159</v>
      </c>
      <c r="G527" s="6"/>
    </row>
    <row r="528" spans="2:7">
      <c r="B528" s="5">
        <v>8</v>
      </c>
      <c r="C528" s="39" t="s">
        <v>230</v>
      </c>
      <c r="G528" s="6"/>
    </row>
    <row r="529" spans="2:7">
      <c r="B529" s="5">
        <v>9</v>
      </c>
      <c r="C529" s="39" t="s">
        <v>14</v>
      </c>
      <c r="G529" s="6"/>
    </row>
    <row r="530" spans="2:7">
      <c r="B530" s="5">
        <v>10</v>
      </c>
      <c r="C530" s="39" t="s">
        <v>1112</v>
      </c>
      <c r="G530" s="6"/>
    </row>
    <row r="531" spans="2:7">
      <c r="B531" s="5">
        <v>11</v>
      </c>
      <c r="C531" s="39" t="s">
        <v>214</v>
      </c>
      <c r="G531" s="6"/>
    </row>
    <row r="532" spans="2:7">
      <c r="B532" s="5">
        <v>12</v>
      </c>
      <c r="C532" s="39" t="s">
        <v>236</v>
      </c>
      <c r="G532" s="6"/>
    </row>
    <row r="533" spans="2:7">
      <c r="B533" s="5">
        <v>13</v>
      </c>
      <c r="C533" s="39" t="s">
        <v>142</v>
      </c>
      <c r="G533" s="6"/>
    </row>
    <row r="534" spans="2:7">
      <c r="B534" s="5">
        <v>14</v>
      </c>
      <c r="C534" s="39" t="s">
        <v>144</v>
      </c>
      <c r="G534" s="6"/>
    </row>
    <row r="535" spans="2:7">
      <c r="B535" s="5">
        <v>15</v>
      </c>
      <c r="C535" s="39" t="s">
        <v>234</v>
      </c>
      <c r="G535" s="6"/>
    </row>
    <row r="536" spans="2:7">
      <c r="B536" s="18"/>
      <c r="G536" s="6"/>
    </row>
    <row r="537" spans="2:7">
      <c r="B537" s="18"/>
      <c r="C537" s="39" t="s">
        <v>325</v>
      </c>
      <c r="G537" s="6"/>
    </row>
    <row r="538" spans="2:7">
      <c r="B538" s="18"/>
      <c r="C538" s="39" t="s">
        <v>367</v>
      </c>
      <c r="G538" s="6"/>
    </row>
    <row r="539" spans="2:7">
      <c r="B539" s="18"/>
      <c r="C539" s="39" t="s">
        <v>1204</v>
      </c>
      <c r="G539" s="6"/>
    </row>
    <row r="540" spans="2:7">
      <c r="B540" s="18"/>
      <c r="C540" s="39" t="s">
        <v>1196</v>
      </c>
      <c r="G540" s="6"/>
    </row>
    <row r="541" spans="2:7">
      <c r="B541" s="18"/>
      <c r="C541" s="39" t="s">
        <v>1201</v>
      </c>
      <c r="G541" s="6"/>
    </row>
    <row r="542" spans="2:7">
      <c r="B542" s="18"/>
      <c r="C542" s="39" t="s">
        <v>1202</v>
      </c>
      <c r="G542" s="6"/>
    </row>
    <row r="543" spans="2:7">
      <c r="B543" s="18"/>
      <c r="C543" s="39" t="s">
        <v>1109</v>
      </c>
      <c r="G543" s="6"/>
    </row>
    <row r="544" spans="2:7">
      <c r="B544" s="18"/>
      <c r="C544" s="39" t="s">
        <v>1203</v>
      </c>
      <c r="G544" s="6"/>
    </row>
    <row r="545" spans="2:7">
      <c r="B545" s="18"/>
      <c r="G545" s="6"/>
    </row>
    <row r="546" spans="2:7">
      <c r="B546" s="18"/>
      <c r="C546" s="15" t="s">
        <v>22</v>
      </c>
      <c r="G546" s="6"/>
    </row>
    <row r="547" spans="2:7">
      <c r="B547" s="82" t="s">
        <v>336</v>
      </c>
      <c r="C547" s="39" t="s">
        <v>236</v>
      </c>
      <c r="G547" s="6"/>
    </row>
    <row r="548" spans="2:7">
      <c r="B548" s="18"/>
      <c r="G548" s="6"/>
    </row>
    <row r="549" spans="2:7">
      <c r="B549" s="18"/>
      <c r="C549" s="1" t="s">
        <v>23</v>
      </c>
      <c r="G549" s="6"/>
    </row>
    <row r="550" spans="2:7">
      <c r="B550" s="82" t="s">
        <v>336</v>
      </c>
      <c r="C550" s="66" t="s">
        <v>144</v>
      </c>
      <c r="G550" s="6"/>
    </row>
    <row r="551" spans="2:7">
      <c r="B551" s="82"/>
      <c r="C551" s="39"/>
      <c r="G551" s="6"/>
    </row>
    <row r="552" spans="2:7" ht="13.5" thickBot="1">
      <c r="B552" s="19"/>
      <c r="C552" s="20"/>
      <c r="D552" s="20"/>
      <c r="E552" s="8"/>
      <c r="F552" s="20"/>
      <c r="G552" s="9"/>
    </row>
    <row r="553" spans="2:7">
      <c r="B553" s="175"/>
      <c r="C553" s="80"/>
      <c r="D553" s="16"/>
      <c r="E553" s="120"/>
      <c r="F553" s="16"/>
      <c r="G553" s="16"/>
    </row>
    <row r="554" spans="2:7" ht="13.5" thickBot="1">
      <c r="B554" s="176"/>
      <c r="C554" s="83"/>
      <c r="D554" s="20"/>
      <c r="E554" s="8"/>
      <c r="F554" s="20"/>
      <c r="G554" s="20"/>
    </row>
    <row r="555" spans="2:7" ht="13.5" thickBot="1">
      <c r="B555" s="236">
        <v>44744</v>
      </c>
      <c r="C555" s="237"/>
      <c r="D555" s="237"/>
      <c r="E555" s="237"/>
      <c r="F555" s="237"/>
      <c r="G555" s="238"/>
    </row>
    <row r="556" spans="2:7" ht="13.5" thickBot="1">
      <c r="B556" s="18"/>
      <c r="G556" s="6"/>
    </row>
    <row r="557" spans="2:7">
      <c r="B557" s="18"/>
      <c r="C557" s="21" t="s">
        <v>27</v>
      </c>
      <c r="D557" s="16"/>
      <c r="E557" s="80" t="s">
        <v>126</v>
      </c>
      <c r="F557" s="4">
        <v>78</v>
      </c>
      <c r="G557" s="6"/>
    </row>
    <row r="558" spans="2:7" ht="13.5" thickBot="1">
      <c r="B558" s="18"/>
      <c r="C558" s="7"/>
      <c r="D558" s="20"/>
      <c r="E558" s="83" t="s">
        <v>1</v>
      </c>
      <c r="F558" s="22">
        <v>30</v>
      </c>
      <c r="G558" s="6"/>
    </row>
    <row r="559" spans="2:7" ht="13.5" thickBot="1">
      <c r="B559" s="18"/>
      <c r="G559" s="6"/>
    </row>
    <row r="560" spans="2:7">
      <c r="B560" s="18"/>
      <c r="C560" s="3" t="s">
        <v>4</v>
      </c>
      <c r="D560" s="16"/>
      <c r="E560" s="80" t="s">
        <v>126</v>
      </c>
      <c r="F560" s="84"/>
      <c r="G560" s="6"/>
    </row>
    <row r="561" spans="2:7">
      <c r="B561" s="18"/>
      <c r="C561" s="5" t="s">
        <v>2</v>
      </c>
      <c r="E561" s="39" t="s">
        <v>326</v>
      </c>
      <c r="F561" s="6"/>
      <c r="G561" s="6"/>
    </row>
    <row r="562" spans="2:7" ht="13.5" thickBot="1">
      <c r="B562" s="18"/>
      <c r="C562" s="7" t="s">
        <v>3</v>
      </c>
      <c r="D562" s="20"/>
      <c r="E562" s="81" t="s">
        <v>344</v>
      </c>
      <c r="F562" s="9"/>
      <c r="G562" s="6"/>
    </row>
    <row r="563" spans="2:7" ht="13.5" thickBot="1">
      <c r="B563" s="18"/>
      <c r="G563" s="6"/>
    </row>
    <row r="564" spans="2:7" ht="13.5" thickBot="1">
      <c r="B564" s="18"/>
      <c r="C564" s="23" t="s">
        <v>29</v>
      </c>
      <c r="D564" s="24"/>
      <c r="E564" s="87" t="s">
        <v>319</v>
      </c>
      <c r="F564" s="25"/>
      <c r="G564" s="6"/>
    </row>
    <row r="565" spans="2:7">
      <c r="B565" s="18"/>
      <c r="G565" s="6"/>
    </row>
    <row r="566" spans="2:7">
      <c r="B566" s="18"/>
      <c r="C566" t="s">
        <v>5</v>
      </c>
      <c r="G566" s="6"/>
    </row>
    <row r="567" spans="2:7">
      <c r="B567" s="18"/>
      <c r="G567" s="6"/>
    </row>
    <row r="568" spans="2:7">
      <c r="B568" s="5">
        <v>1</v>
      </c>
      <c r="C568" s="39" t="s">
        <v>327</v>
      </c>
      <c r="G568" s="6"/>
    </row>
    <row r="569" spans="2:7">
      <c r="B569" s="5">
        <v>2</v>
      </c>
      <c r="C569" s="39" t="s">
        <v>11</v>
      </c>
      <c r="G569" s="6"/>
    </row>
    <row r="570" spans="2:7">
      <c r="B570" s="5">
        <v>3</v>
      </c>
      <c r="C570" s="39" t="s">
        <v>1158</v>
      </c>
      <c r="G570" s="6"/>
    </row>
    <row r="571" spans="2:7">
      <c r="B571" s="5">
        <v>4</v>
      </c>
      <c r="C571" s="39" t="s">
        <v>10</v>
      </c>
      <c r="G571" s="6"/>
    </row>
    <row r="572" spans="2:7">
      <c r="B572" s="5">
        <v>5</v>
      </c>
      <c r="C572" s="39" t="s">
        <v>207</v>
      </c>
      <c r="G572" s="6"/>
    </row>
    <row r="573" spans="2:7">
      <c r="B573" s="5">
        <v>6</v>
      </c>
      <c r="C573" s="39" t="s">
        <v>211</v>
      </c>
      <c r="G573" s="6"/>
    </row>
    <row r="574" spans="2:7">
      <c r="B574" s="5">
        <v>7</v>
      </c>
      <c r="C574" s="39" t="s">
        <v>1159</v>
      </c>
      <c r="G574" s="6"/>
    </row>
    <row r="575" spans="2:7">
      <c r="B575" s="5">
        <v>8</v>
      </c>
      <c r="C575" s="39" t="s">
        <v>33</v>
      </c>
      <c r="G575" s="6"/>
    </row>
    <row r="576" spans="2:7">
      <c r="B576" s="5">
        <v>9</v>
      </c>
      <c r="C576" s="39" t="s">
        <v>14</v>
      </c>
      <c r="G576" s="6"/>
    </row>
    <row r="577" spans="2:7">
      <c r="B577" s="5">
        <v>10</v>
      </c>
      <c r="C577" s="39" t="s">
        <v>1112</v>
      </c>
      <c r="G577" s="6"/>
    </row>
    <row r="578" spans="2:7">
      <c r="B578" s="5">
        <v>11</v>
      </c>
      <c r="C578" s="39" t="s">
        <v>214</v>
      </c>
      <c r="G578" s="6"/>
    </row>
    <row r="579" spans="2:7">
      <c r="B579" s="5">
        <v>12</v>
      </c>
      <c r="C579" s="39" t="s">
        <v>236</v>
      </c>
      <c r="G579" s="6"/>
    </row>
    <row r="580" spans="2:7">
      <c r="B580" s="5">
        <v>13</v>
      </c>
      <c r="C580" s="39" t="s">
        <v>142</v>
      </c>
      <c r="G580" s="6"/>
    </row>
    <row r="581" spans="2:7">
      <c r="B581" s="5">
        <v>14</v>
      </c>
      <c r="C581" s="39" t="s">
        <v>144</v>
      </c>
      <c r="G581" s="6"/>
    </row>
    <row r="582" spans="2:7">
      <c r="B582" s="5">
        <v>15</v>
      </c>
      <c r="C582" s="39" t="s">
        <v>234</v>
      </c>
      <c r="G582" s="6"/>
    </row>
    <row r="583" spans="2:7">
      <c r="B583" s="18"/>
      <c r="G583" s="6"/>
    </row>
    <row r="584" spans="2:7">
      <c r="B584" s="18"/>
      <c r="C584" s="39" t="s">
        <v>325</v>
      </c>
      <c r="G584" s="6"/>
    </row>
    <row r="585" spans="2:7">
      <c r="B585" s="18"/>
      <c r="C585" s="39" t="s">
        <v>1232</v>
      </c>
      <c r="G585" s="6"/>
    </row>
    <row r="586" spans="2:7">
      <c r="B586" s="18"/>
      <c r="C586" s="39" t="s">
        <v>1201</v>
      </c>
      <c r="G586" s="6"/>
    </row>
    <row r="587" spans="2:7">
      <c r="B587" s="18"/>
      <c r="C587" s="39" t="s">
        <v>1196</v>
      </c>
      <c r="G587" s="6"/>
    </row>
    <row r="588" spans="2:7">
      <c r="B588" s="18"/>
      <c r="C588" s="39" t="s">
        <v>1089</v>
      </c>
      <c r="G588" s="6"/>
    </row>
    <row r="589" spans="2:7">
      <c r="B589" s="18"/>
      <c r="C589" s="39" t="s">
        <v>1189</v>
      </c>
      <c r="G589" s="6"/>
    </row>
    <row r="590" spans="2:7">
      <c r="B590" s="18"/>
      <c r="C590" s="39" t="s">
        <v>1233</v>
      </c>
      <c r="G590" s="6"/>
    </row>
    <row r="591" spans="2:7">
      <c r="B591" s="18"/>
      <c r="C591" s="39" t="s">
        <v>1234</v>
      </c>
      <c r="G591" s="6"/>
    </row>
    <row r="592" spans="2:7">
      <c r="B592" s="18"/>
      <c r="C592" s="39" t="s">
        <v>1194</v>
      </c>
      <c r="G592" s="6"/>
    </row>
    <row r="593" spans="2:7">
      <c r="B593" s="18"/>
      <c r="G593" s="6"/>
    </row>
    <row r="594" spans="2:7">
      <c r="B594" s="18"/>
      <c r="C594" s="1" t="s">
        <v>21</v>
      </c>
      <c r="G594" s="6"/>
    </row>
    <row r="595" spans="2:7">
      <c r="B595" s="18"/>
      <c r="G595" s="6"/>
    </row>
    <row r="596" spans="2:7">
      <c r="B596" s="82" t="s">
        <v>352</v>
      </c>
      <c r="C596" t="s">
        <v>214</v>
      </c>
      <c r="G596" s="6"/>
    </row>
    <row r="597" spans="2:7">
      <c r="B597" s="82" t="s">
        <v>336</v>
      </c>
      <c r="C597" t="s">
        <v>234</v>
      </c>
      <c r="G597" s="6"/>
    </row>
    <row r="598" spans="2:7">
      <c r="B598" s="82" t="s">
        <v>336</v>
      </c>
      <c r="C598" t="s">
        <v>1113</v>
      </c>
      <c r="G598" s="6"/>
    </row>
    <row r="599" spans="2:7">
      <c r="B599" s="18"/>
      <c r="G599" s="6"/>
    </row>
    <row r="600" spans="2:7">
      <c r="B600" s="18"/>
      <c r="C600" s="15" t="s">
        <v>22</v>
      </c>
      <c r="G600" s="6"/>
    </row>
    <row r="601" spans="2:7">
      <c r="B601" s="82" t="s">
        <v>352</v>
      </c>
      <c r="C601" s="39" t="s">
        <v>236</v>
      </c>
      <c r="G601" s="6"/>
    </row>
    <row r="602" spans="2:7">
      <c r="B602" s="18"/>
      <c r="G602" s="6"/>
    </row>
    <row r="603" spans="2:7">
      <c r="B603" s="18"/>
      <c r="C603" s="1" t="s">
        <v>23</v>
      </c>
      <c r="G603" s="6"/>
    </row>
    <row r="604" spans="2:7">
      <c r="B604" s="82" t="s">
        <v>336</v>
      </c>
      <c r="C604" s="66" t="s">
        <v>327</v>
      </c>
      <c r="G604" s="6"/>
    </row>
    <row r="605" spans="2:7">
      <c r="B605" s="82"/>
      <c r="C605" s="39"/>
      <c r="G605" s="6"/>
    </row>
    <row r="606" spans="2:7" ht="13.5" thickBot="1">
      <c r="B606" s="19"/>
      <c r="C606" s="20"/>
      <c r="D606" s="20"/>
      <c r="E606" s="8"/>
      <c r="F606" s="20"/>
      <c r="G606" s="9"/>
    </row>
    <row r="607" spans="2:7">
      <c r="B607" s="121"/>
      <c r="C607" s="80"/>
      <c r="D607" s="16"/>
      <c r="E607" s="120"/>
      <c r="F607" s="16"/>
      <c r="G607" s="16"/>
    </row>
    <row r="608" spans="2:7" ht="13.5" thickBot="1">
      <c r="B608" s="168"/>
      <c r="C608" s="83"/>
      <c r="D608" s="20"/>
      <c r="E608" s="8"/>
      <c r="F608" s="20"/>
      <c r="G608" s="20"/>
    </row>
    <row r="609" spans="2:7" ht="13.5" thickBot="1">
      <c r="B609" s="236">
        <v>44751</v>
      </c>
      <c r="C609" s="237"/>
      <c r="D609" s="237"/>
      <c r="E609" s="237"/>
      <c r="F609" s="237"/>
      <c r="G609" s="238"/>
    </row>
    <row r="610" spans="2:7" ht="13.5" thickBot="1">
      <c r="B610" s="18"/>
      <c r="G610" s="6"/>
    </row>
    <row r="611" spans="2:7">
      <c r="B611" s="18"/>
      <c r="C611" s="21" t="s">
        <v>27</v>
      </c>
      <c r="D611" s="16"/>
      <c r="E611" s="80" t="s">
        <v>1</v>
      </c>
      <c r="F611" s="4">
        <v>25</v>
      </c>
      <c r="G611" s="6"/>
    </row>
    <row r="612" spans="2:7" ht="13.5" thickBot="1">
      <c r="B612" s="18"/>
      <c r="C612" s="7"/>
      <c r="D612" s="20"/>
      <c r="E612" s="83" t="s">
        <v>107</v>
      </c>
      <c r="F612" s="22">
        <v>16</v>
      </c>
      <c r="G612" s="6"/>
    </row>
    <row r="613" spans="2:7" ht="13.5" thickBot="1">
      <c r="B613" s="18"/>
      <c r="G613" s="6"/>
    </row>
    <row r="614" spans="2:7">
      <c r="B614" s="18"/>
      <c r="C614" s="3" t="s">
        <v>4</v>
      </c>
      <c r="D614" s="16"/>
      <c r="E614" s="80" t="s">
        <v>1</v>
      </c>
      <c r="F614" s="84" t="s">
        <v>205</v>
      </c>
      <c r="G614" s="6"/>
    </row>
    <row r="615" spans="2:7">
      <c r="B615" s="18"/>
      <c r="C615" s="5" t="s">
        <v>2</v>
      </c>
      <c r="E615" s="39" t="s">
        <v>404</v>
      </c>
      <c r="F615" s="6"/>
      <c r="G615" s="6"/>
    </row>
    <row r="616" spans="2:7" ht="13.5" thickBot="1">
      <c r="B616" s="18"/>
      <c r="C616" s="7" t="s">
        <v>3</v>
      </c>
      <c r="D616" s="20"/>
      <c r="E616" s="81" t="s">
        <v>344</v>
      </c>
      <c r="F616" s="9"/>
      <c r="G616" s="6"/>
    </row>
    <row r="617" spans="2:7" ht="13.5" thickBot="1">
      <c r="B617" s="18"/>
      <c r="G617" s="6"/>
    </row>
    <row r="618" spans="2:7" ht="13.5" thickBot="1">
      <c r="B618" s="18"/>
      <c r="C618" s="23" t="s">
        <v>29</v>
      </c>
      <c r="D618" s="24"/>
      <c r="E618" s="87" t="s">
        <v>255</v>
      </c>
      <c r="F618" s="25"/>
      <c r="G618" s="6"/>
    </row>
    <row r="619" spans="2:7">
      <c r="B619" s="18"/>
      <c r="G619" s="6"/>
    </row>
    <row r="620" spans="2:7">
      <c r="B620" s="18"/>
      <c r="C620" t="s">
        <v>5</v>
      </c>
      <c r="G620" s="6"/>
    </row>
    <row r="621" spans="2:7">
      <c r="B621" s="18"/>
      <c r="G621" s="6"/>
    </row>
    <row r="622" spans="2:7">
      <c r="B622" s="5">
        <v>1</v>
      </c>
      <c r="C622" s="39" t="s">
        <v>327</v>
      </c>
      <c r="G622" s="6"/>
    </row>
    <row r="623" spans="2:7">
      <c r="B623" s="5">
        <v>2</v>
      </c>
      <c r="C623" s="39" t="s">
        <v>11</v>
      </c>
      <c r="G623" s="6"/>
    </row>
    <row r="624" spans="2:7">
      <c r="B624" s="5">
        <v>3</v>
      </c>
      <c r="C624" s="39" t="s">
        <v>1158</v>
      </c>
      <c r="G624" s="6"/>
    </row>
    <row r="625" spans="2:7">
      <c r="B625" s="5">
        <v>4</v>
      </c>
      <c r="C625" s="39" t="s">
        <v>10</v>
      </c>
      <c r="G625" s="6"/>
    </row>
    <row r="626" spans="2:7">
      <c r="B626" s="5">
        <v>5</v>
      </c>
      <c r="C626" s="39" t="s">
        <v>207</v>
      </c>
      <c r="G626" s="6"/>
    </row>
    <row r="627" spans="2:7">
      <c r="B627" s="5">
        <v>6</v>
      </c>
      <c r="C627" s="39" t="s">
        <v>33</v>
      </c>
      <c r="G627" s="6"/>
    </row>
    <row r="628" spans="2:7">
      <c r="B628" s="5">
        <v>7</v>
      </c>
      <c r="C628" s="39" t="s">
        <v>1159</v>
      </c>
      <c r="G628" s="6"/>
    </row>
    <row r="629" spans="2:7">
      <c r="B629" s="5">
        <v>8</v>
      </c>
      <c r="C629" s="39" t="s">
        <v>1096</v>
      </c>
      <c r="G629" s="6"/>
    </row>
    <row r="630" spans="2:7">
      <c r="B630" s="5">
        <v>9</v>
      </c>
      <c r="C630" s="39" t="s">
        <v>14</v>
      </c>
      <c r="G630" s="6"/>
    </row>
    <row r="631" spans="2:7">
      <c r="B631" s="5">
        <v>10</v>
      </c>
      <c r="C631" s="39" t="s">
        <v>607</v>
      </c>
      <c r="G631" s="6"/>
    </row>
    <row r="632" spans="2:7">
      <c r="B632" s="5">
        <v>11</v>
      </c>
      <c r="C632" s="39" t="s">
        <v>214</v>
      </c>
      <c r="G632" s="6"/>
    </row>
    <row r="633" spans="2:7">
      <c r="B633" s="5">
        <v>12</v>
      </c>
      <c r="C633" s="39" t="s">
        <v>236</v>
      </c>
      <c r="G633" s="6"/>
    </row>
    <row r="634" spans="2:7">
      <c r="B634" s="5">
        <v>13</v>
      </c>
      <c r="C634" s="39" t="s">
        <v>142</v>
      </c>
      <c r="G634" s="6"/>
    </row>
    <row r="635" spans="2:7">
      <c r="B635" s="5">
        <v>14</v>
      </c>
      <c r="C635" s="39" t="s">
        <v>144</v>
      </c>
      <c r="G635" s="6"/>
    </row>
    <row r="636" spans="2:7">
      <c r="B636" s="5">
        <v>15</v>
      </c>
      <c r="C636" s="39" t="s">
        <v>234</v>
      </c>
      <c r="G636" s="6"/>
    </row>
    <row r="637" spans="2:7">
      <c r="B637" s="18"/>
      <c r="G637" s="6"/>
    </row>
    <row r="638" spans="2:7">
      <c r="B638" s="18"/>
      <c r="C638" s="39" t="s">
        <v>325</v>
      </c>
      <c r="G638" s="6"/>
    </row>
    <row r="639" spans="2:7">
      <c r="B639" s="18"/>
      <c r="C639" s="39" t="s">
        <v>1201</v>
      </c>
      <c r="G639" s="6"/>
    </row>
    <row r="640" spans="2:7">
      <c r="B640" s="18"/>
      <c r="C640" s="39" t="s">
        <v>1196</v>
      </c>
      <c r="G640" s="6"/>
    </row>
    <row r="641" spans="2:7">
      <c r="B641" s="18"/>
      <c r="C641" s="39" t="s">
        <v>1089</v>
      </c>
      <c r="G641" s="6"/>
    </row>
    <row r="642" spans="2:7">
      <c r="B642" s="18"/>
      <c r="C642" s="39" t="s">
        <v>1109</v>
      </c>
      <c r="G642" s="6"/>
    </row>
    <row r="643" spans="2:7">
      <c r="B643" s="18"/>
      <c r="C643" s="39" t="s">
        <v>1197</v>
      </c>
      <c r="G643" s="6"/>
    </row>
    <row r="644" spans="2:7">
      <c r="B644" s="18"/>
      <c r="G644" s="6"/>
    </row>
    <row r="645" spans="2:7">
      <c r="B645" s="18"/>
      <c r="C645" s="1" t="s">
        <v>21</v>
      </c>
      <c r="G645" s="6"/>
    </row>
    <row r="646" spans="2:7">
      <c r="B646" s="18"/>
      <c r="G646" s="6"/>
    </row>
    <row r="647" spans="2:7">
      <c r="B647" s="82" t="s">
        <v>336</v>
      </c>
      <c r="C647" t="s">
        <v>214</v>
      </c>
      <c r="G647" s="6"/>
    </row>
    <row r="648" spans="2:7">
      <c r="B648" s="82" t="s">
        <v>336</v>
      </c>
      <c r="C648" s="39" t="s">
        <v>327</v>
      </c>
      <c r="G648" s="6"/>
    </row>
    <row r="649" spans="2:7">
      <c r="B649" s="82" t="s">
        <v>336</v>
      </c>
      <c r="C649" s="39" t="s">
        <v>18</v>
      </c>
      <c r="G649" s="6"/>
    </row>
    <row r="650" spans="2:7">
      <c r="B650" s="18"/>
      <c r="G650" s="6"/>
    </row>
    <row r="651" spans="2:7">
      <c r="B651" s="18"/>
      <c r="C651" s="15" t="s">
        <v>22</v>
      </c>
      <c r="G651" s="6"/>
    </row>
    <row r="652" spans="2:7">
      <c r="B652" s="82" t="s">
        <v>336</v>
      </c>
      <c r="C652" s="39" t="s">
        <v>236</v>
      </c>
      <c r="G652" s="6"/>
    </row>
    <row r="653" spans="2:7">
      <c r="B653" s="18"/>
      <c r="G653" s="6"/>
    </row>
    <row r="654" spans="2:7">
      <c r="B654" s="18"/>
      <c r="C654" s="1" t="s">
        <v>24</v>
      </c>
      <c r="G654" s="6"/>
    </row>
    <row r="655" spans="2:7">
      <c r="B655" s="82" t="s">
        <v>336</v>
      </c>
      <c r="C655" t="s">
        <v>607</v>
      </c>
      <c r="G655" s="6"/>
    </row>
    <row r="656" spans="2:7">
      <c r="B656" s="18"/>
      <c r="G656" s="6"/>
    </row>
    <row r="657" spans="2:7">
      <c r="B657" s="18"/>
      <c r="C657" s="1" t="s">
        <v>23</v>
      </c>
      <c r="G657" s="6"/>
    </row>
    <row r="658" spans="2:7">
      <c r="B658" s="82" t="s">
        <v>336</v>
      </c>
      <c r="C658" s="66" t="s">
        <v>33</v>
      </c>
      <c r="G658" s="6"/>
    </row>
    <row r="659" spans="2:7">
      <c r="B659" s="82"/>
      <c r="C659" s="39"/>
      <c r="G659" s="6"/>
    </row>
    <row r="660" spans="2:7" ht="13.5" thickBot="1">
      <c r="B660" s="19"/>
      <c r="C660" s="20"/>
      <c r="D660" s="20"/>
      <c r="E660" s="8"/>
      <c r="F660" s="20"/>
      <c r="G660" s="9"/>
    </row>
    <row r="661" spans="2:7">
      <c r="B661" s="121"/>
      <c r="C661" s="80"/>
      <c r="D661" s="16"/>
      <c r="E661" s="120"/>
      <c r="F661" s="16"/>
      <c r="G661" s="16"/>
    </row>
    <row r="662" spans="2:7" ht="13.5" thickBot="1">
      <c r="B662" s="168"/>
      <c r="C662" s="83"/>
      <c r="D662" s="20"/>
      <c r="E662" s="8"/>
      <c r="F662" s="20"/>
      <c r="G662" s="20"/>
    </row>
    <row r="663" spans="2:7" ht="13.5" thickBot="1">
      <c r="B663" s="236">
        <v>44751</v>
      </c>
      <c r="C663" s="237"/>
      <c r="D663" s="237"/>
      <c r="E663" s="237"/>
      <c r="F663" s="237"/>
      <c r="G663" s="238"/>
    </row>
    <row r="664" spans="2:7" ht="13.5" thickBot="1">
      <c r="B664" s="18"/>
      <c r="G664" s="6"/>
    </row>
    <row r="665" spans="2:7">
      <c r="B665" s="18"/>
      <c r="C665" s="21" t="s">
        <v>27</v>
      </c>
      <c r="D665" s="16"/>
      <c r="E665" s="80" t="s">
        <v>1</v>
      </c>
      <c r="F665" s="4">
        <v>20</v>
      </c>
      <c r="G665" s="6"/>
    </row>
    <row r="666" spans="2:7" ht="13.5" thickBot="1">
      <c r="B666" s="18"/>
      <c r="C666" s="7"/>
      <c r="D666" s="20"/>
      <c r="E666" s="83" t="s">
        <v>1154</v>
      </c>
      <c r="F666" s="22">
        <v>42</v>
      </c>
      <c r="G666" s="6"/>
    </row>
    <row r="667" spans="2:7" ht="13.5" thickBot="1">
      <c r="B667" s="18"/>
      <c r="G667" s="6"/>
    </row>
    <row r="668" spans="2:7">
      <c r="B668" s="18"/>
      <c r="C668" s="3" t="s">
        <v>4</v>
      </c>
      <c r="D668" s="16"/>
      <c r="E668" s="80" t="s">
        <v>1</v>
      </c>
      <c r="F668" s="84" t="s">
        <v>205</v>
      </c>
      <c r="G668" s="6"/>
    </row>
    <row r="669" spans="2:7">
      <c r="B669" s="18"/>
      <c r="C669" s="5" t="s">
        <v>2</v>
      </c>
      <c r="E669" s="39" t="s">
        <v>404</v>
      </c>
      <c r="F669" s="6"/>
      <c r="G669" s="6"/>
    </row>
    <row r="670" spans="2:7" ht="13.5" thickBot="1">
      <c r="B670" s="18"/>
      <c r="C670" s="7" t="s">
        <v>3</v>
      </c>
      <c r="D670" s="20"/>
      <c r="E670" s="81" t="s">
        <v>326</v>
      </c>
      <c r="F670" s="9"/>
      <c r="G670" s="6"/>
    </row>
    <row r="671" spans="2:7" ht="13.5" thickBot="1">
      <c r="B671" s="18"/>
      <c r="G671" s="6"/>
    </row>
    <row r="672" spans="2:7" ht="13.5" thickBot="1">
      <c r="B672" s="18"/>
      <c r="C672" s="23" t="s">
        <v>29</v>
      </c>
      <c r="D672" s="24"/>
      <c r="E672" s="87" t="s">
        <v>317</v>
      </c>
      <c r="F672" s="25"/>
      <c r="G672" s="6"/>
    </row>
    <row r="673" spans="2:7">
      <c r="B673" s="18"/>
      <c r="G673" s="6"/>
    </row>
    <row r="674" spans="2:7">
      <c r="B674" s="18"/>
      <c r="C674" t="s">
        <v>5</v>
      </c>
      <c r="G674" s="6"/>
    </row>
    <row r="675" spans="2:7">
      <c r="B675" s="18"/>
      <c r="G675" s="6"/>
    </row>
    <row r="676" spans="2:7">
      <c r="B676" s="5">
        <v>1</v>
      </c>
      <c r="C676" s="39" t="s">
        <v>327</v>
      </c>
      <c r="G676" s="6"/>
    </row>
    <row r="677" spans="2:7">
      <c r="B677" s="5">
        <v>2</v>
      </c>
      <c r="C677" s="39" t="s">
        <v>11</v>
      </c>
      <c r="G677" s="6"/>
    </row>
    <row r="678" spans="2:7">
      <c r="B678" s="5">
        <v>3</v>
      </c>
      <c r="C678" s="39" t="s">
        <v>1158</v>
      </c>
      <c r="G678" s="6"/>
    </row>
    <row r="679" spans="2:7">
      <c r="B679" s="5">
        <v>4</v>
      </c>
      <c r="C679" s="39" t="s">
        <v>10</v>
      </c>
      <c r="G679" s="6"/>
    </row>
    <row r="680" spans="2:7">
      <c r="B680" s="5">
        <v>5</v>
      </c>
      <c r="C680" s="39" t="s">
        <v>207</v>
      </c>
      <c r="G680" s="6"/>
    </row>
    <row r="681" spans="2:7">
      <c r="B681" s="5">
        <v>6</v>
      </c>
      <c r="C681" s="39" t="s">
        <v>211</v>
      </c>
      <c r="G681" s="6"/>
    </row>
    <row r="682" spans="2:7">
      <c r="B682" s="5">
        <v>7</v>
      </c>
      <c r="C682" s="39" t="s">
        <v>1159</v>
      </c>
      <c r="G682" s="6"/>
    </row>
    <row r="683" spans="2:7">
      <c r="B683" s="5">
        <v>8</v>
      </c>
      <c r="C683" s="39" t="s">
        <v>1096</v>
      </c>
      <c r="G683" s="6"/>
    </row>
    <row r="684" spans="2:7">
      <c r="B684" s="5">
        <v>9</v>
      </c>
      <c r="C684" s="39" t="s">
        <v>1235</v>
      </c>
      <c r="G684" s="6"/>
    </row>
    <row r="685" spans="2:7">
      <c r="B685" s="5">
        <v>10</v>
      </c>
      <c r="C685" s="39" t="s">
        <v>607</v>
      </c>
      <c r="G685" s="6"/>
    </row>
    <row r="686" spans="2:7">
      <c r="B686" s="5">
        <v>11</v>
      </c>
      <c r="C686" s="39" t="s">
        <v>214</v>
      </c>
      <c r="G686" s="6"/>
    </row>
    <row r="687" spans="2:7">
      <c r="B687" s="5">
        <v>12</v>
      </c>
      <c r="C687" s="39" t="s">
        <v>236</v>
      </c>
      <c r="G687" s="6"/>
    </row>
    <row r="688" spans="2:7">
      <c r="B688" s="5">
        <v>13</v>
      </c>
      <c r="C688" s="39" t="s">
        <v>142</v>
      </c>
      <c r="G688" s="6"/>
    </row>
    <row r="689" spans="2:7">
      <c r="B689" s="5">
        <v>14</v>
      </c>
      <c r="C689" s="39" t="s">
        <v>144</v>
      </c>
      <c r="G689" s="6"/>
    </row>
    <row r="690" spans="2:7">
      <c r="B690" s="5">
        <v>15</v>
      </c>
      <c r="C690" s="39" t="s">
        <v>234</v>
      </c>
      <c r="G690" s="6"/>
    </row>
    <row r="691" spans="2:7">
      <c r="B691" s="18"/>
      <c r="G691" s="6"/>
    </row>
    <row r="692" spans="2:7">
      <c r="B692" s="18"/>
      <c r="C692" s="39" t="s">
        <v>325</v>
      </c>
      <c r="G692" s="6"/>
    </row>
    <row r="693" spans="2:7">
      <c r="B693" s="18"/>
      <c r="C693" s="39" t="s">
        <v>1236</v>
      </c>
      <c r="G693" s="6"/>
    </row>
    <row r="694" spans="2:7">
      <c r="B694" s="18"/>
      <c r="C694" s="39" t="s">
        <v>1196</v>
      </c>
      <c r="G694" s="6"/>
    </row>
    <row r="695" spans="2:7">
      <c r="B695" s="18"/>
      <c r="C695" s="39" t="s">
        <v>1202</v>
      </c>
      <c r="G695" s="6"/>
    </row>
    <row r="696" spans="2:7">
      <c r="B696" s="18"/>
      <c r="G696" s="6"/>
    </row>
    <row r="697" spans="2:7">
      <c r="B697" s="18"/>
      <c r="C697" s="1" t="s">
        <v>21</v>
      </c>
      <c r="G697" s="6"/>
    </row>
    <row r="698" spans="2:7">
      <c r="B698" s="18"/>
      <c r="G698" s="6"/>
    </row>
    <row r="699" spans="2:7">
      <c r="B699" s="82" t="s">
        <v>352</v>
      </c>
      <c r="C699" s="39" t="s">
        <v>1096</v>
      </c>
      <c r="G699" s="6"/>
    </row>
    <row r="700" spans="2:7">
      <c r="B700" s="82" t="s">
        <v>336</v>
      </c>
      <c r="C700" s="39" t="s">
        <v>211</v>
      </c>
      <c r="G700" s="6"/>
    </row>
    <row r="701" spans="2:7">
      <c r="B701" s="18"/>
      <c r="G701" s="6"/>
    </row>
    <row r="702" spans="2:7">
      <c r="B702" s="18"/>
      <c r="C702" s="15" t="s">
        <v>22</v>
      </c>
      <c r="G702" s="6"/>
    </row>
    <row r="703" spans="2:7">
      <c r="B703" s="82" t="s">
        <v>336</v>
      </c>
      <c r="C703" s="39" t="s">
        <v>236</v>
      </c>
      <c r="G703" s="6"/>
    </row>
    <row r="704" spans="2:7">
      <c r="B704" s="18"/>
      <c r="G704" s="6"/>
    </row>
    <row r="705" spans="2:7">
      <c r="B705" s="18"/>
      <c r="C705" s="15" t="s">
        <v>337</v>
      </c>
      <c r="G705" s="6"/>
    </row>
    <row r="706" spans="2:7">
      <c r="B706" s="82" t="s">
        <v>336</v>
      </c>
      <c r="C706" s="39" t="s">
        <v>236</v>
      </c>
      <c r="G706" s="6"/>
    </row>
    <row r="707" spans="2:7">
      <c r="B707" s="18"/>
      <c r="G707" s="6"/>
    </row>
    <row r="708" spans="2:7">
      <c r="B708" s="18"/>
      <c r="C708" s="1" t="s">
        <v>23</v>
      </c>
      <c r="G708" s="6"/>
    </row>
    <row r="709" spans="2:7">
      <c r="B709" s="82" t="s">
        <v>336</v>
      </c>
      <c r="C709" s="66" t="s">
        <v>1235</v>
      </c>
      <c r="G709" s="6"/>
    </row>
    <row r="710" spans="2:7">
      <c r="B710" s="82"/>
      <c r="C710" s="39"/>
      <c r="G710" s="6"/>
    </row>
    <row r="711" spans="2:7" ht="13.5" thickBot="1">
      <c r="B711" s="19"/>
      <c r="C711" s="20"/>
      <c r="D711" s="20"/>
      <c r="E711" s="8"/>
      <c r="F711" s="20"/>
      <c r="G711" s="9"/>
    </row>
    <row r="712" spans="2:7">
      <c r="B712" s="121"/>
      <c r="C712" s="80"/>
      <c r="D712" s="16"/>
      <c r="E712" s="120"/>
      <c r="F712" s="16"/>
      <c r="G712" s="16"/>
    </row>
    <row r="713" spans="2:7" ht="13.5" thickBot="1">
      <c r="B713" s="168"/>
      <c r="C713" s="83"/>
      <c r="D713" s="20"/>
      <c r="E713" s="8"/>
      <c r="F713" s="20"/>
      <c r="G713" s="20"/>
    </row>
    <row r="714" spans="2:7" ht="13.5" thickBot="1">
      <c r="B714" s="236">
        <v>44779</v>
      </c>
      <c r="C714" s="237"/>
      <c r="D714" s="237"/>
      <c r="E714" s="237"/>
      <c r="F714" s="237"/>
      <c r="G714" s="238"/>
    </row>
    <row r="715" spans="2:7" ht="13.5" thickBot="1">
      <c r="B715" s="18"/>
      <c r="G715" s="6"/>
    </row>
    <row r="716" spans="2:7">
      <c r="B716" s="18"/>
      <c r="C716" s="21" t="s">
        <v>27</v>
      </c>
      <c r="D716" s="16"/>
      <c r="E716" s="80" t="s">
        <v>123</v>
      </c>
      <c r="F716" s="4">
        <v>33</v>
      </c>
      <c r="G716" s="6"/>
    </row>
    <row r="717" spans="2:7" ht="13.5" thickBot="1">
      <c r="B717" s="18"/>
      <c r="C717" s="7"/>
      <c r="D717" s="20"/>
      <c r="E717" s="83" t="s">
        <v>1</v>
      </c>
      <c r="F717" s="22">
        <v>20</v>
      </c>
      <c r="G717" s="6"/>
    </row>
    <row r="718" spans="2:7" ht="13.5" thickBot="1">
      <c r="B718" s="18"/>
      <c r="G718" s="6"/>
    </row>
    <row r="719" spans="2:7">
      <c r="B719" s="18"/>
      <c r="C719" s="3" t="s">
        <v>4</v>
      </c>
      <c r="D719" s="16"/>
      <c r="E719" s="80" t="s">
        <v>123</v>
      </c>
      <c r="F719" s="84"/>
      <c r="G719" s="6"/>
    </row>
    <row r="720" spans="2:7">
      <c r="B720" s="18"/>
      <c r="C720" s="5" t="s">
        <v>2</v>
      </c>
      <c r="E720" s="39" t="s">
        <v>326</v>
      </c>
      <c r="F720" s="6"/>
      <c r="G720" s="6"/>
    </row>
    <row r="721" spans="2:7" ht="13.5" thickBot="1">
      <c r="B721" s="18"/>
      <c r="C721" s="7" t="s">
        <v>3</v>
      </c>
      <c r="D721" s="20"/>
      <c r="E721" s="81" t="s">
        <v>326</v>
      </c>
      <c r="F721" s="9"/>
      <c r="G721" s="6"/>
    </row>
    <row r="722" spans="2:7" ht="13.5" thickBot="1">
      <c r="B722" s="18"/>
      <c r="G722" s="6"/>
    </row>
    <row r="723" spans="2:7" ht="13.5" thickBot="1">
      <c r="B723" s="18"/>
      <c r="C723" s="23" t="s">
        <v>29</v>
      </c>
      <c r="D723" s="24"/>
      <c r="E723" s="87" t="s">
        <v>1188</v>
      </c>
      <c r="F723" s="25"/>
      <c r="G723" s="6"/>
    </row>
    <row r="724" spans="2:7">
      <c r="B724" s="18"/>
      <c r="G724" s="6"/>
    </row>
    <row r="725" spans="2:7">
      <c r="B725" s="18"/>
      <c r="C725" t="s">
        <v>5</v>
      </c>
      <c r="G725" s="6"/>
    </row>
    <row r="726" spans="2:7">
      <c r="B726" s="18"/>
      <c r="G726" s="6"/>
    </row>
    <row r="727" spans="2:7">
      <c r="B727" s="5">
        <v>1</v>
      </c>
      <c r="C727" s="39" t="s">
        <v>327</v>
      </c>
      <c r="G727" s="6"/>
    </row>
    <row r="728" spans="2:7">
      <c r="B728" s="5">
        <v>2</v>
      </c>
      <c r="C728" s="39" t="s">
        <v>11</v>
      </c>
      <c r="G728" s="6"/>
    </row>
    <row r="729" spans="2:7">
      <c r="B729" s="5">
        <v>3</v>
      </c>
      <c r="C729" s="39" t="s">
        <v>1158</v>
      </c>
      <c r="G729" s="6"/>
    </row>
    <row r="730" spans="2:7">
      <c r="B730" s="5">
        <v>4</v>
      </c>
      <c r="C730" s="39" t="s">
        <v>1106</v>
      </c>
      <c r="G730" s="6"/>
    </row>
    <row r="731" spans="2:7">
      <c r="B731" s="5">
        <v>5</v>
      </c>
      <c r="C731" s="39" t="s">
        <v>207</v>
      </c>
      <c r="G731" s="6"/>
    </row>
    <row r="732" spans="2:7">
      <c r="B732" s="5">
        <v>6</v>
      </c>
      <c r="C732" s="39" t="s">
        <v>211</v>
      </c>
      <c r="G732" s="6"/>
    </row>
    <row r="733" spans="2:7">
      <c r="B733" s="5">
        <v>7</v>
      </c>
      <c r="C733" s="39" t="s">
        <v>1159</v>
      </c>
      <c r="G733" s="6"/>
    </row>
    <row r="734" spans="2:7">
      <c r="B734" s="5">
        <v>8</v>
      </c>
      <c r="C734" s="39" t="s">
        <v>33</v>
      </c>
      <c r="G734" s="6"/>
    </row>
    <row r="735" spans="2:7">
      <c r="B735" s="5">
        <v>9</v>
      </c>
      <c r="C735" s="39" t="s">
        <v>1235</v>
      </c>
      <c r="G735" s="6"/>
    </row>
    <row r="736" spans="2:7">
      <c r="B736" s="5">
        <v>10</v>
      </c>
      <c r="C736" s="39" t="s">
        <v>607</v>
      </c>
      <c r="G736" s="6"/>
    </row>
    <row r="737" spans="2:7">
      <c r="B737" s="5">
        <v>11</v>
      </c>
      <c r="C737" s="39" t="s">
        <v>1151</v>
      </c>
      <c r="G737" s="6"/>
    </row>
    <row r="738" spans="2:7">
      <c r="B738" s="5">
        <v>12</v>
      </c>
      <c r="C738" s="39" t="s">
        <v>236</v>
      </c>
      <c r="G738" s="6"/>
    </row>
    <row r="739" spans="2:7">
      <c r="B739" s="5">
        <v>13</v>
      </c>
      <c r="C739" s="39" t="s">
        <v>214</v>
      </c>
      <c r="G739" s="6"/>
    </row>
    <row r="740" spans="2:7">
      <c r="B740" s="5">
        <v>14</v>
      </c>
      <c r="C740" s="39" t="s">
        <v>144</v>
      </c>
      <c r="G740" s="6"/>
    </row>
    <row r="741" spans="2:7">
      <c r="B741" s="5">
        <v>15</v>
      </c>
      <c r="C741" s="39" t="s">
        <v>234</v>
      </c>
      <c r="G741" s="6"/>
    </row>
    <row r="742" spans="2:7">
      <c r="B742" s="18"/>
      <c r="G742" s="6"/>
    </row>
    <row r="743" spans="2:7">
      <c r="B743" s="18"/>
      <c r="C743" s="39" t="s">
        <v>325</v>
      </c>
      <c r="G743" s="6"/>
    </row>
    <row r="744" spans="2:7">
      <c r="B744" s="18"/>
      <c r="C744" s="39" t="s">
        <v>1238</v>
      </c>
      <c r="G744" s="6"/>
    </row>
    <row r="745" spans="2:7">
      <c r="B745" s="18"/>
      <c r="C745" s="39" t="s">
        <v>1196</v>
      </c>
      <c r="G745" s="6"/>
    </row>
    <row r="746" spans="2:7">
      <c r="B746" s="18"/>
      <c r="C746" s="39" t="s">
        <v>1237</v>
      </c>
      <c r="G746" s="6"/>
    </row>
    <row r="747" spans="2:7">
      <c r="B747" s="18"/>
      <c r="C747" s="39" t="s">
        <v>1239</v>
      </c>
      <c r="G747" s="6"/>
    </row>
    <row r="748" spans="2:7">
      <c r="B748" s="18"/>
      <c r="C748" s="39" t="s">
        <v>1193</v>
      </c>
      <c r="G748" s="6"/>
    </row>
    <row r="749" spans="2:7">
      <c r="B749" s="18"/>
      <c r="G749" s="6"/>
    </row>
    <row r="750" spans="2:7">
      <c r="B750" s="18"/>
      <c r="C750" s="1" t="s">
        <v>21</v>
      </c>
      <c r="G750" s="6"/>
    </row>
    <row r="751" spans="2:7">
      <c r="B751" s="18"/>
      <c r="G751" s="6"/>
    </row>
    <row r="752" spans="2:7">
      <c r="B752" s="82" t="s">
        <v>336</v>
      </c>
      <c r="C752" s="39" t="s">
        <v>234</v>
      </c>
      <c r="G752" s="6"/>
    </row>
    <row r="753" spans="2:7">
      <c r="B753" s="82" t="s">
        <v>336</v>
      </c>
      <c r="C753" s="39" t="s">
        <v>1235</v>
      </c>
      <c r="G753" s="6"/>
    </row>
    <row r="754" spans="2:7">
      <c r="B754" s="18"/>
      <c r="G754" s="6"/>
    </row>
    <row r="755" spans="2:7">
      <c r="B755" s="18"/>
      <c r="C755" s="15" t="s">
        <v>22</v>
      </c>
      <c r="G755" s="6"/>
    </row>
    <row r="756" spans="2:7">
      <c r="B756" s="82" t="s">
        <v>352</v>
      </c>
      <c r="C756" s="39" t="s">
        <v>236</v>
      </c>
      <c r="G756" s="6"/>
    </row>
    <row r="757" spans="2:7">
      <c r="B757" s="18"/>
      <c r="G757" s="6"/>
    </row>
    <row r="758" spans="2:7">
      <c r="B758" s="18"/>
      <c r="C758" s="15" t="s">
        <v>337</v>
      </c>
      <c r="G758" s="6"/>
    </row>
    <row r="759" spans="2:7">
      <c r="B759" s="82" t="s">
        <v>352</v>
      </c>
      <c r="C759" s="39" t="s">
        <v>236</v>
      </c>
      <c r="G759" s="6"/>
    </row>
    <row r="760" spans="2:7">
      <c r="B760" s="18"/>
      <c r="G760" s="6"/>
    </row>
    <row r="761" spans="2:7">
      <c r="B761" s="18"/>
      <c r="C761" s="1" t="s">
        <v>23</v>
      </c>
      <c r="G761" s="6"/>
    </row>
    <row r="762" spans="2:7">
      <c r="B762" s="82" t="s">
        <v>336</v>
      </c>
      <c r="C762" s="66" t="s">
        <v>327</v>
      </c>
      <c r="G762" s="6"/>
    </row>
    <row r="763" spans="2:7">
      <c r="B763" s="82" t="s">
        <v>336</v>
      </c>
      <c r="C763" s="39" t="s">
        <v>1113</v>
      </c>
      <c r="G763" s="6"/>
    </row>
    <row r="764" spans="2:7" ht="13.5" thickBot="1">
      <c r="B764" s="19"/>
      <c r="C764" s="20"/>
      <c r="D764" s="20"/>
      <c r="E764" s="8"/>
      <c r="F764" s="20"/>
      <c r="G764" s="9"/>
    </row>
    <row r="765" spans="2:7">
      <c r="B765" s="175"/>
      <c r="C765" s="80"/>
      <c r="D765" s="80"/>
      <c r="E765" s="177"/>
      <c r="F765" s="80"/>
      <c r="G765" s="80"/>
    </row>
    <row r="766" spans="2:7" ht="13.5" thickBot="1">
      <c r="B766" s="176"/>
      <c r="C766" s="83"/>
      <c r="D766" s="83"/>
      <c r="E766" s="164"/>
      <c r="F766" s="83"/>
      <c r="G766" s="83"/>
    </row>
    <row r="767" spans="2:7" ht="13.5" thickBot="1">
      <c r="B767" s="236">
        <v>44786</v>
      </c>
      <c r="C767" s="237"/>
      <c r="D767" s="237"/>
      <c r="E767" s="237"/>
      <c r="F767" s="237"/>
      <c r="G767" s="238"/>
    </row>
    <row r="768" spans="2:7" ht="13.5" thickBot="1">
      <c r="B768" s="18"/>
      <c r="G768" s="6"/>
    </row>
    <row r="769" spans="2:7">
      <c r="B769" s="18"/>
      <c r="C769" s="21" t="s">
        <v>27</v>
      </c>
      <c r="D769" s="16"/>
      <c r="E769" s="80" t="s">
        <v>1</v>
      </c>
      <c r="F769" s="4">
        <v>38</v>
      </c>
      <c r="G769" s="6"/>
    </row>
    <row r="770" spans="2:7" ht="13.5" thickBot="1">
      <c r="B770" s="18"/>
      <c r="C770" s="7"/>
      <c r="D770" s="20"/>
      <c r="E770" s="83" t="s">
        <v>114</v>
      </c>
      <c r="F770" s="22">
        <v>34</v>
      </c>
      <c r="G770" s="6"/>
    </row>
    <row r="771" spans="2:7" ht="13.5" thickBot="1">
      <c r="B771" s="18"/>
      <c r="G771" s="6"/>
    </row>
    <row r="772" spans="2:7">
      <c r="B772" s="18"/>
      <c r="C772" s="3" t="s">
        <v>4</v>
      </c>
      <c r="D772" s="16"/>
      <c r="E772" s="80" t="s">
        <v>1</v>
      </c>
      <c r="F772" s="84" t="s">
        <v>205</v>
      </c>
      <c r="G772" s="6"/>
    </row>
    <row r="773" spans="2:7">
      <c r="B773" s="18"/>
      <c r="C773" s="5" t="s">
        <v>2</v>
      </c>
      <c r="E773" s="39" t="s">
        <v>326</v>
      </c>
      <c r="F773" s="6"/>
      <c r="G773" s="6"/>
    </row>
    <row r="774" spans="2:7" ht="13.5" thickBot="1">
      <c r="B774" s="18"/>
      <c r="C774" s="7" t="s">
        <v>3</v>
      </c>
      <c r="D774" s="20"/>
      <c r="E774" s="81" t="s">
        <v>326</v>
      </c>
      <c r="F774" s="9"/>
      <c r="G774" s="6"/>
    </row>
    <row r="775" spans="2:7" ht="13.5" thickBot="1">
      <c r="B775" s="18"/>
      <c r="G775" s="6"/>
    </row>
    <row r="776" spans="2:7" ht="13.5" thickBot="1">
      <c r="B776" s="18"/>
      <c r="C776" s="23" t="s">
        <v>29</v>
      </c>
      <c r="D776" s="24"/>
      <c r="E776" s="87" t="s">
        <v>216</v>
      </c>
      <c r="F776" s="25"/>
      <c r="G776" s="6"/>
    </row>
    <row r="777" spans="2:7">
      <c r="B777" s="18"/>
      <c r="G777" s="6"/>
    </row>
    <row r="778" spans="2:7">
      <c r="B778" s="18"/>
      <c r="C778" t="s">
        <v>5</v>
      </c>
      <c r="G778" s="6"/>
    </row>
    <row r="779" spans="2:7">
      <c r="B779" s="18"/>
      <c r="G779" s="6"/>
    </row>
    <row r="780" spans="2:7">
      <c r="B780" s="5">
        <v>1</v>
      </c>
      <c r="C780" s="39" t="s">
        <v>327</v>
      </c>
      <c r="G780" s="6"/>
    </row>
    <row r="781" spans="2:7">
      <c r="B781" s="5">
        <v>2</v>
      </c>
      <c r="C781" s="39" t="s">
        <v>11</v>
      </c>
      <c r="G781" s="6"/>
    </row>
    <row r="782" spans="2:7">
      <c r="B782" s="5">
        <v>3</v>
      </c>
      <c r="C782" s="39" t="s">
        <v>1158</v>
      </c>
      <c r="G782" s="6"/>
    </row>
    <row r="783" spans="2:7">
      <c r="B783" s="5">
        <v>4</v>
      </c>
      <c r="C783" s="39" t="s">
        <v>1106</v>
      </c>
      <c r="G783" s="6"/>
    </row>
    <row r="784" spans="2:7">
      <c r="B784" s="5">
        <v>5</v>
      </c>
      <c r="C784" s="39" t="s">
        <v>207</v>
      </c>
      <c r="G784" s="6"/>
    </row>
    <row r="785" spans="2:7">
      <c r="B785" s="5">
        <v>6</v>
      </c>
      <c r="C785" s="39" t="s">
        <v>211</v>
      </c>
      <c r="G785" s="6"/>
    </row>
    <row r="786" spans="2:7">
      <c r="B786" s="5">
        <v>7</v>
      </c>
      <c r="C786" s="39" t="s">
        <v>1159</v>
      </c>
      <c r="G786" s="6"/>
    </row>
    <row r="787" spans="2:7">
      <c r="B787" s="5">
        <v>8</v>
      </c>
      <c r="C787" s="39" t="s">
        <v>33</v>
      </c>
      <c r="G787" s="6"/>
    </row>
    <row r="788" spans="2:7">
      <c r="B788" s="5">
        <v>9</v>
      </c>
      <c r="C788" s="39" t="s">
        <v>1235</v>
      </c>
      <c r="G788" s="6"/>
    </row>
    <row r="789" spans="2:7">
      <c r="B789" s="5">
        <v>10</v>
      </c>
      <c r="C789" s="39" t="s">
        <v>607</v>
      </c>
      <c r="G789" s="6"/>
    </row>
    <row r="790" spans="2:7">
      <c r="B790" s="5">
        <v>11</v>
      </c>
      <c r="C790" s="39" t="s">
        <v>1151</v>
      </c>
      <c r="G790" s="6"/>
    </row>
    <row r="791" spans="2:7">
      <c r="B791" s="5">
        <v>12</v>
      </c>
      <c r="C791" s="39" t="s">
        <v>236</v>
      </c>
      <c r="G791" s="6"/>
    </row>
    <row r="792" spans="2:7">
      <c r="B792" s="5">
        <v>13</v>
      </c>
      <c r="C792" s="39" t="s">
        <v>214</v>
      </c>
      <c r="G792" s="6"/>
    </row>
    <row r="793" spans="2:7">
      <c r="B793" s="5">
        <v>14</v>
      </c>
      <c r="C793" s="39" t="s">
        <v>1240</v>
      </c>
      <c r="G793" s="6"/>
    </row>
    <row r="794" spans="2:7">
      <c r="B794" s="5">
        <v>15</v>
      </c>
      <c r="C794" s="39" t="s">
        <v>234</v>
      </c>
      <c r="G794" s="6"/>
    </row>
    <row r="795" spans="2:7">
      <c r="B795" s="18"/>
      <c r="G795" s="6"/>
    </row>
    <row r="796" spans="2:7">
      <c r="B796" s="18"/>
      <c r="C796" s="39" t="s">
        <v>325</v>
      </c>
      <c r="G796" s="6"/>
    </row>
    <row r="797" spans="2:7">
      <c r="B797" s="18"/>
      <c r="C797" s="39" t="s">
        <v>1160</v>
      </c>
      <c r="G797" s="6"/>
    </row>
    <row r="798" spans="2:7">
      <c r="B798" s="18"/>
      <c r="C798" s="39" t="s">
        <v>1196</v>
      </c>
      <c r="G798" s="6"/>
    </row>
    <row r="799" spans="2:7">
      <c r="B799" s="18"/>
      <c r="C799" s="39" t="s">
        <v>1193</v>
      </c>
      <c r="G799" s="6"/>
    </row>
    <row r="800" spans="2:7">
      <c r="B800" s="18"/>
      <c r="C800" s="39" t="s">
        <v>1241</v>
      </c>
      <c r="G800" s="6"/>
    </row>
    <row r="801" spans="2:7">
      <c r="B801" s="18"/>
      <c r="G801" s="6"/>
    </row>
    <row r="802" spans="2:7">
      <c r="B802" s="18"/>
      <c r="C802" s="1" t="s">
        <v>21</v>
      </c>
      <c r="G802" s="6"/>
    </row>
    <row r="803" spans="2:7">
      <c r="B803" s="18"/>
      <c r="G803" s="6"/>
    </row>
    <row r="804" spans="2:7">
      <c r="B804" s="82" t="s">
        <v>352</v>
      </c>
      <c r="C804" s="39" t="s">
        <v>211</v>
      </c>
      <c r="G804" s="6"/>
    </row>
    <row r="805" spans="2:7">
      <c r="B805" s="82" t="s">
        <v>336</v>
      </c>
      <c r="C805" s="39" t="s">
        <v>33</v>
      </c>
      <c r="G805" s="6"/>
    </row>
    <row r="806" spans="2:7">
      <c r="B806" s="82" t="s">
        <v>336</v>
      </c>
      <c r="C806" s="39" t="s">
        <v>1151</v>
      </c>
      <c r="G806" s="6"/>
    </row>
    <row r="807" spans="2:7">
      <c r="B807" s="82" t="s">
        <v>336</v>
      </c>
      <c r="C807" s="39" t="s">
        <v>234</v>
      </c>
      <c r="G807" s="6"/>
    </row>
    <row r="808" spans="2:7">
      <c r="B808" s="82" t="s">
        <v>336</v>
      </c>
      <c r="C808" s="39" t="s">
        <v>214</v>
      </c>
      <c r="G808" s="6"/>
    </row>
    <row r="809" spans="2:7">
      <c r="B809" s="18"/>
      <c r="G809" s="6"/>
    </row>
    <row r="810" spans="2:7">
      <c r="B810" s="18"/>
      <c r="C810" s="15" t="s">
        <v>337</v>
      </c>
      <c r="G810" s="6"/>
    </row>
    <row r="811" spans="2:7">
      <c r="B811" s="82" t="s">
        <v>338</v>
      </c>
      <c r="C811" s="39" t="s">
        <v>236</v>
      </c>
      <c r="G811" s="6"/>
    </row>
    <row r="812" spans="2:7">
      <c r="B812" s="18"/>
      <c r="G812" s="6"/>
    </row>
    <row r="813" spans="2:7">
      <c r="B813" s="18"/>
      <c r="C813" s="1" t="s">
        <v>23</v>
      </c>
      <c r="G813" s="6"/>
    </row>
    <row r="814" spans="2:7">
      <c r="B814" s="82" t="s">
        <v>336</v>
      </c>
      <c r="C814" s="66" t="s">
        <v>1151</v>
      </c>
      <c r="G814" s="6"/>
    </row>
    <row r="815" spans="2:7" ht="13.5" thickBot="1">
      <c r="B815" s="19"/>
      <c r="C815" s="20"/>
      <c r="D815" s="20"/>
      <c r="E815" s="8"/>
      <c r="F815" s="20"/>
      <c r="G815" s="9"/>
    </row>
    <row r="817" spans="2:7" ht="13.5" thickBot="1"/>
    <row r="818" spans="2:7" ht="13.5" thickBot="1">
      <c r="B818" s="236">
        <v>44793</v>
      </c>
      <c r="C818" s="237"/>
      <c r="D818" s="237"/>
      <c r="E818" s="237"/>
      <c r="F818" s="237"/>
      <c r="G818" s="238"/>
    </row>
    <row r="819" spans="2:7" ht="13.5" thickBot="1">
      <c r="B819" s="18"/>
      <c r="G819" s="6"/>
    </row>
    <row r="820" spans="2:7">
      <c r="B820" s="18"/>
      <c r="C820" s="21" t="s">
        <v>27</v>
      </c>
      <c r="D820" s="16"/>
      <c r="E820" s="80" t="s">
        <v>91</v>
      </c>
      <c r="F820" s="4">
        <v>24</v>
      </c>
      <c r="G820" s="6"/>
    </row>
    <row r="821" spans="2:7" ht="13.5" thickBot="1">
      <c r="B821" s="18"/>
      <c r="C821" s="7"/>
      <c r="D821" s="20"/>
      <c r="E821" s="83" t="s">
        <v>1</v>
      </c>
      <c r="F821" s="22">
        <v>23</v>
      </c>
      <c r="G821" s="6"/>
    </row>
    <row r="822" spans="2:7" ht="13.5" thickBot="1">
      <c r="B822" s="18"/>
      <c r="G822" s="6"/>
    </row>
    <row r="823" spans="2:7">
      <c r="B823" s="18"/>
      <c r="C823" s="3" t="s">
        <v>4</v>
      </c>
      <c r="D823" s="16"/>
      <c r="E823" s="80" t="s">
        <v>91</v>
      </c>
      <c r="F823" s="84"/>
      <c r="G823" s="6"/>
    </row>
    <row r="824" spans="2:7">
      <c r="B824" s="18"/>
      <c r="C824" s="5" t="s">
        <v>2</v>
      </c>
      <c r="E824" s="39" t="s">
        <v>326</v>
      </c>
      <c r="F824" s="6"/>
      <c r="G824" s="6"/>
    </row>
    <row r="825" spans="2:7" ht="13.5" thickBot="1">
      <c r="B825" s="18"/>
      <c r="C825" s="7" t="s">
        <v>3</v>
      </c>
      <c r="D825" s="20"/>
      <c r="E825" s="81" t="s">
        <v>326</v>
      </c>
      <c r="F825" s="9"/>
      <c r="G825" s="6"/>
    </row>
    <row r="826" spans="2:7" ht="13.5" thickBot="1">
      <c r="B826" s="18"/>
      <c r="G826" s="6"/>
    </row>
    <row r="827" spans="2:7" ht="13.5" thickBot="1">
      <c r="B827" s="18"/>
      <c r="C827" s="23" t="s">
        <v>29</v>
      </c>
      <c r="D827" s="24"/>
      <c r="E827" s="87" t="s">
        <v>1130</v>
      </c>
      <c r="F827" s="25"/>
      <c r="G827" s="6"/>
    </row>
    <row r="828" spans="2:7">
      <c r="B828" s="18"/>
      <c r="G828" s="6"/>
    </row>
    <row r="829" spans="2:7">
      <c r="B829" s="18"/>
      <c r="C829" t="s">
        <v>5</v>
      </c>
      <c r="G829" s="6"/>
    </row>
    <row r="830" spans="2:7">
      <c r="B830" s="18"/>
      <c r="G830" s="6"/>
    </row>
    <row r="831" spans="2:7">
      <c r="B831" s="5">
        <v>1</v>
      </c>
      <c r="C831" s="39" t="s">
        <v>327</v>
      </c>
      <c r="G831" s="6"/>
    </row>
    <row r="832" spans="2:7">
      <c r="B832" s="5">
        <v>2</v>
      </c>
      <c r="C832" s="39" t="s">
        <v>11</v>
      </c>
      <c r="G832" s="6"/>
    </row>
    <row r="833" spans="2:7">
      <c r="B833" s="5">
        <v>3</v>
      </c>
      <c r="C833" s="39" t="s">
        <v>1158</v>
      </c>
      <c r="G833" s="6"/>
    </row>
    <row r="834" spans="2:7">
      <c r="B834" s="5">
        <v>4</v>
      </c>
      <c r="C834" s="39" t="s">
        <v>1106</v>
      </c>
      <c r="G834" s="6"/>
    </row>
    <row r="835" spans="2:7">
      <c r="B835" s="5">
        <v>5</v>
      </c>
      <c r="C835" s="39" t="s">
        <v>207</v>
      </c>
      <c r="G835" s="6"/>
    </row>
    <row r="836" spans="2:7">
      <c r="B836" s="5">
        <v>6</v>
      </c>
      <c r="C836" s="39" t="s">
        <v>211</v>
      </c>
      <c r="G836" s="6"/>
    </row>
    <row r="837" spans="2:7">
      <c r="B837" s="5">
        <v>7</v>
      </c>
      <c r="C837" s="39" t="s">
        <v>1159</v>
      </c>
      <c r="G837" s="6"/>
    </row>
    <row r="838" spans="2:7">
      <c r="B838" s="5">
        <v>8</v>
      </c>
      <c r="C838" s="39" t="s">
        <v>33</v>
      </c>
      <c r="G838" s="6"/>
    </row>
    <row r="839" spans="2:7">
      <c r="B839" s="5">
        <v>9</v>
      </c>
      <c r="C839" s="39" t="s">
        <v>1235</v>
      </c>
      <c r="G839" s="6"/>
    </row>
    <row r="840" spans="2:7">
      <c r="B840" s="5">
        <v>10</v>
      </c>
      <c r="C840" s="39" t="s">
        <v>607</v>
      </c>
      <c r="G840" s="6"/>
    </row>
    <row r="841" spans="2:7">
      <c r="B841" s="5">
        <v>11</v>
      </c>
      <c r="C841" s="39" t="s">
        <v>1151</v>
      </c>
      <c r="G841" s="6"/>
    </row>
    <row r="842" spans="2:7">
      <c r="B842" s="5">
        <v>12</v>
      </c>
      <c r="C842" s="39" t="s">
        <v>236</v>
      </c>
      <c r="G842" s="6"/>
    </row>
    <row r="843" spans="2:7">
      <c r="B843" s="5">
        <v>13</v>
      </c>
      <c r="C843" s="39" t="s">
        <v>214</v>
      </c>
      <c r="G843" s="6"/>
    </row>
    <row r="844" spans="2:7">
      <c r="B844" s="5">
        <v>14</v>
      </c>
      <c r="C844" s="39" t="s">
        <v>1240</v>
      </c>
      <c r="G844" s="6"/>
    </row>
    <row r="845" spans="2:7">
      <c r="B845" s="5">
        <v>15</v>
      </c>
      <c r="C845" s="39" t="s">
        <v>234</v>
      </c>
      <c r="G845" s="6"/>
    </row>
    <row r="846" spans="2:7">
      <c r="B846" s="18"/>
      <c r="G846" s="6"/>
    </row>
    <row r="847" spans="2:7">
      <c r="B847" s="18"/>
      <c r="C847" s="39" t="s">
        <v>325</v>
      </c>
      <c r="G847" s="6"/>
    </row>
    <row r="848" spans="2:7">
      <c r="B848" s="18"/>
      <c r="C848" s="39" t="s">
        <v>1186</v>
      </c>
      <c r="G848" s="6"/>
    </row>
    <row r="849" spans="2:7">
      <c r="B849" s="18"/>
      <c r="C849" s="39" t="s">
        <v>1196</v>
      </c>
      <c r="G849" s="6"/>
    </row>
    <row r="850" spans="2:7">
      <c r="B850" s="18"/>
      <c r="C850" s="39" t="s">
        <v>1193</v>
      </c>
      <c r="G850" s="6"/>
    </row>
    <row r="851" spans="2:7">
      <c r="B851" s="18"/>
      <c r="C851" s="39" t="s">
        <v>1243</v>
      </c>
      <c r="G851" s="6"/>
    </row>
    <row r="852" spans="2:7">
      <c r="B852" s="18"/>
      <c r="C852" s="39" t="s">
        <v>1181</v>
      </c>
      <c r="G852" s="6"/>
    </row>
    <row r="853" spans="2:7">
      <c r="B853" s="18"/>
      <c r="C853" s="39" t="s">
        <v>1092</v>
      </c>
      <c r="G853" s="6"/>
    </row>
    <row r="854" spans="2:7">
      <c r="B854" s="18"/>
      <c r="C854" s="39" t="s">
        <v>1242</v>
      </c>
      <c r="G854" s="6"/>
    </row>
    <row r="855" spans="2:7">
      <c r="B855" s="18"/>
      <c r="G855" s="6"/>
    </row>
    <row r="856" spans="2:7">
      <c r="B856" s="18"/>
      <c r="C856" s="1" t="s">
        <v>21</v>
      </c>
      <c r="G856" s="6"/>
    </row>
    <row r="857" spans="2:7">
      <c r="B857" s="18"/>
      <c r="G857" s="6"/>
    </row>
    <row r="858" spans="2:7">
      <c r="B858" s="82" t="s">
        <v>336</v>
      </c>
      <c r="C858" s="39" t="s">
        <v>211</v>
      </c>
      <c r="G858" s="6"/>
    </row>
    <row r="859" spans="2:7">
      <c r="B859" s="82" t="s">
        <v>336</v>
      </c>
      <c r="C859" s="39" t="s">
        <v>1240</v>
      </c>
      <c r="G859" s="6"/>
    </row>
    <row r="860" spans="2:7">
      <c r="B860" s="82" t="s">
        <v>336</v>
      </c>
      <c r="C860" s="39" t="s">
        <v>1096</v>
      </c>
      <c r="G860" s="6"/>
    </row>
    <row r="861" spans="2:7">
      <c r="B861" s="18"/>
      <c r="G861" s="6"/>
    </row>
    <row r="862" spans="2:7">
      <c r="B862" s="18"/>
      <c r="C862" s="15" t="s">
        <v>337</v>
      </c>
      <c r="G862" s="6"/>
    </row>
    <row r="863" spans="2:7">
      <c r="B863" s="82" t="s">
        <v>336</v>
      </c>
      <c r="C863" s="39" t="s">
        <v>236</v>
      </c>
      <c r="G863" s="6"/>
    </row>
    <row r="864" spans="2:7">
      <c r="B864" s="18"/>
      <c r="G864" s="6"/>
    </row>
    <row r="865" spans="2:7">
      <c r="B865" s="18"/>
      <c r="C865" s="1" t="s">
        <v>22</v>
      </c>
      <c r="G865" s="6"/>
    </row>
    <row r="866" spans="2:7">
      <c r="B866" s="82" t="s">
        <v>352</v>
      </c>
      <c r="C866" t="s">
        <v>236</v>
      </c>
      <c r="G866" s="6"/>
    </row>
    <row r="867" spans="2:7">
      <c r="B867" s="18"/>
      <c r="G867" s="6"/>
    </row>
    <row r="868" spans="2:7">
      <c r="B868" s="18"/>
      <c r="C868" s="1" t="s">
        <v>23</v>
      </c>
      <c r="G868" s="6"/>
    </row>
    <row r="869" spans="2:7">
      <c r="B869" s="82" t="s">
        <v>336</v>
      </c>
      <c r="C869" s="66" t="s">
        <v>1235</v>
      </c>
      <c r="G869" s="6"/>
    </row>
    <row r="870" spans="2:7" ht="13.5" thickBot="1">
      <c r="B870" s="19"/>
      <c r="C870" s="20"/>
      <c r="D870" s="20"/>
      <c r="E870" s="8"/>
      <c r="F870" s="20"/>
      <c r="G870" s="9"/>
    </row>
    <row r="872" spans="2:7" ht="13.5" thickBot="1"/>
    <row r="873" spans="2:7" ht="13.5" thickBot="1">
      <c r="B873" s="236">
        <v>44800</v>
      </c>
      <c r="C873" s="237"/>
      <c r="D873" s="237"/>
      <c r="E873" s="237"/>
      <c r="F873" s="237"/>
      <c r="G873" s="238"/>
    </row>
    <row r="874" spans="2:7" ht="13.5" thickBot="1">
      <c r="B874" s="18"/>
      <c r="G874" s="6"/>
    </row>
    <row r="875" spans="2:7">
      <c r="B875" s="18"/>
      <c r="C875" s="21" t="s">
        <v>27</v>
      </c>
      <c r="D875" s="16"/>
      <c r="E875" s="80" t="s">
        <v>1</v>
      </c>
      <c r="F875" s="4">
        <v>19</v>
      </c>
      <c r="G875" s="6"/>
    </row>
    <row r="876" spans="2:7" ht="13.5" thickBot="1">
      <c r="B876" s="18"/>
      <c r="C876" s="7"/>
      <c r="D876" s="20"/>
      <c r="E876" s="83" t="s">
        <v>115</v>
      </c>
      <c r="F876" s="22">
        <v>25</v>
      </c>
      <c r="G876" s="6"/>
    </row>
    <row r="877" spans="2:7" ht="13.5" thickBot="1">
      <c r="B877" s="18"/>
      <c r="G877" s="6"/>
    </row>
    <row r="878" spans="2:7">
      <c r="B878" s="18"/>
      <c r="C878" s="3" t="s">
        <v>4</v>
      </c>
      <c r="D878" s="16"/>
      <c r="E878" s="80" t="s">
        <v>1</v>
      </c>
      <c r="F878" s="84" t="s">
        <v>205</v>
      </c>
      <c r="G878" s="6"/>
    </row>
    <row r="879" spans="2:7">
      <c r="B879" s="18"/>
      <c r="C879" s="5" t="s">
        <v>2</v>
      </c>
      <c r="E879" s="39" t="s">
        <v>326</v>
      </c>
      <c r="F879" s="6"/>
      <c r="G879" s="6"/>
    </row>
    <row r="880" spans="2:7" ht="13.5" thickBot="1">
      <c r="B880" s="18"/>
      <c r="C880" s="7" t="s">
        <v>3</v>
      </c>
      <c r="D880" s="20"/>
      <c r="E880" s="81" t="s">
        <v>757</v>
      </c>
      <c r="F880" s="9"/>
      <c r="G880" s="6"/>
    </row>
    <row r="881" spans="2:7" ht="13.5" thickBot="1">
      <c r="B881" s="18"/>
      <c r="G881" s="6"/>
    </row>
    <row r="882" spans="2:7" ht="13.5" thickBot="1">
      <c r="B882" s="18"/>
      <c r="C882" s="23" t="s">
        <v>29</v>
      </c>
      <c r="D882" s="24"/>
      <c r="E882" s="87" t="s">
        <v>1244</v>
      </c>
      <c r="F882" s="25"/>
      <c r="G882" s="6"/>
    </row>
    <row r="883" spans="2:7">
      <c r="B883" s="18"/>
      <c r="G883" s="6"/>
    </row>
    <row r="884" spans="2:7">
      <c r="B884" s="18"/>
      <c r="C884" t="s">
        <v>5</v>
      </c>
      <c r="G884" s="6"/>
    </row>
    <row r="885" spans="2:7">
      <c r="B885" s="18"/>
      <c r="G885" s="6"/>
    </row>
    <row r="886" spans="2:7">
      <c r="B886" s="5">
        <v>1</v>
      </c>
      <c r="C886" s="39" t="s">
        <v>327</v>
      </c>
      <c r="G886" s="6"/>
    </row>
    <row r="887" spans="2:7">
      <c r="B887" s="5">
        <v>2</v>
      </c>
      <c r="C887" s="39" t="s">
        <v>11</v>
      </c>
      <c r="G887" s="6"/>
    </row>
    <row r="888" spans="2:7">
      <c r="B888" s="5">
        <v>3</v>
      </c>
      <c r="C888" s="39" t="s">
        <v>1158</v>
      </c>
      <c r="G888" s="6"/>
    </row>
    <row r="889" spans="2:7">
      <c r="B889" s="5">
        <v>4</v>
      </c>
      <c r="C889" s="39" t="s">
        <v>1173</v>
      </c>
      <c r="G889" s="6"/>
    </row>
    <row r="890" spans="2:7">
      <c r="B890" s="5">
        <v>5</v>
      </c>
      <c r="C890" s="39" t="s">
        <v>207</v>
      </c>
      <c r="G890" s="6"/>
    </row>
    <row r="891" spans="2:7">
      <c r="B891" s="5">
        <v>6</v>
      </c>
      <c r="C891" s="39" t="s">
        <v>211</v>
      </c>
      <c r="G891" s="6"/>
    </row>
    <row r="892" spans="2:7">
      <c r="B892" s="5">
        <v>7</v>
      </c>
      <c r="C892" s="39" t="s">
        <v>1159</v>
      </c>
      <c r="G892" s="6"/>
    </row>
    <row r="893" spans="2:7">
      <c r="B893" s="5">
        <v>8</v>
      </c>
      <c r="C893" s="39" t="s">
        <v>33</v>
      </c>
      <c r="G893" s="6"/>
    </row>
    <row r="894" spans="2:7">
      <c r="B894" s="5">
        <v>9</v>
      </c>
      <c r="C894" s="39" t="s">
        <v>14</v>
      </c>
      <c r="G894" s="6"/>
    </row>
    <row r="895" spans="2:7">
      <c r="B895" s="5">
        <v>10</v>
      </c>
      <c r="C895" s="39" t="s">
        <v>607</v>
      </c>
      <c r="G895" s="6"/>
    </row>
    <row r="896" spans="2:7">
      <c r="B896" s="5">
        <v>11</v>
      </c>
      <c r="C896" s="39" t="s">
        <v>144</v>
      </c>
      <c r="G896" s="6"/>
    </row>
    <row r="897" spans="2:7">
      <c r="B897" s="5">
        <v>12</v>
      </c>
      <c r="C897" s="39" t="s">
        <v>236</v>
      </c>
      <c r="G897" s="6"/>
    </row>
    <row r="898" spans="2:7">
      <c r="B898" s="5">
        <v>13</v>
      </c>
      <c r="C898" s="39" t="s">
        <v>214</v>
      </c>
      <c r="G898" s="6"/>
    </row>
    <row r="899" spans="2:7">
      <c r="B899" s="5">
        <v>14</v>
      </c>
      <c r="C899" s="39" t="s">
        <v>1245</v>
      </c>
      <c r="G899" s="6"/>
    </row>
    <row r="900" spans="2:7">
      <c r="B900" s="5">
        <v>15</v>
      </c>
      <c r="C900" s="39" t="s">
        <v>234</v>
      </c>
      <c r="G900" s="6"/>
    </row>
    <row r="901" spans="2:7">
      <c r="B901" s="18"/>
      <c r="G901" s="6"/>
    </row>
    <row r="902" spans="2:7">
      <c r="B902" s="18"/>
      <c r="C902" s="39" t="s">
        <v>325</v>
      </c>
      <c r="G902" s="6"/>
    </row>
    <row r="903" spans="2:7">
      <c r="B903" s="18"/>
      <c r="C903" s="39" t="s">
        <v>1186</v>
      </c>
      <c r="G903" s="6"/>
    </row>
    <row r="904" spans="2:7">
      <c r="B904" s="18"/>
      <c r="C904" s="39" t="s">
        <v>1193</v>
      </c>
      <c r="G904" s="6"/>
    </row>
    <row r="905" spans="2:7">
      <c r="B905" s="18"/>
      <c r="C905" s="39" t="s">
        <v>1246</v>
      </c>
      <c r="G905" s="6"/>
    </row>
    <row r="906" spans="2:7">
      <c r="B906" s="18"/>
      <c r="C906" s="39" t="s">
        <v>1247</v>
      </c>
      <c r="G906" s="6"/>
    </row>
    <row r="907" spans="2:7">
      <c r="B907" s="18"/>
      <c r="G907" s="6"/>
    </row>
    <row r="908" spans="2:7">
      <c r="B908" s="18"/>
      <c r="C908" s="1" t="s">
        <v>21</v>
      </c>
      <c r="G908" s="6"/>
    </row>
    <row r="909" spans="2:7">
      <c r="B909" s="82" t="s">
        <v>336</v>
      </c>
      <c r="C909" t="s">
        <v>1245</v>
      </c>
      <c r="G909" s="6"/>
    </row>
    <row r="910" spans="2:7">
      <c r="B910" s="82" t="s">
        <v>336</v>
      </c>
      <c r="C910" t="s">
        <v>33</v>
      </c>
      <c r="G910" s="6"/>
    </row>
    <row r="911" spans="2:7">
      <c r="B911" s="82" t="s">
        <v>336</v>
      </c>
      <c r="C911" t="s">
        <v>56</v>
      </c>
      <c r="G911" s="6"/>
    </row>
    <row r="912" spans="2:7">
      <c r="B912" s="82"/>
      <c r="C912" s="39"/>
      <c r="G912" s="6"/>
    </row>
    <row r="913" spans="2:19">
      <c r="B913" s="18"/>
      <c r="C913" s="15" t="s">
        <v>337</v>
      </c>
      <c r="G913" s="6"/>
    </row>
    <row r="914" spans="2:19">
      <c r="B914" s="82" t="s">
        <v>336</v>
      </c>
      <c r="C914" s="39" t="s">
        <v>607</v>
      </c>
      <c r="G914" s="6"/>
    </row>
    <row r="915" spans="2:19">
      <c r="B915" s="18"/>
      <c r="G915" s="6"/>
    </row>
    <row r="916" spans="2:19">
      <c r="B916" s="18"/>
      <c r="C916" s="1" t="s">
        <v>22</v>
      </c>
      <c r="G916" s="6"/>
    </row>
    <row r="917" spans="2:19">
      <c r="B917" s="82"/>
      <c r="G917" s="6"/>
    </row>
    <row r="918" spans="2:19">
      <c r="B918" s="18"/>
      <c r="C918" s="1" t="s">
        <v>23</v>
      </c>
      <c r="G918" s="6"/>
    </row>
    <row r="919" spans="2:19">
      <c r="B919" s="82"/>
      <c r="C919" s="66" t="s">
        <v>339</v>
      </c>
      <c r="G919" s="6"/>
    </row>
    <row r="920" spans="2:19" ht="13.5" thickBot="1">
      <c r="B920" s="19"/>
      <c r="C920" s="20"/>
      <c r="D920" s="20"/>
      <c r="E920" s="8"/>
      <c r="F920" s="20"/>
      <c r="G920" s="9"/>
    </row>
    <row r="922" spans="2:19" ht="13.5" thickBot="1"/>
    <row r="923" spans="2:19" ht="13.5" thickBot="1">
      <c r="B923" s="236">
        <v>44807</v>
      </c>
      <c r="C923" s="237"/>
      <c r="D923" s="237"/>
      <c r="E923" s="237"/>
      <c r="F923" s="237"/>
      <c r="G923" s="238"/>
      <c r="L923" s="39" t="s">
        <v>1249</v>
      </c>
      <c r="O923" s="39" t="s">
        <v>103</v>
      </c>
      <c r="Q923" s="39" t="s">
        <v>61</v>
      </c>
      <c r="S923" s="39" t="s">
        <v>1250</v>
      </c>
    </row>
    <row r="924" spans="2:19" ht="13.5" thickBot="1">
      <c r="B924" s="18"/>
      <c r="G924" s="6"/>
    </row>
    <row r="925" spans="2:19">
      <c r="B925" s="18"/>
      <c r="C925" s="21" t="s">
        <v>27</v>
      </c>
      <c r="D925" s="16"/>
      <c r="E925" s="80" t="s">
        <v>116</v>
      </c>
      <c r="F925" s="4">
        <v>29</v>
      </c>
      <c r="G925" s="6"/>
      <c r="M925" s="39" t="s">
        <v>1268</v>
      </c>
      <c r="O925" s="39" t="s">
        <v>1251</v>
      </c>
      <c r="Q925" s="39" t="s">
        <v>1251</v>
      </c>
      <c r="S925" s="165" t="s">
        <v>1275</v>
      </c>
    </row>
    <row r="926" spans="2:19" ht="13.5" thickBot="1">
      <c r="B926" s="18"/>
      <c r="C926" s="7"/>
      <c r="D926" s="20"/>
      <c r="E926" s="83" t="s">
        <v>1</v>
      </c>
      <c r="F926" s="22">
        <v>22</v>
      </c>
      <c r="G926" s="6"/>
      <c r="M926" s="39" t="s">
        <v>1269</v>
      </c>
      <c r="O926" s="39" t="s">
        <v>1252</v>
      </c>
      <c r="Q926" s="39" t="s">
        <v>1252</v>
      </c>
      <c r="S926" s="165" t="s">
        <v>1252</v>
      </c>
    </row>
    <row r="927" spans="2:19" ht="13.5" thickBot="1">
      <c r="B927" s="18"/>
      <c r="G927" s="6"/>
      <c r="M927" s="39" t="s">
        <v>1266</v>
      </c>
      <c r="O927" s="39" t="s">
        <v>1266</v>
      </c>
      <c r="Q927" s="39" t="s">
        <v>1253</v>
      </c>
      <c r="S927" s="165" t="s">
        <v>1253</v>
      </c>
    </row>
    <row r="928" spans="2:19">
      <c r="B928" s="18"/>
      <c r="C928" s="3" t="s">
        <v>4</v>
      </c>
      <c r="D928" s="16"/>
      <c r="E928" s="80" t="s">
        <v>116</v>
      </c>
      <c r="F928" s="84"/>
      <c r="G928" s="6"/>
      <c r="M928" s="39" t="s">
        <v>1270</v>
      </c>
      <c r="O928" s="39" t="s">
        <v>1254</v>
      </c>
      <c r="Q928" s="39" t="s">
        <v>1254</v>
      </c>
      <c r="S928" s="165" t="s">
        <v>1254</v>
      </c>
    </row>
    <row r="929" spans="2:19">
      <c r="B929" s="18"/>
      <c r="C929" s="5" t="s">
        <v>2</v>
      </c>
      <c r="E929" s="39" t="s">
        <v>326</v>
      </c>
      <c r="F929" s="6"/>
      <c r="G929" s="6"/>
      <c r="M929" s="39" t="s">
        <v>1271</v>
      </c>
      <c r="O929" s="39" t="s">
        <v>1255</v>
      </c>
      <c r="Q929" s="39" t="s">
        <v>1255</v>
      </c>
      <c r="S929" s="165" t="s">
        <v>1276</v>
      </c>
    </row>
    <row r="930" spans="2:19" ht="13.5" thickBot="1">
      <c r="B930" s="18"/>
      <c r="C930" s="7" t="s">
        <v>3</v>
      </c>
      <c r="D930" s="20"/>
      <c r="E930" s="81" t="s">
        <v>326</v>
      </c>
      <c r="F930" s="9"/>
      <c r="G930" s="6"/>
      <c r="M930" s="39" t="s">
        <v>1257</v>
      </c>
      <c r="O930" s="39" t="s">
        <v>1256</v>
      </c>
      <c r="Q930" s="39" t="s">
        <v>1256</v>
      </c>
      <c r="S930" s="165" t="s">
        <v>1256</v>
      </c>
    </row>
    <row r="931" spans="2:19" ht="13.5" thickBot="1">
      <c r="B931" s="18"/>
      <c r="G931" s="6"/>
      <c r="M931" s="39" t="s">
        <v>1258</v>
      </c>
      <c r="O931" s="39" t="s">
        <v>1257</v>
      </c>
      <c r="Q931" s="39" t="s">
        <v>1257</v>
      </c>
      <c r="S931" s="39" t="s">
        <v>1257</v>
      </c>
    </row>
    <row r="932" spans="2:19" ht="13.5" thickBot="1">
      <c r="B932" s="18"/>
      <c r="C932" s="23" t="s">
        <v>29</v>
      </c>
      <c r="D932" s="24"/>
      <c r="E932" s="87" t="s">
        <v>317</v>
      </c>
      <c r="F932" s="25"/>
      <c r="G932" s="6"/>
      <c r="M932" s="39" t="s">
        <v>1272</v>
      </c>
      <c r="O932" s="39" t="s">
        <v>1258</v>
      </c>
      <c r="Q932" s="39" t="s">
        <v>1258</v>
      </c>
      <c r="S932" s="39" t="s">
        <v>1272</v>
      </c>
    </row>
    <row r="933" spans="2:19">
      <c r="B933" s="18"/>
      <c r="G933" s="6"/>
      <c r="M933" s="39" t="s">
        <v>1273</v>
      </c>
      <c r="O933" s="39" t="s">
        <v>1259</v>
      </c>
      <c r="Q933" s="39" t="s">
        <v>1259</v>
      </c>
      <c r="S933" s="165" t="s">
        <v>1277</v>
      </c>
    </row>
    <row r="934" spans="2:19">
      <c r="B934" s="18"/>
      <c r="C934" t="s">
        <v>5</v>
      </c>
      <c r="G934" s="6"/>
      <c r="M934" s="39" t="s">
        <v>1260</v>
      </c>
      <c r="O934" s="39" t="s">
        <v>1260</v>
      </c>
      <c r="Q934" s="39" t="s">
        <v>1260</v>
      </c>
      <c r="S934" s="39" t="s">
        <v>1260</v>
      </c>
    </row>
    <row r="935" spans="2:19">
      <c r="B935" s="18"/>
      <c r="G935" s="6"/>
      <c r="M935" s="39" t="s">
        <v>1261</v>
      </c>
      <c r="O935" s="39" t="s">
        <v>1267</v>
      </c>
      <c r="Q935" s="39" t="s">
        <v>1261</v>
      </c>
      <c r="S935" s="39" t="s">
        <v>1261</v>
      </c>
    </row>
    <row r="936" spans="2:19">
      <c r="B936" s="5">
        <v>1</v>
      </c>
      <c r="C936" s="39" t="s">
        <v>1172</v>
      </c>
      <c r="G936" s="6"/>
      <c r="M936" s="39" t="s">
        <v>1262</v>
      </c>
      <c r="O936" s="39" t="s">
        <v>1262</v>
      </c>
      <c r="Q936" s="39" t="s">
        <v>1262</v>
      </c>
      <c r="S936" s="39" t="s">
        <v>1262</v>
      </c>
    </row>
    <row r="937" spans="2:19">
      <c r="B937" s="5">
        <v>2</v>
      </c>
      <c r="C937" s="39" t="s">
        <v>11</v>
      </c>
      <c r="G937" s="6"/>
      <c r="M937" s="39" t="s">
        <v>1263</v>
      </c>
      <c r="O937" s="39" t="s">
        <v>1263</v>
      </c>
      <c r="Q937" s="39" t="s">
        <v>1263</v>
      </c>
      <c r="S937" s="39" t="s">
        <v>1263</v>
      </c>
    </row>
    <row r="938" spans="2:19">
      <c r="B938" s="5">
        <v>3</v>
      </c>
      <c r="C938" s="39" t="s">
        <v>1158</v>
      </c>
      <c r="G938" s="6"/>
      <c r="M938" s="39" t="s">
        <v>1274</v>
      </c>
      <c r="O938" s="39" t="s">
        <v>1264</v>
      </c>
      <c r="Q938" s="39" t="s">
        <v>1264</v>
      </c>
      <c r="S938" s="165" t="s">
        <v>1264</v>
      </c>
    </row>
    <row r="939" spans="2:19">
      <c r="B939" s="5">
        <v>4</v>
      </c>
      <c r="C939" s="39" t="s">
        <v>1173</v>
      </c>
      <c r="G939" s="6"/>
      <c r="M939" s="39" t="s">
        <v>1267</v>
      </c>
      <c r="O939" s="39" t="s">
        <v>1265</v>
      </c>
      <c r="Q939" s="39" t="s">
        <v>1265</v>
      </c>
      <c r="S939" s="165" t="s">
        <v>1265</v>
      </c>
    </row>
    <row r="940" spans="2:19">
      <c r="B940" s="5">
        <v>5</v>
      </c>
      <c r="C940" s="39" t="s">
        <v>207</v>
      </c>
      <c r="G940" s="6"/>
    </row>
    <row r="941" spans="2:19">
      <c r="B941" s="5">
        <v>6</v>
      </c>
      <c r="C941" s="39" t="s">
        <v>211</v>
      </c>
      <c r="G941" s="6"/>
    </row>
    <row r="942" spans="2:19">
      <c r="B942" s="5">
        <v>7</v>
      </c>
      <c r="C942" s="39" t="s">
        <v>1159</v>
      </c>
      <c r="G942" s="6"/>
      <c r="M942" s="39" t="s">
        <v>327</v>
      </c>
      <c r="P942" s="165" t="s">
        <v>1172</v>
      </c>
    </row>
    <row r="943" spans="2:19">
      <c r="B943" s="5">
        <v>8</v>
      </c>
      <c r="C943" s="39" t="s">
        <v>33</v>
      </c>
      <c r="G943" s="6"/>
      <c r="M943" s="39" t="s">
        <v>1113</v>
      </c>
      <c r="P943" s="165" t="s">
        <v>11</v>
      </c>
    </row>
    <row r="944" spans="2:19">
      <c r="B944" s="5">
        <v>9</v>
      </c>
      <c r="C944" s="39" t="s">
        <v>14</v>
      </c>
      <c r="G944" s="6"/>
      <c r="M944" s="39" t="s">
        <v>1158</v>
      </c>
      <c r="P944" s="39" t="s">
        <v>1158</v>
      </c>
    </row>
    <row r="945" spans="2:16">
      <c r="B945" s="5">
        <v>10</v>
      </c>
      <c r="C945" s="39" t="s">
        <v>607</v>
      </c>
      <c r="G945" s="6"/>
      <c r="M945" s="39" t="s">
        <v>1173</v>
      </c>
      <c r="P945" s="39" t="s">
        <v>1173</v>
      </c>
    </row>
    <row r="946" spans="2:16">
      <c r="B946" s="5">
        <v>11</v>
      </c>
      <c r="C946" s="39" t="s">
        <v>144</v>
      </c>
      <c r="G946" s="6"/>
      <c r="M946" s="39" t="s">
        <v>207</v>
      </c>
      <c r="P946" s="39" t="s">
        <v>207</v>
      </c>
    </row>
    <row r="947" spans="2:16">
      <c r="B947" s="5">
        <v>12</v>
      </c>
      <c r="C947" s="39" t="s">
        <v>236</v>
      </c>
      <c r="G947" s="6"/>
      <c r="M947" s="39" t="s">
        <v>211</v>
      </c>
      <c r="P947" s="39" t="s">
        <v>211</v>
      </c>
    </row>
    <row r="948" spans="2:16">
      <c r="B948" s="5">
        <v>13</v>
      </c>
      <c r="C948" s="39" t="s">
        <v>214</v>
      </c>
      <c r="G948" s="6"/>
      <c r="M948" s="39" t="s">
        <v>33</v>
      </c>
      <c r="P948" s="39" t="s">
        <v>33</v>
      </c>
    </row>
    <row r="949" spans="2:16">
      <c r="B949" s="5">
        <v>14</v>
      </c>
      <c r="C949" s="39" t="s">
        <v>1245</v>
      </c>
      <c r="G949" s="6"/>
      <c r="M949" s="39" t="s">
        <v>1159</v>
      </c>
      <c r="P949" s="39" t="s">
        <v>1159</v>
      </c>
    </row>
    <row r="950" spans="2:16">
      <c r="B950" s="5">
        <v>15</v>
      </c>
      <c r="C950" s="39" t="s">
        <v>234</v>
      </c>
      <c r="G950" s="6"/>
      <c r="M950" s="39" t="s">
        <v>14</v>
      </c>
      <c r="P950" s="39" t="s">
        <v>14</v>
      </c>
    </row>
    <row r="951" spans="2:16">
      <c r="B951" s="18"/>
      <c r="G951" s="6"/>
      <c r="M951" s="39" t="s">
        <v>1112</v>
      </c>
      <c r="P951" s="39" t="s">
        <v>607</v>
      </c>
    </row>
    <row r="952" spans="2:16">
      <c r="B952" s="18"/>
      <c r="C952" s="39" t="s">
        <v>325</v>
      </c>
      <c r="G952" s="6"/>
      <c r="M952" s="39" t="s">
        <v>1097</v>
      </c>
      <c r="P952" s="165" t="s">
        <v>1245</v>
      </c>
    </row>
    <row r="953" spans="2:16">
      <c r="B953" s="18"/>
      <c r="C953" s="39" t="s">
        <v>1238</v>
      </c>
      <c r="G953" s="6"/>
      <c r="M953" s="39" t="s">
        <v>236</v>
      </c>
      <c r="P953" s="39" t="s">
        <v>236</v>
      </c>
    </row>
    <row r="954" spans="2:16">
      <c r="B954" s="18"/>
      <c r="C954" s="39" t="s">
        <v>1196</v>
      </c>
      <c r="G954" s="6"/>
      <c r="M954" s="39" t="s">
        <v>142</v>
      </c>
      <c r="P954" s="165" t="s">
        <v>214</v>
      </c>
    </row>
    <row r="955" spans="2:16">
      <c r="B955" s="18"/>
      <c r="C955" s="39" t="s">
        <v>1246</v>
      </c>
      <c r="G955" s="6"/>
      <c r="M955" s="39" t="s">
        <v>144</v>
      </c>
      <c r="P955" s="39" t="s">
        <v>144</v>
      </c>
    </row>
    <row r="956" spans="2:16">
      <c r="B956" s="18"/>
      <c r="C956" s="39" t="s">
        <v>1248</v>
      </c>
      <c r="G956" s="6"/>
      <c r="M956" s="39" t="s">
        <v>607</v>
      </c>
      <c r="P956" s="165" t="s">
        <v>234</v>
      </c>
    </row>
    <row r="957" spans="2:16">
      <c r="B957" s="18"/>
      <c r="C957" s="39" t="s">
        <v>1109</v>
      </c>
      <c r="G957" s="6"/>
    </row>
    <row r="958" spans="2:16">
      <c r="B958" s="18"/>
      <c r="G958" s="6"/>
    </row>
    <row r="959" spans="2:16">
      <c r="B959" s="18"/>
      <c r="C959" s="1" t="s">
        <v>21</v>
      </c>
      <c r="G959" s="6"/>
    </row>
    <row r="960" spans="2:16">
      <c r="B960" s="82" t="s">
        <v>352</v>
      </c>
      <c r="C960" s="39" t="s">
        <v>214</v>
      </c>
      <c r="G960" s="6"/>
    </row>
    <row r="961" spans="2:7">
      <c r="B961" s="82" t="s">
        <v>336</v>
      </c>
      <c r="C961" s="39" t="s">
        <v>18</v>
      </c>
      <c r="G961" s="6"/>
    </row>
    <row r="962" spans="2:7">
      <c r="B962" s="82"/>
      <c r="C962" s="39"/>
      <c r="G962" s="6"/>
    </row>
    <row r="963" spans="2:7">
      <c r="B963" s="18"/>
      <c r="C963" s="15" t="s">
        <v>337</v>
      </c>
      <c r="G963" s="6"/>
    </row>
    <row r="964" spans="2:7">
      <c r="B964" s="82" t="s">
        <v>352</v>
      </c>
      <c r="C964" s="39" t="s">
        <v>607</v>
      </c>
      <c r="G964" s="6"/>
    </row>
    <row r="965" spans="2:7">
      <c r="B965" s="18"/>
      <c r="G965" s="6"/>
    </row>
    <row r="966" spans="2:7">
      <c r="B966" s="18"/>
      <c r="C966" s="1" t="s">
        <v>22</v>
      </c>
      <c r="G966" s="6"/>
    </row>
    <row r="967" spans="2:7">
      <c r="B967" s="82" t="s">
        <v>336</v>
      </c>
      <c r="C967" s="15" t="s">
        <v>236</v>
      </c>
      <c r="G967" s="6"/>
    </row>
    <row r="968" spans="2:7">
      <c r="B968" s="82"/>
      <c r="G968" s="6"/>
    </row>
    <row r="969" spans="2:7">
      <c r="B969" s="18"/>
      <c r="C969" s="1" t="s">
        <v>23</v>
      </c>
      <c r="G969" s="6"/>
    </row>
    <row r="970" spans="2:7">
      <c r="B970" s="82"/>
      <c r="C970" s="66" t="s">
        <v>339</v>
      </c>
      <c r="G970" s="6"/>
    </row>
    <row r="971" spans="2:7" ht="13.5" thickBot="1">
      <c r="B971" s="19"/>
      <c r="C971" s="20"/>
      <c r="D971" s="20"/>
      <c r="E971" s="8"/>
      <c r="F971" s="20"/>
      <c r="G971" s="9"/>
    </row>
    <row r="973" spans="2:7" ht="13.5" thickBot="1"/>
    <row r="974" spans="2:7" ht="13.5" thickBot="1">
      <c r="B974" s="236">
        <v>44814</v>
      </c>
      <c r="C974" s="237"/>
      <c r="D974" s="237"/>
      <c r="E974" s="237"/>
      <c r="F974" s="237"/>
      <c r="G974" s="238"/>
    </row>
    <row r="975" spans="2:7" ht="13.5" thickBot="1">
      <c r="B975" s="18"/>
      <c r="G975" s="6"/>
    </row>
    <row r="976" spans="2:7">
      <c r="B976" s="18"/>
      <c r="C976" s="21" t="s">
        <v>27</v>
      </c>
      <c r="D976" s="16"/>
      <c r="E976" s="80" t="s">
        <v>1</v>
      </c>
      <c r="F976" s="4">
        <v>41</v>
      </c>
      <c r="G976" s="6"/>
    </row>
    <row r="977" spans="2:7" ht="13.5" thickBot="1">
      <c r="B977" s="18"/>
      <c r="C977" s="7"/>
      <c r="D977" s="20"/>
      <c r="E977" s="83" t="s">
        <v>90</v>
      </c>
      <c r="F977" s="22">
        <v>47</v>
      </c>
      <c r="G977" s="6"/>
    </row>
    <row r="978" spans="2:7" ht="13.5" thickBot="1">
      <c r="B978" s="18"/>
      <c r="G978" s="6"/>
    </row>
    <row r="979" spans="2:7">
      <c r="B979" s="18"/>
      <c r="C979" s="3" t="s">
        <v>4</v>
      </c>
      <c r="D979" s="16"/>
      <c r="E979" s="80" t="s">
        <v>1</v>
      </c>
      <c r="F979" s="84" t="s">
        <v>205</v>
      </c>
      <c r="G979" s="6"/>
    </row>
    <row r="980" spans="2:7">
      <c r="B980" s="18"/>
      <c r="C980" s="5" t="s">
        <v>2</v>
      </c>
      <c r="E980" s="39" t="s">
        <v>326</v>
      </c>
      <c r="F980" s="6"/>
      <c r="G980" s="6"/>
    </row>
    <row r="981" spans="2:7" ht="13.5" thickBot="1">
      <c r="B981" s="18"/>
      <c r="C981" s="7" t="s">
        <v>3</v>
      </c>
      <c r="D981" s="20"/>
      <c r="E981" s="81" t="s">
        <v>326</v>
      </c>
      <c r="F981" s="9"/>
      <c r="G981" s="6"/>
    </row>
    <row r="982" spans="2:7" ht="13.5" thickBot="1">
      <c r="B982" s="18"/>
      <c r="G982" s="6"/>
    </row>
    <row r="983" spans="2:7" ht="13.5" thickBot="1">
      <c r="B983" s="18"/>
      <c r="C983" s="23" t="s">
        <v>29</v>
      </c>
      <c r="D983" s="24"/>
      <c r="E983" s="87" t="s">
        <v>1278</v>
      </c>
      <c r="F983" s="25"/>
      <c r="G983" s="6"/>
    </row>
    <row r="984" spans="2:7">
      <c r="B984" s="18"/>
      <c r="G984" s="6"/>
    </row>
    <row r="985" spans="2:7">
      <c r="B985" s="18"/>
      <c r="C985" t="s">
        <v>5</v>
      </c>
      <c r="G985" s="6"/>
    </row>
    <row r="986" spans="2:7">
      <c r="B986" s="18"/>
      <c r="G986" s="6"/>
    </row>
    <row r="987" spans="2:7">
      <c r="B987" s="5">
        <v>1</v>
      </c>
      <c r="C987" s="39" t="s">
        <v>1172</v>
      </c>
      <c r="G987" s="6"/>
    </row>
    <row r="988" spans="2:7">
      <c r="B988" s="5">
        <v>2</v>
      </c>
      <c r="C988" s="39" t="s">
        <v>11</v>
      </c>
      <c r="G988" s="6"/>
    </row>
    <row r="989" spans="2:7">
      <c r="B989" s="5">
        <v>3</v>
      </c>
      <c r="C989" s="39" t="s">
        <v>1158</v>
      </c>
      <c r="G989" s="6"/>
    </row>
    <row r="990" spans="2:7">
      <c r="B990" s="5">
        <v>4</v>
      </c>
      <c r="C990" s="39" t="s">
        <v>1173</v>
      </c>
      <c r="G990" s="6"/>
    </row>
    <row r="991" spans="2:7">
      <c r="B991" s="5">
        <v>5</v>
      </c>
      <c r="C991" s="39" t="s">
        <v>207</v>
      </c>
      <c r="G991" s="6"/>
    </row>
    <row r="992" spans="2:7">
      <c r="B992" s="5">
        <v>6</v>
      </c>
      <c r="C992" s="39" t="s">
        <v>211</v>
      </c>
      <c r="G992" s="6"/>
    </row>
    <row r="993" spans="2:7">
      <c r="B993" s="5">
        <v>7</v>
      </c>
      <c r="C993" s="39" t="s">
        <v>1159</v>
      </c>
      <c r="G993" s="6"/>
    </row>
    <row r="994" spans="2:7">
      <c r="B994" s="5">
        <v>8</v>
      </c>
      <c r="C994" s="39" t="s">
        <v>33</v>
      </c>
      <c r="G994" s="6"/>
    </row>
    <row r="995" spans="2:7">
      <c r="B995" s="5">
        <v>9</v>
      </c>
      <c r="C995" s="39" t="s">
        <v>14</v>
      </c>
      <c r="G995" s="6"/>
    </row>
    <row r="996" spans="2:7">
      <c r="B996" s="5">
        <v>10</v>
      </c>
      <c r="C996" s="39" t="s">
        <v>607</v>
      </c>
      <c r="G996" s="6"/>
    </row>
    <row r="997" spans="2:7">
      <c r="B997" s="5">
        <v>11</v>
      </c>
      <c r="C997" s="39" t="s">
        <v>144</v>
      </c>
      <c r="G997" s="6"/>
    </row>
    <row r="998" spans="2:7">
      <c r="B998" s="5">
        <v>12</v>
      </c>
      <c r="C998" s="39" t="s">
        <v>236</v>
      </c>
      <c r="G998" s="6"/>
    </row>
    <row r="999" spans="2:7">
      <c r="B999" s="5">
        <v>13</v>
      </c>
      <c r="C999" s="39" t="s">
        <v>214</v>
      </c>
      <c r="G999" s="6"/>
    </row>
    <row r="1000" spans="2:7">
      <c r="B1000" s="5">
        <v>14</v>
      </c>
      <c r="C1000" s="39" t="s">
        <v>1245</v>
      </c>
      <c r="G1000" s="6"/>
    </row>
    <row r="1001" spans="2:7">
      <c r="B1001" s="5">
        <v>15</v>
      </c>
      <c r="C1001" s="39" t="s">
        <v>234</v>
      </c>
      <c r="G1001" s="6"/>
    </row>
    <row r="1002" spans="2:7">
      <c r="B1002" s="18"/>
      <c r="G1002" s="6"/>
    </row>
    <row r="1003" spans="2:7">
      <c r="B1003" s="18"/>
      <c r="C1003" s="39" t="s">
        <v>325</v>
      </c>
      <c r="G1003" s="6"/>
    </row>
    <row r="1004" spans="2:7">
      <c r="B1004" s="18"/>
      <c r="C1004" s="39" t="s">
        <v>1238</v>
      </c>
      <c r="G1004" s="6"/>
    </row>
    <row r="1005" spans="2:7">
      <c r="B1005" s="18"/>
      <c r="C1005" s="39" t="s">
        <v>1196</v>
      </c>
      <c r="G1005" s="6"/>
    </row>
    <row r="1006" spans="2:7">
      <c r="B1006" s="18"/>
      <c r="C1006" s="39" t="s">
        <v>1279</v>
      </c>
      <c r="G1006" s="6"/>
    </row>
    <row r="1007" spans="2:7">
      <c r="B1007" s="18"/>
      <c r="C1007" s="39" t="s">
        <v>1280</v>
      </c>
      <c r="G1007" s="6"/>
    </row>
    <row r="1008" spans="2:7">
      <c r="B1008" s="18"/>
      <c r="C1008" s="39" t="s">
        <v>1109</v>
      </c>
      <c r="G1008" s="6"/>
    </row>
    <row r="1009" spans="2:7">
      <c r="B1009" s="18"/>
      <c r="C1009" s="39" t="s">
        <v>1201</v>
      </c>
      <c r="G1009" s="6"/>
    </row>
    <row r="1010" spans="2:7">
      <c r="B1010" s="18"/>
      <c r="C1010" s="39" t="s">
        <v>1241</v>
      </c>
      <c r="G1010" s="6"/>
    </row>
    <row r="1011" spans="2:7">
      <c r="B1011" s="18"/>
      <c r="G1011" s="6"/>
    </row>
    <row r="1012" spans="2:7">
      <c r="B1012" s="18"/>
      <c r="C1012" s="1" t="s">
        <v>21</v>
      </c>
      <c r="G1012" s="6"/>
    </row>
    <row r="1013" spans="2:7">
      <c r="B1013" s="82" t="s">
        <v>352</v>
      </c>
      <c r="C1013" s="39" t="s">
        <v>33</v>
      </c>
      <c r="G1013" s="6"/>
    </row>
    <row r="1014" spans="2:7">
      <c r="B1014" s="82" t="s">
        <v>336</v>
      </c>
      <c r="C1014" s="39" t="s">
        <v>1096</v>
      </c>
      <c r="G1014" s="6"/>
    </row>
    <row r="1015" spans="2:7">
      <c r="B1015" s="82" t="s">
        <v>336</v>
      </c>
      <c r="C1015" s="39" t="s">
        <v>236</v>
      </c>
      <c r="G1015" s="6"/>
    </row>
    <row r="1016" spans="2:7">
      <c r="B1016" s="82" t="s">
        <v>336</v>
      </c>
      <c r="C1016" s="39" t="s">
        <v>142</v>
      </c>
      <c r="G1016" s="6"/>
    </row>
    <row r="1017" spans="2:7">
      <c r="B1017" s="82" t="s">
        <v>336</v>
      </c>
      <c r="C1017" s="39" t="s">
        <v>607</v>
      </c>
      <c r="G1017" s="6"/>
    </row>
    <row r="1018" spans="2:7">
      <c r="B1018" s="82"/>
      <c r="C1018" s="39"/>
      <c r="G1018" s="6"/>
    </row>
    <row r="1019" spans="2:7">
      <c r="B1019" s="18"/>
      <c r="C1019" s="15" t="s">
        <v>337</v>
      </c>
      <c r="G1019" s="6"/>
    </row>
    <row r="1020" spans="2:7">
      <c r="B1020" s="82" t="s">
        <v>352</v>
      </c>
      <c r="C1020" s="39" t="s">
        <v>607</v>
      </c>
      <c r="G1020" s="6"/>
    </row>
    <row r="1021" spans="2:7">
      <c r="B1021" s="82" t="s">
        <v>352</v>
      </c>
      <c r="C1021" s="39" t="s">
        <v>236</v>
      </c>
      <c r="G1021" s="6"/>
    </row>
    <row r="1022" spans="2:7">
      <c r="B1022" s="18"/>
      <c r="G1022" s="6"/>
    </row>
    <row r="1023" spans="2:7">
      <c r="B1023" s="18"/>
      <c r="C1023" s="1" t="s">
        <v>22</v>
      </c>
      <c r="G1023" s="6"/>
    </row>
    <row r="1024" spans="2:7">
      <c r="B1024" s="82" t="s">
        <v>336</v>
      </c>
      <c r="C1024" s="15" t="s">
        <v>236</v>
      </c>
      <c r="G1024" s="6"/>
    </row>
    <row r="1025" spans="2:7">
      <c r="B1025" s="82"/>
      <c r="G1025" s="6"/>
    </row>
    <row r="1026" spans="2:7">
      <c r="B1026" s="18"/>
      <c r="C1026" s="1" t="s">
        <v>23</v>
      </c>
      <c r="G1026" s="6"/>
    </row>
    <row r="1027" spans="2:7">
      <c r="B1027" s="82" t="s">
        <v>336</v>
      </c>
      <c r="C1027" s="66" t="s">
        <v>1060</v>
      </c>
      <c r="G1027" s="6"/>
    </row>
    <row r="1028" spans="2:7" ht="13.5" thickBot="1">
      <c r="B1028" s="19"/>
      <c r="C1028" s="20"/>
      <c r="D1028" s="20"/>
      <c r="E1028" s="8"/>
      <c r="F1028" s="20"/>
      <c r="G1028" s="9"/>
    </row>
    <row r="1030" spans="2:7" ht="13.5" thickBot="1"/>
    <row r="1031" spans="2:7" ht="13.5" thickBot="1">
      <c r="B1031" s="236">
        <v>44828</v>
      </c>
      <c r="C1031" s="237"/>
      <c r="D1031" s="237"/>
      <c r="E1031" s="237"/>
      <c r="F1031" s="237"/>
      <c r="G1031" s="238"/>
    </row>
    <row r="1032" spans="2:7" ht="13.5" thickBot="1">
      <c r="B1032" s="18"/>
      <c r="G1032" s="6"/>
    </row>
    <row r="1033" spans="2:7">
      <c r="B1033" s="18"/>
      <c r="C1033" s="21" t="s">
        <v>27</v>
      </c>
      <c r="D1033" s="16"/>
      <c r="E1033" s="80" t="s">
        <v>61</v>
      </c>
      <c r="F1033" s="4">
        <v>56</v>
      </c>
      <c r="G1033" s="6"/>
    </row>
    <row r="1034" spans="2:7" ht="13.5" thickBot="1">
      <c r="B1034" s="18"/>
      <c r="C1034" s="7"/>
      <c r="D1034" s="20"/>
      <c r="E1034" s="83" t="s">
        <v>1</v>
      </c>
      <c r="F1034" s="22">
        <v>6</v>
      </c>
      <c r="G1034" s="6"/>
    </row>
    <row r="1035" spans="2:7" ht="13.5" thickBot="1">
      <c r="B1035" s="18"/>
      <c r="G1035" s="6"/>
    </row>
    <row r="1036" spans="2:7">
      <c r="B1036" s="18"/>
      <c r="C1036" s="3" t="s">
        <v>4</v>
      </c>
      <c r="D1036" s="16"/>
      <c r="E1036" s="80" t="s">
        <v>61</v>
      </c>
      <c r="F1036" s="84"/>
      <c r="G1036" s="6"/>
    </row>
    <row r="1037" spans="2:7">
      <c r="B1037" s="18"/>
      <c r="C1037" s="5" t="s">
        <v>2</v>
      </c>
      <c r="E1037" s="39" t="s">
        <v>326</v>
      </c>
      <c r="F1037" s="6"/>
      <c r="G1037" s="6"/>
    </row>
    <row r="1038" spans="2:7" ht="13.5" thickBot="1">
      <c r="B1038" s="18"/>
      <c r="C1038" s="7" t="s">
        <v>3</v>
      </c>
      <c r="D1038" s="20"/>
      <c r="E1038" s="81" t="s">
        <v>326</v>
      </c>
      <c r="F1038" s="9"/>
      <c r="G1038" s="6"/>
    </row>
    <row r="1039" spans="2:7" ht="13.5" thickBot="1">
      <c r="B1039" s="18"/>
      <c r="G1039" s="6"/>
    </row>
    <row r="1040" spans="2:7" ht="13.5" thickBot="1">
      <c r="B1040" s="18"/>
      <c r="C1040" s="23" t="s">
        <v>29</v>
      </c>
      <c r="D1040" s="24"/>
      <c r="E1040" s="87" t="s">
        <v>1171</v>
      </c>
      <c r="F1040" s="25"/>
      <c r="G1040" s="6"/>
    </row>
    <row r="1041" spans="2:7">
      <c r="B1041" s="18"/>
      <c r="G1041" s="6"/>
    </row>
    <row r="1042" spans="2:7">
      <c r="B1042" s="18"/>
      <c r="C1042" t="s">
        <v>5</v>
      </c>
      <c r="G1042" s="6"/>
    </row>
    <row r="1043" spans="2:7">
      <c r="B1043" s="18"/>
      <c r="G1043" s="6"/>
    </row>
    <row r="1044" spans="2:7">
      <c r="B1044" s="5">
        <v>1</v>
      </c>
      <c r="C1044" s="39" t="s">
        <v>11</v>
      </c>
      <c r="G1044" s="6"/>
    </row>
    <row r="1045" spans="2:7">
      <c r="B1045" s="5">
        <v>2</v>
      </c>
      <c r="C1045" s="39" t="s">
        <v>1113</v>
      </c>
      <c r="G1045" s="6"/>
    </row>
    <row r="1046" spans="2:7">
      <c r="B1046" s="5">
        <v>3</v>
      </c>
      <c r="C1046" s="39" t="s">
        <v>1172</v>
      </c>
      <c r="G1046" s="6"/>
    </row>
    <row r="1047" spans="2:7">
      <c r="B1047" s="5">
        <v>4</v>
      </c>
      <c r="C1047" s="39" t="s">
        <v>1173</v>
      </c>
      <c r="G1047" s="6"/>
    </row>
    <row r="1048" spans="2:7">
      <c r="B1048" s="5">
        <v>5</v>
      </c>
      <c r="C1048" s="39" t="s">
        <v>207</v>
      </c>
      <c r="G1048" s="6"/>
    </row>
    <row r="1049" spans="2:7">
      <c r="B1049" s="5">
        <v>6</v>
      </c>
      <c r="C1049" s="39" t="s">
        <v>33</v>
      </c>
      <c r="G1049" s="6"/>
    </row>
    <row r="1050" spans="2:7">
      <c r="B1050" s="5">
        <v>7</v>
      </c>
      <c r="C1050" s="39" t="s">
        <v>1159</v>
      </c>
      <c r="G1050" s="6"/>
    </row>
    <row r="1051" spans="2:7">
      <c r="B1051" s="5">
        <v>8</v>
      </c>
      <c r="C1051" s="39" t="s">
        <v>1096</v>
      </c>
      <c r="G1051" s="6"/>
    </row>
    <row r="1052" spans="2:7">
      <c r="B1052" s="5">
        <v>9</v>
      </c>
      <c r="C1052" s="39" t="s">
        <v>14</v>
      </c>
      <c r="G1052" s="6"/>
    </row>
    <row r="1053" spans="2:7">
      <c r="B1053" s="5">
        <v>10</v>
      </c>
      <c r="C1053" s="39" t="s">
        <v>1112</v>
      </c>
      <c r="G1053" s="6"/>
    </row>
    <row r="1054" spans="2:7">
      <c r="B1054" s="5">
        <v>11</v>
      </c>
      <c r="C1054" s="39" t="s">
        <v>144</v>
      </c>
      <c r="G1054" s="6"/>
    </row>
    <row r="1055" spans="2:7">
      <c r="B1055" s="5">
        <v>12</v>
      </c>
      <c r="C1055" s="39" t="s">
        <v>236</v>
      </c>
      <c r="G1055" s="6"/>
    </row>
    <row r="1056" spans="2:7">
      <c r="B1056" s="5">
        <v>13</v>
      </c>
      <c r="C1056" s="39" t="s">
        <v>214</v>
      </c>
      <c r="G1056" s="6"/>
    </row>
    <row r="1057" spans="2:7">
      <c r="B1057" s="5">
        <v>14</v>
      </c>
      <c r="C1057" s="39" t="s">
        <v>1245</v>
      </c>
      <c r="G1057" s="6"/>
    </row>
    <row r="1058" spans="2:7">
      <c r="B1058" s="5">
        <v>15</v>
      </c>
      <c r="C1058" s="39" t="s">
        <v>234</v>
      </c>
      <c r="G1058" s="6"/>
    </row>
    <row r="1059" spans="2:7">
      <c r="B1059" s="18"/>
      <c r="G1059" s="6"/>
    </row>
    <row r="1060" spans="2:7">
      <c r="B1060" s="18"/>
      <c r="C1060" s="39" t="s">
        <v>325</v>
      </c>
      <c r="G1060" s="6"/>
    </row>
    <row r="1061" spans="2:7">
      <c r="B1061" s="18"/>
      <c r="C1061" s="39" t="s">
        <v>1281</v>
      </c>
      <c r="G1061" s="6"/>
    </row>
    <row r="1062" spans="2:7">
      <c r="B1062" s="18"/>
      <c r="C1062" s="39" t="s">
        <v>1282</v>
      </c>
      <c r="G1062" s="6"/>
    </row>
    <row r="1063" spans="2:7">
      <c r="B1063" s="18"/>
      <c r="C1063" s="39" t="s">
        <v>1184</v>
      </c>
      <c r="G1063" s="6"/>
    </row>
    <row r="1064" spans="2:7">
      <c r="B1064" s="18"/>
      <c r="C1064" s="39" t="s">
        <v>1283</v>
      </c>
      <c r="G1064" s="6"/>
    </row>
    <row r="1065" spans="2:7">
      <c r="B1065" s="18"/>
      <c r="C1065" s="39" t="s">
        <v>1284</v>
      </c>
      <c r="G1065" s="6"/>
    </row>
    <row r="1066" spans="2:7">
      <c r="B1066" s="18"/>
      <c r="C1066" s="39" t="s">
        <v>1109</v>
      </c>
      <c r="G1066" s="6"/>
    </row>
    <row r="1067" spans="2:7">
      <c r="B1067" s="18"/>
      <c r="C1067" s="39" t="s">
        <v>1285</v>
      </c>
      <c r="G1067" s="6"/>
    </row>
    <row r="1068" spans="2:7">
      <c r="B1068" s="18"/>
      <c r="C1068" s="39" t="s">
        <v>379</v>
      </c>
      <c r="G1068" s="6"/>
    </row>
    <row r="1069" spans="2:7">
      <c r="B1069" s="18"/>
      <c r="G1069" s="6"/>
    </row>
    <row r="1070" spans="2:7">
      <c r="B1070" s="18"/>
      <c r="C1070" s="1" t="s">
        <v>21</v>
      </c>
      <c r="G1070" s="6"/>
    </row>
    <row r="1071" spans="2:7">
      <c r="B1071" s="18"/>
      <c r="C1071" s="15" t="s">
        <v>339</v>
      </c>
      <c r="G1071" s="6"/>
    </row>
    <row r="1072" spans="2:7">
      <c r="B1072" s="18"/>
      <c r="G1072" s="6"/>
    </row>
    <row r="1073" spans="2:7">
      <c r="B1073" s="18"/>
      <c r="C1073" s="1" t="s">
        <v>22</v>
      </c>
      <c r="G1073" s="6"/>
    </row>
    <row r="1074" spans="2:7">
      <c r="B1074" s="82" t="s">
        <v>352</v>
      </c>
      <c r="C1074" s="66" t="s">
        <v>236</v>
      </c>
      <c r="G1074" s="6"/>
    </row>
    <row r="1075" spans="2:7">
      <c r="B1075" s="82"/>
      <c r="G1075" s="6"/>
    </row>
    <row r="1076" spans="2:7">
      <c r="B1076" s="18"/>
      <c r="C1076" s="1" t="s">
        <v>23</v>
      </c>
      <c r="G1076" s="6"/>
    </row>
    <row r="1077" spans="2:7">
      <c r="B1077" s="82"/>
      <c r="C1077" s="15" t="s">
        <v>339</v>
      </c>
      <c r="G1077" s="6"/>
    </row>
    <row r="1078" spans="2:7" ht="13.5" thickBot="1">
      <c r="B1078" s="19"/>
      <c r="C1078" s="20"/>
      <c r="D1078" s="20"/>
      <c r="E1078" s="8"/>
      <c r="F1078" s="20"/>
      <c r="G1078" s="9"/>
    </row>
    <row r="1080" spans="2:7" ht="13.5" thickBot="1"/>
    <row r="1081" spans="2:7" ht="13.5" thickBot="1">
      <c r="B1081" s="236">
        <v>44835</v>
      </c>
      <c r="C1081" s="237"/>
      <c r="D1081" s="237"/>
      <c r="E1081" s="237"/>
      <c r="F1081" s="237"/>
      <c r="G1081" s="238"/>
    </row>
    <row r="1082" spans="2:7" ht="13.5" thickBot="1">
      <c r="B1082" s="18"/>
      <c r="G1082" s="6"/>
    </row>
    <row r="1083" spans="2:7">
      <c r="B1083" s="18"/>
      <c r="C1083" s="21" t="s">
        <v>27</v>
      </c>
      <c r="D1083" s="16"/>
      <c r="E1083" s="80" t="s">
        <v>1</v>
      </c>
      <c r="F1083" s="4">
        <v>31</v>
      </c>
      <c r="G1083" s="6"/>
    </row>
    <row r="1084" spans="2:7" ht="13.5" thickBot="1">
      <c r="B1084" s="18"/>
      <c r="C1084" s="7"/>
      <c r="D1084" s="20"/>
      <c r="E1084" s="83" t="s">
        <v>103</v>
      </c>
      <c r="F1084" s="22">
        <v>31</v>
      </c>
      <c r="G1084" s="6"/>
    </row>
    <row r="1085" spans="2:7" ht="13.5" thickBot="1">
      <c r="B1085" s="18"/>
      <c r="G1085" s="6"/>
    </row>
    <row r="1086" spans="2:7">
      <c r="B1086" s="18"/>
      <c r="C1086" s="3" t="s">
        <v>4</v>
      </c>
      <c r="D1086" s="16"/>
      <c r="E1086" s="80" t="s">
        <v>1</v>
      </c>
      <c r="F1086" s="84" t="s">
        <v>205</v>
      </c>
      <c r="G1086" s="6"/>
    </row>
    <row r="1087" spans="2:7">
      <c r="B1087" s="18"/>
      <c r="C1087" s="5" t="s">
        <v>2</v>
      </c>
      <c r="E1087" s="39" t="s">
        <v>326</v>
      </c>
      <c r="F1087" s="6"/>
      <c r="G1087" s="6"/>
    </row>
    <row r="1088" spans="2:7" ht="13.5" thickBot="1">
      <c r="B1088" s="18"/>
      <c r="C1088" s="7" t="s">
        <v>3</v>
      </c>
      <c r="D1088" s="20"/>
      <c r="E1088" s="81" t="s">
        <v>326</v>
      </c>
      <c r="F1088" s="9"/>
      <c r="G1088" s="6"/>
    </row>
    <row r="1089" spans="2:7" ht="13.5" thickBot="1">
      <c r="B1089" s="18"/>
      <c r="G1089" s="6"/>
    </row>
    <row r="1090" spans="2:7" ht="13.5" thickBot="1">
      <c r="B1090" s="18"/>
      <c r="C1090" s="23" t="s">
        <v>29</v>
      </c>
      <c r="D1090" s="24"/>
      <c r="E1090" s="87" t="s">
        <v>1278</v>
      </c>
      <c r="F1090" s="25"/>
      <c r="G1090" s="6"/>
    </row>
    <row r="1091" spans="2:7">
      <c r="B1091" s="18"/>
      <c r="G1091" s="6"/>
    </row>
    <row r="1092" spans="2:7">
      <c r="B1092" s="18"/>
      <c r="C1092" t="s">
        <v>5</v>
      </c>
      <c r="G1092" s="6"/>
    </row>
    <row r="1093" spans="2:7">
      <c r="B1093" s="18"/>
      <c r="G1093" s="6"/>
    </row>
    <row r="1094" spans="2:7">
      <c r="B1094" s="5">
        <v>1</v>
      </c>
      <c r="C1094" s="39" t="s">
        <v>1172</v>
      </c>
      <c r="G1094" s="6"/>
    </row>
    <row r="1095" spans="2:7">
      <c r="B1095" s="5">
        <v>2</v>
      </c>
      <c r="C1095" s="39" t="s">
        <v>11</v>
      </c>
      <c r="G1095" s="6"/>
    </row>
    <row r="1096" spans="2:7">
      <c r="B1096" s="5">
        <v>3</v>
      </c>
      <c r="C1096" s="39" t="s">
        <v>1158</v>
      </c>
      <c r="G1096" s="6"/>
    </row>
    <row r="1097" spans="2:7">
      <c r="B1097" s="5">
        <v>4</v>
      </c>
      <c r="C1097" s="39" t="s">
        <v>1173</v>
      </c>
      <c r="G1097" s="6"/>
    </row>
    <row r="1098" spans="2:7">
      <c r="B1098" s="5">
        <v>5</v>
      </c>
      <c r="C1098" s="39" t="s">
        <v>207</v>
      </c>
      <c r="G1098" s="6"/>
    </row>
    <row r="1099" spans="2:7">
      <c r="B1099" s="5">
        <v>6</v>
      </c>
      <c r="C1099" s="39" t="s">
        <v>1286</v>
      </c>
      <c r="G1099" s="6"/>
    </row>
    <row r="1100" spans="2:7">
      <c r="B1100" s="5">
        <v>7</v>
      </c>
      <c r="C1100" s="39" t="s">
        <v>211</v>
      </c>
      <c r="G1100" s="6"/>
    </row>
    <row r="1101" spans="2:7">
      <c r="B1101" s="5">
        <v>8</v>
      </c>
      <c r="C1101" s="39" t="s">
        <v>1096</v>
      </c>
      <c r="G1101" s="6"/>
    </row>
    <row r="1102" spans="2:7">
      <c r="B1102" s="5">
        <v>9</v>
      </c>
      <c r="C1102" s="39" t="s">
        <v>14</v>
      </c>
      <c r="G1102" s="6"/>
    </row>
    <row r="1103" spans="2:7">
      <c r="B1103" s="5">
        <v>10</v>
      </c>
      <c r="C1103" s="39" t="s">
        <v>607</v>
      </c>
      <c r="G1103" s="6"/>
    </row>
    <row r="1104" spans="2:7">
      <c r="B1104" s="5">
        <v>11</v>
      </c>
      <c r="C1104" s="39" t="s">
        <v>144</v>
      </c>
      <c r="G1104" s="6"/>
    </row>
    <row r="1105" spans="2:7">
      <c r="B1105" s="5">
        <v>12</v>
      </c>
      <c r="C1105" s="39" t="s">
        <v>214</v>
      </c>
      <c r="G1105" s="6"/>
    </row>
    <row r="1106" spans="2:7">
      <c r="B1106" s="5">
        <v>13</v>
      </c>
      <c r="C1106" s="39" t="s">
        <v>142</v>
      </c>
      <c r="G1106" s="6"/>
    </row>
    <row r="1107" spans="2:7">
      <c r="B1107" s="5">
        <v>14</v>
      </c>
      <c r="C1107" s="39" t="s">
        <v>1245</v>
      </c>
      <c r="G1107" s="6"/>
    </row>
    <row r="1108" spans="2:7">
      <c r="B1108" s="5">
        <v>15</v>
      </c>
      <c r="C1108" s="39" t="s">
        <v>1198</v>
      </c>
      <c r="G1108" s="6"/>
    </row>
    <row r="1109" spans="2:7">
      <c r="B1109" s="18"/>
      <c r="G1109" s="6"/>
    </row>
    <row r="1110" spans="2:7">
      <c r="B1110" s="18"/>
      <c r="C1110" s="39" t="s">
        <v>325</v>
      </c>
      <c r="G1110" s="6"/>
    </row>
    <row r="1111" spans="2:7">
      <c r="B1111" s="18"/>
      <c r="C1111" s="39" t="s">
        <v>1282</v>
      </c>
      <c r="G1111" s="6"/>
    </row>
    <row r="1112" spans="2:7">
      <c r="B1112" s="18"/>
      <c r="C1112" s="39" t="s">
        <v>1196</v>
      </c>
      <c r="G1112" s="6"/>
    </row>
    <row r="1113" spans="2:7">
      <c r="B1113" s="18"/>
      <c r="C1113" s="39" t="s">
        <v>1287</v>
      </c>
      <c r="G1113" s="6"/>
    </row>
    <row r="1114" spans="2:7">
      <c r="B1114" s="18"/>
      <c r="C1114" s="39" t="s">
        <v>1241</v>
      </c>
      <c r="G1114" s="6"/>
    </row>
    <row r="1115" spans="2:7">
      <c r="B1115" s="18"/>
      <c r="C1115" s="39" t="s">
        <v>1109</v>
      </c>
      <c r="G1115" s="6"/>
    </row>
    <row r="1116" spans="2:7">
      <c r="B1116" s="18"/>
      <c r="G1116" s="6"/>
    </row>
    <row r="1117" spans="2:7">
      <c r="B1117" s="18"/>
      <c r="C1117" s="1" t="s">
        <v>21</v>
      </c>
      <c r="G1117" s="6"/>
    </row>
    <row r="1118" spans="2:7">
      <c r="B1118" s="18" t="s">
        <v>352</v>
      </c>
      <c r="C1118" s="154" t="s">
        <v>1245</v>
      </c>
      <c r="G1118" s="6"/>
    </row>
    <row r="1119" spans="2:7">
      <c r="B1119" s="18" t="s">
        <v>336</v>
      </c>
      <c r="C1119" s="154" t="s">
        <v>142</v>
      </c>
      <c r="G1119" s="6"/>
    </row>
    <row r="1120" spans="2:7">
      <c r="B1120" s="18" t="s">
        <v>336</v>
      </c>
      <c r="C1120" s="154" t="s">
        <v>236</v>
      </c>
      <c r="G1120" s="6"/>
    </row>
    <row r="1121" spans="2:7">
      <c r="B1121" s="18" t="s">
        <v>336</v>
      </c>
      <c r="C1121" s="154" t="s">
        <v>211</v>
      </c>
      <c r="G1121" s="6"/>
    </row>
    <row r="1122" spans="2:7">
      <c r="B1122" s="18"/>
      <c r="C1122" s="1"/>
      <c r="G1122" s="6"/>
    </row>
    <row r="1123" spans="2:7">
      <c r="B1123" s="18"/>
      <c r="C1123" s="1" t="s">
        <v>337</v>
      </c>
      <c r="G1123" s="6"/>
    </row>
    <row r="1124" spans="2:7">
      <c r="B1124" s="18" t="s">
        <v>335</v>
      </c>
      <c r="C1124" s="1" t="s">
        <v>236</v>
      </c>
      <c r="G1124" s="6"/>
    </row>
    <row r="1125" spans="2:7">
      <c r="B1125" s="18"/>
      <c r="G1125" s="6"/>
    </row>
    <row r="1126" spans="2:7">
      <c r="B1126" s="18"/>
      <c r="C1126" s="1" t="s">
        <v>22</v>
      </c>
      <c r="G1126" s="6"/>
    </row>
    <row r="1127" spans="2:7">
      <c r="B1127" s="82"/>
      <c r="C1127" s="15" t="s">
        <v>339</v>
      </c>
      <c r="G1127" s="6"/>
    </row>
    <row r="1128" spans="2:7">
      <c r="B1128" s="82"/>
      <c r="G1128" s="6"/>
    </row>
    <row r="1129" spans="2:7">
      <c r="B1129" s="18"/>
      <c r="C1129" s="1" t="s">
        <v>23</v>
      </c>
      <c r="G1129" s="6"/>
    </row>
    <row r="1130" spans="2:7">
      <c r="B1130" s="82"/>
      <c r="C1130" s="15" t="s">
        <v>339</v>
      </c>
      <c r="G1130" s="6"/>
    </row>
    <row r="1131" spans="2:7" ht="13.5" thickBot="1">
      <c r="B1131" s="19"/>
      <c r="C1131" s="20"/>
      <c r="D1131" s="20"/>
      <c r="E1131" s="8"/>
      <c r="F1131" s="20"/>
      <c r="G1131" s="9"/>
    </row>
    <row r="1133" spans="2:7" ht="13.5" thickBot="1"/>
    <row r="1134" spans="2:7" ht="13.5" thickBot="1">
      <c r="B1134" s="236">
        <v>44842</v>
      </c>
      <c r="C1134" s="237"/>
      <c r="D1134" s="237"/>
      <c r="E1134" s="237"/>
      <c r="F1134" s="237"/>
      <c r="G1134" s="238"/>
    </row>
    <row r="1135" spans="2:7" ht="13.5" thickBot="1">
      <c r="B1135" s="18"/>
      <c r="G1135" s="6"/>
    </row>
    <row r="1136" spans="2:7">
      <c r="B1136" s="18"/>
      <c r="C1136" s="21" t="s">
        <v>27</v>
      </c>
      <c r="D1136" s="16"/>
      <c r="E1136" s="80" t="s">
        <v>1</v>
      </c>
      <c r="F1136" s="4">
        <v>31</v>
      </c>
      <c r="G1136" s="6"/>
    </row>
    <row r="1137" spans="2:7" ht="13.5" thickBot="1">
      <c r="B1137" s="18"/>
      <c r="C1137" s="7"/>
      <c r="D1137" s="20"/>
      <c r="E1137" s="83" t="s">
        <v>92</v>
      </c>
      <c r="F1137" s="22">
        <v>17</v>
      </c>
      <c r="G1137" s="6"/>
    </row>
    <row r="1138" spans="2:7" ht="13.5" thickBot="1">
      <c r="B1138" s="18"/>
      <c r="G1138" s="6"/>
    </row>
    <row r="1139" spans="2:7">
      <c r="B1139" s="18"/>
      <c r="C1139" s="3" t="s">
        <v>4</v>
      </c>
      <c r="D1139" s="16"/>
      <c r="E1139" s="80" t="s">
        <v>1</v>
      </c>
      <c r="F1139" s="84" t="s">
        <v>205</v>
      </c>
      <c r="G1139" s="6"/>
    </row>
    <row r="1140" spans="2:7">
      <c r="B1140" s="18"/>
      <c r="C1140" s="5" t="s">
        <v>2</v>
      </c>
      <c r="E1140" s="39" t="s">
        <v>1288</v>
      </c>
      <c r="F1140" s="6"/>
      <c r="G1140" s="6"/>
    </row>
    <row r="1141" spans="2:7" ht="13.5" thickBot="1">
      <c r="B1141" s="18"/>
      <c r="C1141" s="7" t="s">
        <v>3</v>
      </c>
      <c r="D1141" s="20"/>
      <c r="E1141" s="81" t="s">
        <v>326</v>
      </c>
      <c r="F1141" s="9"/>
      <c r="G1141" s="6"/>
    </row>
    <row r="1142" spans="2:7" ht="13.5" thickBot="1">
      <c r="B1142" s="18"/>
      <c r="G1142" s="6"/>
    </row>
    <row r="1143" spans="2:7" ht="13.5" thickBot="1">
      <c r="B1143" s="18"/>
      <c r="C1143" s="23" t="s">
        <v>29</v>
      </c>
      <c r="D1143" s="24"/>
      <c r="E1143" s="87" t="s">
        <v>1171</v>
      </c>
      <c r="F1143" s="25"/>
      <c r="G1143" s="6"/>
    </row>
    <row r="1144" spans="2:7">
      <c r="B1144" s="18"/>
      <c r="G1144" s="6"/>
    </row>
    <row r="1145" spans="2:7">
      <c r="B1145" s="18"/>
      <c r="C1145" t="s">
        <v>5</v>
      </c>
      <c r="G1145" s="6"/>
    </row>
    <row r="1146" spans="2:7">
      <c r="B1146" s="18"/>
      <c r="G1146" s="6"/>
    </row>
    <row r="1147" spans="2:7">
      <c r="B1147" s="5">
        <v>1</v>
      </c>
      <c r="C1147" s="39" t="s">
        <v>1172</v>
      </c>
      <c r="G1147" s="6"/>
    </row>
    <row r="1148" spans="2:7">
      <c r="B1148" s="5">
        <v>2</v>
      </c>
      <c r="C1148" s="39" t="s">
        <v>11</v>
      </c>
      <c r="G1148" s="6"/>
    </row>
    <row r="1149" spans="2:7">
      <c r="B1149" s="5">
        <v>3</v>
      </c>
      <c r="C1149" s="39" t="s">
        <v>1158</v>
      </c>
      <c r="G1149" s="6"/>
    </row>
    <row r="1150" spans="2:7">
      <c r="B1150" s="5">
        <v>4</v>
      </c>
      <c r="C1150" s="39" t="s">
        <v>1173</v>
      </c>
      <c r="G1150" s="6"/>
    </row>
    <row r="1151" spans="2:7">
      <c r="B1151" s="5">
        <v>5</v>
      </c>
      <c r="C1151" s="39" t="s">
        <v>207</v>
      </c>
      <c r="G1151" s="6"/>
    </row>
    <row r="1152" spans="2:7">
      <c r="B1152" s="5">
        <v>6</v>
      </c>
      <c r="C1152" s="39" t="s">
        <v>1159</v>
      </c>
      <c r="G1152" s="6"/>
    </row>
    <row r="1153" spans="2:7">
      <c r="B1153" s="5">
        <v>7</v>
      </c>
      <c r="C1153" s="39" t="s">
        <v>211</v>
      </c>
      <c r="G1153" s="6"/>
    </row>
    <row r="1154" spans="2:7">
      <c r="B1154" s="5">
        <v>8</v>
      </c>
      <c r="C1154" s="39" t="s">
        <v>1096</v>
      </c>
      <c r="G1154" s="6"/>
    </row>
    <row r="1155" spans="2:7">
      <c r="B1155" s="5">
        <v>9</v>
      </c>
      <c r="C1155" s="39" t="s">
        <v>14</v>
      </c>
      <c r="G1155" s="6"/>
    </row>
    <row r="1156" spans="2:7">
      <c r="B1156" s="5">
        <v>10</v>
      </c>
      <c r="C1156" s="39" t="s">
        <v>607</v>
      </c>
      <c r="G1156" s="6"/>
    </row>
    <row r="1157" spans="2:7">
      <c r="B1157" s="5">
        <v>11</v>
      </c>
      <c r="C1157" s="39" t="s">
        <v>144</v>
      </c>
      <c r="G1157" s="6"/>
    </row>
    <row r="1158" spans="2:7">
      <c r="B1158" s="5">
        <v>12</v>
      </c>
      <c r="C1158" s="39" t="s">
        <v>214</v>
      </c>
      <c r="G1158" s="6"/>
    </row>
    <row r="1159" spans="2:7">
      <c r="B1159" s="5">
        <v>13</v>
      </c>
      <c r="C1159" s="39" t="s">
        <v>142</v>
      </c>
      <c r="G1159" s="6"/>
    </row>
    <row r="1160" spans="2:7">
      <c r="B1160" s="5">
        <v>14</v>
      </c>
      <c r="C1160" s="39" t="s">
        <v>1245</v>
      </c>
      <c r="G1160" s="6"/>
    </row>
    <row r="1161" spans="2:7">
      <c r="B1161" s="5">
        <v>15</v>
      </c>
      <c r="C1161" s="39" t="s">
        <v>1305</v>
      </c>
      <c r="G1161" s="6"/>
    </row>
    <row r="1162" spans="2:7">
      <c r="B1162" s="18"/>
      <c r="G1162" s="6"/>
    </row>
    <row r="1163" spans="2:7">
      <c r="B1163" s="18"/>
      <c r="C1163" s="39" t="s">
        <v>325</v>
      </c>
      <c r="G1163" s="6"/>
    </row>
    <row r="1164" spans="2:7">
      <c r="B1164" s="18"/>
      <c r="C1164" s="39" t="s">
        <v>1201</v>
      </c>
      <c r="G1164" s="6"/>
    </row>
    <row r="1165" spans="2:7">
      <c r="B1165" s="18"/>
      <c r="C1165" s="39" t="s">
        <v>1196</v>
      </c>
      <c r="G1165" s="6"/>
    </row>
    <row r="1166" spans="2:7">
      <c r="B1166" s="18"/>
      <c r="C1166" s="39" t="s">
        <v>1289</v>
      </c>
      <c r="G1166" s="6"/>
    </row>
    <row r="1167" spans="2:7">
      <c r="B1167" s="18"/>
      <c r="C1167" s="39" t="s">
        <v>1290</v>
      </c>
      <c r="G1167" s="6"/>
    </row>
    <row r="1168" spans="2:7">
      <c r="B1168" s="18"/>
      <c r="C1168" s="39" t="s">
        <v>1291</v>
      </c>
      <c r="G1168" s="6"/>
    </row>
    <row r="1169" spans="2:7">
      <c r="B1169" s="18"/>
      <c r="C1169" s="39" t="s">
        <v>1109</v>
      </c>
      <c r="G1169" s="6"/>
    </row>
    <row r="1170" spans="2:7">
      <c r="B1170" s="18"/>
      <c r="G1170" s="6"/>
    </row>
    <row r="1171" spans="2:7">
      <c r="B1171" s="18"/>
      <c r="C1171" s="1" t="s">
        <v>21</v>
      </c>
      <c r="G1171" s="6"/>
    </row>
    <row r="1172" spans="2:7">
      <c r="B1172" s="18" t="s">
        <v>336</v>
      </c>
      <c r="C1172" s="154" t="s">
        <v>1245</v>
      </c>
      <c r="G1172" s="6"/>
    </row>
    <row r="1173" spans="2:7">
      <c r="B1173" s="18" t="s">
        <v>352</v>
      </c>
      <c r="C1173" s="154" t="s">
        <v>214</v>
      </c>
      <c r="G1173" s="6"/>
    </row>
    <row r="1174" spans="2:7">
      <c r="B1174" s="18" t="s">
        <v>336</v>
      </c>
      <c r="C1174" s="154" t="s">
        <v>236</v>
      </c>
      <c r="G1174" s="6"/>
    </row>
    <row r="1175" spans="2:7">
      <c r="B1175" s="18" t="s">
        <v>336</v>
      </c>
      <c r="C1175" s="154" t="s">
        <v>1096</v>
      </c>
      <c r="G1175" s="6"/>
    </row>
    <row r="1176" spans="2:7">
      <c r="B1176" s="18"/>
      <c r="C1176" s="1"/>
      <c r="G1176" s="6"/>
    </row>
    <row r="1177" spans="2:7">
      <c r="B1177" s="18"/>
      <c r="C1177" s="1" t="s">
        <v>337</v>
      </c>
      <c r="G1177" s="6"/>
    </row>
    <row r="1178" spans="2:7">
      <c r="B1178" s="18" t="s">
        <v>335</v>
      </c>
      <c r="C1178" s="154" t="s">
        <v>236</v>
      </c>
      <c r="G1178" s="6"/>
    </row>
    <row r="1179" spans="2:7">
      <c r="B1179" s="18"/>
      <c r="G1179" s="6"/>
    </row>
    <row r="1180" spans="2:7">
      <c r="B1180" s="18"/>
      <c r="C1180" s="1" t="s">
        <v>22</v>
      </c>
      <c r="G1180" s="6"/>
    </row>
    <row r="1181" spans="2:7">
      <c r="B1181" s="82"/>
      <c r="C1181" s="15" t="s">
        <v>339</v>
      </c>
      <c r="G1181" s="6"/>
    </row>
    <row r="1182" spans="2:7">
      <c r="B1182" s="82"/>
      <c r="G1182" s="6"/>
    </row>
    <row r="1183" spans="2:7">
      <c r="B1183" s="18"/>
      <c r="C1183" s="1" t="s">
        <v>23</v>
      </c>
      <c r="G1183" s="6"/>
    </row>
    <row r="1184" spans="2:7">
      <c r="B1184" s="82"/>
      <c r="C1184" s="15" t="s">
        <v>339</v>
      </c>
      <c r="G1184" s="6"/>
    </row>
    <row r="1185" spans="2:7" ht="13.5" thickBot="1">
      <c r="B1185" s="19"/>
      <c r="C1185" s="20"/>
      <c r="D1185" s="20"/>
      <c r="E1185" s="8"/>
      <c r="F1185" s="20"/>
      <c r="G1185" s="9"/>
    </row>
    <row r="1187" spans="2:7" ht="13.5" thickBot="1"/>
    <row r="1188" spans="2:7" ht="13.5" thickBot="1">
      <c r="B1188" s="236">
        <v>44849</v>
      </c>
      <c r="C1188" s="237"/>
      <c r="D1188" s="237"/>
      <c r="E1188" s="237"/>
      <c r="F1188" s="237"/>
      <c r="G1188" s="238"/>
    </row>
    <row r="1189" spans="2:7" ht="13.5" thickBot="1">
      <c r="B1189" s="18"/>
      <c r="G1189" s="6"/>
    </row>
    <row r="1190" spans="2:7">
      <c r="B1190" s="18"/>
      <c r="C1190" s="21" t="s">
        <v>27</v>
      </c>
      <c r="D1190" s="16"/>
      <c r="E1190" s="80" t="s">
        <v>125</v>
      </c>
      <c r="F1190" s="4">
        <v>30</v>
      </c>
      <c r="G1190" s="6"/>
    </row>
    <row r="1191" spans="2:7" ht="13.5" thickBot="1">
      <c r="B1191" s="18"/>
      <c r="C1191" s="7"/>
      <c r="D1191" s="20"/>
      <c r="E1191" s="83" t="s">
        <v>1</v>
      </c>
      <c r="F1191" s="22">
        <v>20</v>
      </c>
      <c r="G1191" s="6"/>
    </row>
    <row r="1192" spans="2:7" ht="13.5" thickBot="1">
      <c r="B1192" s="18"/>
      <c r="G1192" s="6"/>
    </row>
    <row r="1193" spans="2:7">
      <c r="B1193" s="18"/>
      <c r="C1193" s="3" t="s">
        <v>4</v>
      </c>
      <c r="D1193" s="16"/>
      <c r="E1193" s="80" t="s">
        <v>125</v>
      </c>
      <c r="F1193" s="84"/>
      <c r="G1193" s="6"/>
    </row>
    <row r="1194" spans="2:7">
      <c r="B1194" s="18"/>
      <c r="C1194" s="5" t="s">
        <v>2</v>
      </c>
      <c r="E1194" s="39" t="s">
        <v>865</v>
      </c>
      <c r="F1194" s="6"/>
      <c r="G1194" s="6"/>
    </row>
    <row r="1195" spans="2:7" ht="13.5" thickBot="1">
      <c r="B1195" s="18"/>
      <c r="C1195" s="7" t="s">
        <v>3</v>
      </c>
      <c r="D1195" s="20"/>
      <c r="E1195" s="81" t="s">
        <v>344</v>
      </c>
      <c r="F1195" s="9"/>
      <c r="G1195" s="6"/>
    </row>
    <row r="1196" spans="2:7" ht="13.5" thickBot="1">
      <c r="B1196" s="18"/>
      <c r="G1196" s="6"/>
    </row>
    <row r="1197" spans="2:7" ht="13.5" thickBot="1">
      <c r="B1197" s="18"/>
      <c r="C1197" s="23" t="s">
        <v>29</v>
      </c>
      <c r="D1197" s="24"/>
      <c r="E1197" s="87" t="s">
        <v>1293</v>
      </c>
      <c r="F1197" s="25"/>
      <c r="G1197" s="6"/>
    </row>
    <row r="1198" spans="2:7">
      <c r="B1198" s="18"/>
      <c r="G1198" s="6"/>
    </row>
    <row r="1199" spans="2:7">
      <c r="B1199" s="18"/>
      <c r="C1199" t="s">
        <v>5</v>
      </c>
      <c r="G1199" s="6"/>
    </row>
    <row r="1200" spans="2:7">
      <c r="B1200" s="18"/>
      <c r="G1200" s="6"/>
    </row>
    <row r="1201" spans="2:7">
      <c r="B1201" s="5">
        <v>1</v>
      </c>
      <c r="C1201" s="39" t="s">
        <v>1172</v>
      </c>
      <c r="G1201" s="6"/>
    </row>
    <row r="1202" spans="2:7">
      <c r="B1202" s="5">
        <v>2</v>
      </c>
      <c r="C1202" s="39" t="s">
        <v>11</v>
      </c>
      <c r="G1202" s="6"/>
    </row>
    <row r="1203" spans="2:7">
      <c r="B1203" s="5">
        <v>3</v>
      </c>
      <c r="C1203" s="39" t="s">
        <v>1158</v>
      </c>
      <c r="G1203" s="6"/>
    </row>
    <row r="1204" spans="2:7">
      <c r="B1204" s="5">
        <v>4</v>
      </c>
      <c r="C1204" s="39" t="s">
        <v>1173</v>
      </c>
      <c r="G1204" s="6"/>
    </row>
    <row r="1205" spans="2:7">
      <c r="B1205" s="5">
        <v>5</v>
      </c>
      <c r="C1205" s="39" t="s">
        <v>207</v>
      </c>
      <c r="G1205" s="6"/>
    </row>
    <row r="1206" spans="2:7">
      <c r="B1206" s="5">
        <v>6</v>
      </c>
      <c r="C1206" s="39" t="s">
        <v>1159</v>
      </c>
      <c r="G1206" s="6"/>
    </row>
    <row r="1207" spans="2:7">
      <c r="B1207" s="5">
        <v>7</v>
      </c>
      <c r="C1207" s="39" t="s">
        <v>211</v>
      </c>
      <c r="G1207" s="6"/>
    </row>
    <row r="1208" spans="2:7">
      <c r="B1208" s="5">
        <v>8</v>
      </c>
      <c r="C1208" s="39" t="s">
        <v>1096</v>
      </c>
      <c r="G1208" s="6"/>
    </row>
    <row r="1209" spans="2:7">
      <c r="B1209" s="5">
        <v>9</v>
      </c>
      <c r="C1209" s="39" t="s">
        <v>14</v>
      </c>
      <c r="G1209" s="6"/>
    </row>
    <row r="1210" spans="2:7">
      <c r="B1210" s="5">
        <v>10</v>
      </c>
      <c r="C1210" s="39" t="s">
        <v>607</v>
      </c>
      <c r="G1210" s="6"/>
    </row>
    <row r="1211" spans="2:7">
      <c r="B1211" s="5">
        <v>11</v>
      </c>
      <c r="C1211" s="39" t="s">
        <v>144</v>
      </c>
      <c r="G1211" s="6"/>
    </row>
    <row r="1212" spans="2:7">
      <c r="B1212" s="5">
        <v>12</v>
      </c>
      <c r="C1212" s="39" t="s">
        <v>214</v>
      </c>
      <c r="G1212" s="6"/>
    </row>
    <row r="1213" spans="2:7">
      <c r="B1213" s="5">
        <v>13</v>
      </c>
      <c r="C1213" s="39" t="s">
        <v>142</v>
      </c>
      <c r="G1213" s="6"/>
    </row>
    <row r="1214" spans="2:7">
      <c r="B1214" s="5">
        <v>14</v>
      </c>
      <c r="C1214" s="39" t="s">
        <v>1245</v>
      </c>
      <c r="G1214" s="6"/>
    </row>
    <row r="1215" spans="2:7">
      <c r="B1215" s="5">
        <v>15</v>
      </c>
      <c r="C1215" s="39" t="s">
        <v>1305</v>
      </c>
      <c r="G1215" s="6"/>
    </row>
    <row r="1216" spans="2:7">
      <c r="B1216" s="18"/>
      <c r="G1216" s="6"/>
    </row>
    <row r="1217" spans="2:7">
      <c r="B1217" s="18"/>
      <c r="C1217" s="39" t="s">
        <v>325</v>
      </c>
      <c r="G1217" s="6"/>
    </row>
    <row r="1218" spans="2:7">
      <c r="B1218" s="18"/>
      <c r="C1218" s="39" t="s">
        <v>367</v>
      </c>
      <c r="G1218" s="6"/>
    </row>
    <row r="1219" spans="2:7">
      <c r="B1219" s="18"/>
      <c r="C1219" s="39" t="s">
        <v>1196</v>
      </c>
      <c r="G1219" s="6"/>
    </row>
    <row r="1220" spans="2:7">
      <c r="B1220" s="18"/>
      <c r="C1220" s="39" t="s">
        <v>1289</v>
      </c>
      <c r="G1220" s="6"/>
    </row>
    <row r="1221" spans="2:7">
      <c r="B1221" s="18"/>
      <c r="C1221" s="39" t="s">
        <v>1291</v>
      </c>
      <c r="G1221" s="6"/>
    </row>
    <row r="1222" spans="2:7">
      <c r="B1222" s="18"/>
      <c r="C1222" s="39" t="s">
        <v>1109</v>
      </c>
      <c r="G1222" s="6"/>
    </row>
    <row r="1223" spans="2:7">
      <c r="B1223" s="18"/>
      <c r="C1223" s="39"/>
      <c r="G1223" s="6"/>
    </row>
    <row r="1224" spans="2:7">
      <c r="B1224" s="18"/>
      <c r="G1224" s="6"/>
    </row>
    <row r="1225" spans="2:7">
      <c r="B1225" s="18"/>
      <c r="C1225" s="1" t="s">
        <v>21</v>
      </c>
      <c r="G1225" s="6"/>
    </row>
    <row r="1226" spans="2:7">
      <c r="B1226" s="18" t="s">
        <v>336</v>
      </c>
      <c r="C1226" s="154" t="s">
        <v>56</v>
      </c>
      <c r="G1226" s="6"/>
    </row>
    <row r="1227" spans="2:7">
      <c r="B1227" s="18" t="s">
        <v>336</v>
      </c>
      <c r="C1227" s="154" t="s">
        <v>1158</v>
      </c>
      <c r="G1227" s="6"/>
    </row>
    <row r="1228" spans="2:7">
      <c r="B1228" s="18"/>
      <c r="C1228" s="1"/>
      <c r="G1228" s="6"/>
    </row>
    <row r="1229" spans="2:7">
      <c r="B1229" s="18"/>
      <c r="C1229" s="1" t="s">
        <v>337</v>
      </c>
      <c r="G1229" s="6"/>
    </row>
    <row r="1230" spans="2:7">
      <c r="B1230" s="18" t="s">
        <v>336</v>
      </c>
      <c r="C1230" s="154" t="s">
        <v>236</v>
      </c>
      <c r="G1230" s="6"/>
    </row>
    <row r="1231" spans="2:7">
      <c r="B1231" s="18"/>
      <c r="G1231" s="6"/>
    </row>
    <row r="1232" spans="2:7">
      <c r="B1232" s="18"/>
      <c r="C1232" s="1" t="s">
        <v>22</v>
      </c>
      <c r="G1232" s="6"/>
    </row>
    <row r="1233" spans="2:7">
      <c r="B1233" s="82" t="s">
        <v>336</v>
      </c>
      <c r="C1233" s="66" t="s">
        <v>236</v>
      </c>
      <c r="G1233" s="6"/>
    </row>
    <row r="1234" spans="2:7">
      <c r="B1234" s="82"/>
      <c r="G1234" s="6"/>
    </row>
    <row r="1235" spans="2:7">
      <c r="B1235" s="82"/>
      <c r="C1235" s="1" t="s">
        <v>24</v>
      </c>
      <c r="G1235" s="6"/>
    </row>
    <row r="1236" spans="2:7">
      <c r="B1236" s="82" t="s">
        <v>336</v>
      </c>
      <c r="C1236" t="s">
        <v>607</v>
      </c>
      <c r="G1236" s="6"/>
    </row>
    <row r="1237" spans="2:7">
      <c r="B1237" s="82"/>
      <c r="G1237" s="6"/>
    </row>
    <row r="1238" spans="2:7">
      <c r="B1238" s="18"/>
      <c r="C1238" s="1" t="s">
        <v>23</v>
      </c>
      <c r="G1238" s="6"/>
    </row>
    <row r="1239" spans="2:7">
      <c r="B1239" s="18" t="s">
        <v>336</v>
      </c>
      <c r="C1239" s="154" t="s">
        <v>1096</v>
      </c>
      <c r="G1239" s="6"/>
    </row>
    <row r="1240" spans="2:7">
      <c r="B1240" s="18" t="s">
        <v>336</v>
      </c>
      <c r="C1240" s="154" t="s">
        <v>207</v>
      </c>
      <c r="G1240" s="6"/>
    </row>
    <row r="1241" spans="2:7" ht="13.5" thickBot="1">
      <c r="B1241" s="19"/>
      <c r="C1241" s="20"/>
      <c r="D1241" s="20"/>
      <c r="E1241" s="8"/>
      <c r="F1241" s="20"/>
      <c r="G1241" s="9"/>
    </row>
    <row r="1243" spans="2:7" ht="13.5" thickBot="1"/>
    <row r="1244" spans="2:7" ht="13.5" thickBot="1">
      <c r="B1244" s="236">
        <v>44863</v>
      </c>
      <c r="C1244" s="237"/>
      <c r="D1244" s="237"/>
      <c r="E1244" s="237"/>
      <c r="F1244" s="237"/>
      <c r="G1244" s="238"/>
    </row>
    <row r="1245" spans="2:7" ht="13.5" thickBot="1">
      <c r="B1245" s="18"/>
      <c r="G1245" s="6"/>
    </row>
    <row r="1246" spans="2:7">
      <c r="B1246" s="18"/>
      <c r="C1246" s="21" t="s">
        <v>27</v>
      </c>
      <c r="D1246" s="16"/>
      <c r="E1246" s="80" t="s">
        <v>1</v>
      </c>
      <c r="F1246" s="4">
        <v>30</v>
      </c>
      <c r="G1246" s="6"/>
    </row>
    <row r="1247" spans="2:7" ht="13.5" thickBot="1">
      <c r="B1247" s="18"/>
      <c r="C1247" s="7"/>
      <c r="D1247" s="20"/>
      <c r="E1247" s="83" t="s">
        <v>126</v>
      </c>
      <c r="F1247" s="22">
        <v>13</v>
      </c>
      <c r="G1247" s="6"/>
    </row>
    <row r="1248" spans="2:7" ht="13.5" thickBot="1">
      <c r="B1248" s="18"/>
      <c r="G1248" s="6"/>
    </row>
    <row r="1249" spans="2:7">
      <c r="B1249" s="18"/>
      <c r="C1249" s="3" t="s">
        <v>4</v>
      </c>
      <c r="D1249" s="16"/>
      <c r="E1249" s="80" t="s">
        <v>1</v>
      </c>
      <c r="F1249" s="84" t="s">
        <v>205</v>
      </c>
      <c r="G1249" s="6"/>
    </row>
    <row r="1250" spans="2:7">
      <c r="B1250" s="18"/>
      <c r="C1250" s="5" t="s">
        <v>2</v>
      </c>
      <c r="E1250" s="39" t="s">
        <v>326</v>
      </c>
      <c r="F1250" s="6"/>
      <c r="G1250" s="6"/>
    </row>
    <row r="1251" spans="2:7" ht="13.5" thickBot="1">
      <c r="B1251" s="18"/>
      <c r="C1251" s="7" t="s">
        <v>3</v>
      </c>
      <c r="D1251" s="20"/>
      <c r="E1251" s="81" t="s">
        <v>326</v>
      </c>
      <c r="F1251" s="9"/>
      <c r="G1251" s="6"/>
    </row>
    <row r="1252" spans="2:7" ht="13.5" thickBot="1">
      <c r="B1252" s="18"/>
      <c r="G1252" s="6"/>
    </row>
    <row r="1253" spans="2:7" ht="13.5" thickBot="1">
      <c r="B1253" s="18"/>
      <c r="C1253" s="23" t="s">
        <v>29</v>
      </c>
      <c r="D1253" s="24"/>
      <c r="E1253" s="87" t="s">
        <v>1278</v>
      </c>
      <c r="F1253" s="25"/>
      <c r="G1253" s="6"/>
    </row>
    <row r="1254" spans="2:7">
      <c r="B1254" s="18"/>
      <c r="G1254" s="6"/>
    </row>
    <row r="1255" spans="2:7">
      <c r="B1255" s="18"/>
      <c r="C1255" t="s">
        <v>5</v>
      </c>
      <c r="G1255" s="6"/>
    </row>
    <row r="1256" spans="2:7">
      <c r="B1256" s="18"/>
      <c r="G1256" s="6"/>
    </row>
    <row r="1257" spans="2:7">
      <c r="B1257" s="5">
        <v>1</v>
      </c>
      <c r="C1257" s="39" t="s">
        <v>327</v>
      </c>
      <c r="G1257" s="6"/>
    </row>
    <row r="1258" spans="2:7">
      <c r="B1258" s="5">
        <v>2</v>
      </c>
      <c r="C1258" s="39" t="s">
        <v>11</v>
      </c>
      <c r="G1258" s="6"/>
    </row>
    <row r="1259" spans="2:7">
      <c r="B1259" s="5">
        <v>3</v>
      </c>
      <c r="C1259" s="39" t="s">
        <v>1158</v>
      </c>
      <c r="G1259" s="6"/>
    </row>
    <row r="1260" spans="2:7">
      <c r="B1260" s="5">
        <v>4</v>
      </c>
      <c r="C1260" s="39" t="s">
        <v>1106</v>
      </c>
      <c r="G1260" s="6"/>
    </row>
    <row r="1261" spans="2:7">
      <c r="B1261" s="5">
        <v>5</v>
      </c>
      <c r="C1261" s="39" t="s">
        <v>207</v>
      </c>
      <c r="G1261" s="6"/>
    </row>
    <row r="1262" spans="2:7">
      <c r="B1262" s="5">
        <v>6</v>
      </c>
      <c r="C1262" s="39" t="s">
        <v>1159</v>
      </c>
      <c r="G1262" s="6"/>
    </row>
    <row r="1263" spans="2:7">
      <c r="B1263" s="5">
        <v>7</v>
      </c>
      <c r="C1263" s="39" t="s">
        <v>211</v>
      </c>
      <c r="G1263" s="6"/>
    </row>
    <row r="1264" spans="2:7">
      <c r="B1264" s="5">
        <v>8</v>
      </c>
      <c r="C1264" s="39" t="s">
        <v>33</v>
      </c>
      <c r="G1264" s="6"/>
    </row>
    <row r="1265" spans="2:7">
      <c r="B1265" s="5">
        <v>9</v>
      </c>
      <c r="C1265" s="39" t="s">
        <v>14</v>
      </c>
      <c r="G1265" s="6"/>
    </row>
    <row r="1266" spans="2:7">
      <c r="B1266" s="5">
        <v>10</v>
      </c>
      <c r="C1266" s="39" t="s">
        <v>607</v>
      </c>
      <c r="G1266" s="6"/>
    </row>
    <row r="1267" spans="2:7">
      <c r="B1267" s="5">
        <v>11</v>
      </c>
      <c r="C1267" s="39" t="s">
        <v>144</v>
      </c>
      <c r="G1267" s="6"/>
    </row>
    <row r="1268" spans="2:7">
      <c r="B1268" s="5">
        <v>12</v>
      </c>
      <c r="C1268" s="39" t="s">
        <v>214</v>
      </c>
      <c r="G1268" s="6"/>
    </row>
    <row r="1269" spans="2:7">
      <c r="B1269" s="5">
        <v>13</v>
      </c>
      <c r="C1269" s="39" t="s">
        <v>142</v>
      </c>
      <c r="G1269" s="6"/>
    </row>
    <row r="1270" spans="2:7">
      <c r="B1270" s="5">
        <v>14</v>
      </c>
      <c r="C1270" s="39" t="s">
        <v>1245</v>
      </c>
      <c r="G1270" s="6"/>
    </row>
    <row r="1271" spans="2:7">
      <c r="B1271" s="5">
        <v>15</v>
      </c>
      <c r="C1271" s="39" t="s">
        <v>1305</v>
      </c>
      <c r="G1271" s="6"/>
    </row>
    <row r="1272" spans="2:7">
      <c r="B1272" s="18"/>
      <c r="G1272" s="6"/>
    </row>
    <row r="1273" spans="2:7">
      <c r="B1273" s="18"/>
      <c r="C1273" s="39" t="s">
        <v>325</v>
      </c>
      <c r="G1273" s="6"/>
    </row>
    <row r="1274" spans="2:7">
      <c r="B1274" s="18"/>
      <c r="C1274" s="39" t="s">
        <v>1238</v>
      </c>
      <c r="G1274" s="6"/>
    </row>
    <row r="1275" spans="2:7">
      <c r="B1275" s="18"/>
      <c r="C1275" s="39" t="s">
        <v>1196</v>
      </c>
      <c r="G1275" s="6"/>
    </row>
    <row r="1276" spans="2:7">
      <c r="B1276" s="18"/>
      <c r="C1276" s="39" t="s">
        <v>1193</v>
      </c>
      <c r="G1276" s="6"/>
    </row>
    <row r="1277" spans="2:7">
      <c r="B1277" s="18"/>
      <c r="C1277" s="39" t="s">
        <v>1295</v>
      </c>
      <c r="G1277" s="6"/>
    </row>
    <row r="1278" spans="2:7">
      <c r="B1278" s="18"/>
      <c r="C1278" s="39" t="s">
        <v>1296</v>
      </c>
      <c r="G1278" s="6"/>
    </row>
    <row r="1279" spans="2:7">
      <c r="B1279" s="18"/>
      <c r="C1279" s="39" t="s">
        <v>1297</v>
      </c>
      <c r="G1279" s="6"/>
    </row>
    <row r="1280" spans="2:7">
      <c r="B1280" s="18"/>
      <c r="C1280" s="39" t="s">
        <v>1298</v>
      </c>
      <c r="G1280" s="6"/>
    </row>
    <row r="1281" spans="2:7">
      <c r="B1281" s="18"/>
      <c r="C1281" s="39" t="s">
        <v>1299</v>
      </c>
      <c r="G1281" s="6"/>
    </row>
    <row r="1282" spans="2:7">
      <c r="B1282" s="18"/>
      <c r="C1282" s="39"/>
      <c r="G1282" s="6"/>
    </row>
    <row r="1283" spans="2:7">
      <c r="B1283" s="18"/>
      <c r="G1283" s="6"/>
    </row>
    <row r="1284" spans="2:7">
      <c r="B1284" s="18"/>
      <c r="C1284" s="1" t="s">
        <v>21</v>
      </c>
      <c r="G1284" s="6"/>
    </row>
    <row r="1285" spans="2:7">
      <c r="B1285" s="18" t="s">
        <v>336</v>
      </c>
      <c r="C1285" s="66" t="s">
        <v>214</v>
      </c>
      <c r="G1285" s="6"/>
    </row>
    <row r="1286" spans="2:7">
      <c r="B1286" s="82" t="s">
        <v>336</v>
      </c>
      <c r="C1286" s="66" t="s">
        <v>207</v>
      </c>
      <c r="G1286" s="6"/>
    </row>
    <row r="1287" spans="2:7">
      <c r="B1287" s="82" t="s">
        <v>336</v>
      </c>
      <c r="C1287" s="66" t="s">
        <v>1300</v>
      </c>
      <c r="G1287" s="6"/>
    </row>
    <row r="1288" spans="2:7">
      <c r="B1288" s="18" t="s">
        <v>336</v>
      </c>
      <c r="C1288" s="66" t="s">
        <v>18</v>
      </c>
      <c r="G1288" s="6"/>
    </row>
    <row r="1289" spans="2:7">
      <c r="B1289" s="18"/>
      <c r="C1289" s="1"/>
      <c r="G1289" s="6"/>
    </row>
    <row r="1290" spans="2:7">
      <c r="B1290" s="18"/>
      <c r="C1290" s="1" t="s">
        <v>337</v>
      </c>
      <c r="G1290" s="6"/>
    </row>
    <row r="1291" spans="2:7">
      <c r="B1291" s="82" t="s">
        <v>352</v>
      </c>
      <c r="C1291" s="154" t="s">
        <v>236</v>
      </c>
      <c r="G1291" s="6"/>
    </row>
    <row r="1292" spans="2:7">
      <c r="B1292" s="18"/>
      <c r="G1292" s="6"/>
    </row>
    <row r="1293" spans="2:7">
      <c r="B1293" s="18"/>
      <c r="C1293" s="1" t="s">
        <v>22</v>
      </c>
      <c r="G1293" s="6"/>
    </row>
    <row r="1294" spans="2:7">
      <c r="B1294" s="82" t="s">
        <v>352</v>
      </c>
      <c r="C1294" s="66" t="s">
        <v>236</v>
      </c>
      <c r="G1294" s="6"/>
    </row>
    <row r="1295" spans="2:7">
      <c r="B1295" s="82"/>
      <c r="G1295" s="6"/>
    </row>
    <row r="1296" spans="2:7">
      <c r="B1296" s="82"/>
      <c r="G1296" s="6"/>
    </row>
    <row r="1297" spans="2:7">
      <c r="B1297" s="18"/>
      <c r="C1297" s="1" t="s">
        <v>23</v>
      </c>
      <c r="G1297" s="6"/>
    </row>
    <row r="1298" spans="2:7">
      <c r="B1298" s="18"/>
      <c r="C1298" s="66" t="s">
        <v>339</v>
      </c>
      <c r="G1298" s="6"/>
    </row>
    <row r="1299" spans="2:7" ht="13.5" thickBot="1">
      <c r="B1299" s="19"/>
      <c r="C1299" s="20"/>
      <c r="D1299" s="20"/>
      <c r="E1299" s="8"/>
      <c r="F1299" s="20"/>
      <c r="G1299" s="9"/>
    </row>
    <row r="1301" spans="2:7" ht="13.5" thickBot="1"/>
    <row r="1302" spans="2:7" ht="13.5" thickBot="1">
      <c r="B1302" s="236">
        <v>44871</v>
      </c>
      <c r="C1302" s="237"/>
      <c r="D1302" s="237"/>
      <c r="E1302" s="237"/>
      <c r="F1302" s="237"/>
      <c r="G1302" s="238"/>
    </row>
    <row r="1303" spans="2:7" ht="13.5" thickBot="1">
      <c r="B1303" s="18"/>
      <c r="G1303" s="6"/>
    </row>
    <row r="1304" spans="2:7">
      <c r="B1304" s="18"/>
      <c r="C1304" s="21" t="s">
        <v>27</v>
      </c>
      <c r="D1304" s="16"/>
      <c r="E1304" s="80" t="s">
        <v>107</v>
      </c>
      <c r="F1304" s="4">
        <v>12</v>
      </c>
      <c r="G1304" s="6"/>
    </row>
    <row r="1305" spans="2:7" ht="13.5" thickBot="1">
      <c r="B1305" s="18"/>
      <c r="C1305" s="7"/>
      <c r="D1305" s="20"/>
      <c r="E1305" s="83" t="s">
        <v>1</v>
      </c>
      <c r="F1305" s="22">
        <v>10</v>
      </c>
      <c r="G1305" s="6"/>
    </row>
    <row r="1306" spans="2:7" ht="13.5" thickBot="1">
      <c r="B1306" s="18"/>
      <c r="G1306" s="6"/>
    </row>
    <row r="1307" spans="2:7">
      <c r="B1307" s="18"/>
      <c r="C1307" s="3" t="s">
        <v>4</v>
      </c>
      <c r="D1307" s="16"/>
      <c r="E1307" s="80" t="s">
        <v>107</v>
      </c>
      <c r="F1307" s="84"/>
      <c r="G1307" s="6"/>
    </row>
    <row r="1308" spans="2:7">
      <c r="B1308" s="18"/>
      <c r="C1308" s="5" t="s">
        <v>2</v>
      </c>
      <c r="E1308" s="39" t="s">
        <v>326</v>
      </c>
      <c r="F1308" s="6"/>
      <c r="G1308" s="6"/>
    </row>
    <row r="1309" spans="2:7" ht="13.5" thickBot="1">
      <c r="B1309" s="18"/>
      <c r="C1309" s="7" t="s">
        <v>3</v>
      </c>
      <c r="D1309" s="20"/>
      <c r="E1309" s="81" t="s">
        <v>344</v>
      </c>
      <c r="F1309" s="9"/>
      <c r="G1309" s="6"/>
    </row>
    <row r="1310" spans="2:7" ht="13.5" thickBot="1">
      <c r="B1310" s="18"/>
      <c r="G1310" s="6"/>
    </row>
    <row r="1311" spans="2:7" ht="13.5" thickBot="1">
      <c r="B1311" s="18"/>
      <c r="C1311" s="23" t="s">
        <v>29</v>
      </c>
      <c r="D1311" s="24"/>
      <c r="E1311" s="87" t="s">
        <v>1304</v>
      </c>
      <c r="F1311" s="25"/>
      <c r="G1311" s="6"/>
    </row>
    <row r="1312" spans="2:7">
      <c r="B1312" s="18"/>
      <c r="G1312" s="6"/>
    </row>
    <row r="1313" spans="2:7">
      <c r="B1313" s="18"/>
      <c r="C1313" t="s">
        <v>5</v>
      </c>
      <c r="G1313" s="6"/>
    </row>
    <row r="1314" spans="2:7">
      <c r="B1314" s="18"/>
      <c r="G1314" s="6"/>
    </row>
    <row r="1315" spans="2:7">
      <c r="B1315" s="5">
        <v>1</v>
      </c>
      <c r="C1315" s="39" t="s">
        <v>327</v>
      </c>
      <c r="G1315" s="6"/>
    </row>
    <row r="1316" spans="2:7">
      <c r="B1316" s="5">
        <v>2</v>
      </c>
      <c r="C1316" s="39" t="s">
        <v>11</v>
      </c>
      <c r="G1316" s="6"/>
    </row>
    <row r="1317" spans="2:7">
      <c r="B1317" s="5">
        <v>3</v>
      </c>
      <c r="C1317" s="39" t="s">
        <v>1158</v>
      </c>
      <c r="G1317" s="6"/>
    </row>
    <row r="1318" spans="2:7">
      <c r="B1318" s="5">
        <v>4</v>
      </c>
      <c r="C1318" s="39" t="s">
        <v>1106</v>
      </c>
      <c r="G1318" s="6"/>
    </row>
    <row r="1319" spans="2:7">
      <c r="B1319" s="5">
        <v>5</v>
      </c>
      <c r="C1319" s="39" t="s">
        <v>207</v>
      </c>
      <c r="G1319" s="6"/>
    </row>
    <row r="1320" spans="2:7">
      <c r="B1320" s="5">
        <v>6</v>
      </c>
      <c r="C1320" s="39" t="s">
        <v>1159</v>
      </c>
      <c r="G1320" s="6"/>
    </row>
    <row r="1321" spans="2:7">
      <c r="B1321" s="5">
        <v>7</v>
      </c>
      <c r="C1321" s="39" t="s">
        <v>211</v>
      </c>
      <c r="G1321" s="6"/>
    </row>
    <row r="1322" spans="2:7">
      <c r="B1322" s="5">
        <v>8</v>
      </c>
      <c r="C1322" s="39" t="s">
        <v>33</v>
      </c>
      <c r="G1322" s="6"/>
    </row>
    <row r="1323" spans="2:7">
      <c r="B1323" s="5">
        <v>9</v>
      </c>
      <c r="C1323" s="39" t="s">
        <v>14</v>
      </c>
      <c r="G1323" s="6"/>
    </row>
    <row r="1324" spans="2:7">
      <c r="B1324" s="5">
        <v>10</v>
      </c>
      <c r="C1324" s="39" t="s">
        <v>607</v>
      </c>
      <c r="G1324" s="6"/>
    </row>
    <row r="1325" spans="2:7">
      <c r="B1325" s="5">
        <v>11</v>
      </c>
      <c r="C1325" s="39" t="s">
        <v>144</v>
      </c>
      <c r="G1325" s="6"/>
    </row>
    <row r="1326" spans="2:7">
      <c r="B1326" s="5">
        <v>12</v>
      </c>
      <c r="C1326" s="39" t="s">
        <v>214</v>
      </c>
      <c r="G1326" s="6"/>
    </row>
    <row r="1327" spans="2:7">
      <c r="B1327" s="5">
        <v>13</v>
      </c>
      <c r="C1327" s="39" t="s">
        <v>142</v>
      </c>
      <c r="G1327" s="6"/>
    </row>
    <row r="1328" spans="2:7">
      <c r="B1328" s="5">
        <v>14</v>
      </c>
      <c r="C1328" s="39" t="s">
        <v>1245</v>
      </c>
      <c r="G1328" s="6"/>
    </row>
    <row r="1329" spans="2:7">
      <c r="B1329" s="5">
        <v>15</v>
      </c>
      <c r="C1329" s="39" t="s">
        <v>1305</v>
      </c>
      <c r="G1329" s="6"/>
    </row>
    <row r="1330" spans="2:7">
      <c r="B1330" s="18"/>
      <c r="G1330" s="6"/>
    </row>
    <row r="1331" spans="2:7">
      <c r="B1331" s="18"/>
      <c r="C1331" s="39" t="s">
        <v>325</v>
      </c>
      <c r="G1331" s="6"/>
    </row>
    <row r="1332" spans="2:7">
      <c r="B1332" s="18"/>
      <c r="C1332" s="39" t="s">
        <v>1306</v>
      </c>
      <c r="G1332" s="6"/>
    </row>
    <row r="1333" spans="2:7">
      <c r="B1333" s="18"/>
      <c r="C1333" s="39" t="s">
        <v>1196</v>
      </c>
      <c r="G1333" s="6"/>
    </row>
    <row r="1334" spans="2:7">
      <c r="B1334" s="18"/>
      <c r="C1334" s="39" t="s">
        <v>1193</v>
      </c>
      <c r="G1334" s="6"/>
    </row>
    <row r="1335" spans="2:7">
      <c r="B1335" s="18"/>
      <c r="C1335" s="39" t="s">
        <v>1307</v>
      </c>
      <c r="G1335" s="6"/>
    </row>
    <row r="1336" spans="2:7">
      <c r="B1336" s="18"/>
      <c r="C1336" s="39" t="s">
        <v>1308</v>
      </c>
      <c r="G1336" s="6"/>
    </row>
    <row r="1337" spans="2:7">
      <c r="B1337" s="18"/>
      <c r="C1337" s="39" t="s">
        <v>1109</v>
      </c>
      <c r="G1337" s="6"/>
    </row>
    <row r="1338" spans="2:7">
      <c r="B1338" s="18"/>
      <c r="C1338" s="39"/>
      <c r="G1338" s="6"/>
    </row>
    <row r="1339" spans="2:7">
      <c r="B1339" s="18"/>
      <c r="G1339" s="6"/>
    </row>
    <row r="1340" spans="2:7">
      <c r="B1340" s="18"/>
      <c r="C1340" s="1" t="s">
        <v>21</v>
      </c>
      <c r="G1340" s="6"/>
    </row>
    <row r="1341" spans="2:7">
      <c r="B1341" s="18" t="s">
        <v>336</v>
      </c>
      <c r="C1341" s="66" t="s">
        <v>33</v>
      </c>
      <c r="G1341" s="6"/>
    </row>
    <row r="1342" spans="2:7">
      <c r="B1342" s="18"/>
      <c r="C1342" s="1"/>
      <c r="G1342" s="6"/>
    </row>
    <row r="1343" spans="2:7">
      <c r="B1343" s="18"/>
      <c r="C1343" s="1" t="s">
        <v>337</v>
      </c>
      <c r="G1343" s="6"/>
    </row>
    <row r="1344" spans="2:7">
      <c r="B1344" s="82" t="s">
        <v>336</v>
      </c>
      <c r="C1344" s="154" t="s">
        <v>236</v>
      </c>
      <c r="G1344" s="6"/>
    </row>
    <row r="1345" spans="2:7">
      <c r="B1345" s="18"/>
      <c r="G1345" s="6"/>
    </row>
    <row r="1346" spans="2:7">
      <c r="B1346" s="18"/>
      <c r="C1346" s="1" t="s">
        <v>22</v>
      </c>
      <c r="G1346" s="6"/>
    </row>
    <row r="1347" spans="2:7">
      <c r="B1347" s="82" t="s">
        <v>336</v>
      </c>
      <c r="C1347" s="66" t="s">
        <v>236</v>
      </c>
      <c r="G1347" s="6"/>
    </row>
    <row r="1348" spans="2:7">
      <c r="B1348" s="82"/>
      <c r="G1348" s="6"/>
    </row>
    <row r="1349" spans="2:7">
      <c r="B1349" s="82"/>
      <c r="G1349" s="6"/>
    </row>
    <row r="1350" spans="2:7">
      <c r="B1350" s="18"/>
      <c r="C1350" s="1" t="s">
        <v>23</v>
      </c>
      <c r="G1350" s="6"/>
    </row>
    <row r="1351" spans="2:7">
      <c r="B1351" s="18"/>
      <c r="C1351" s="66" t="s">
        <v>339</v>
      </c>
      <c r="G1351" s="6"/>
    </row>
    <row r="1352" spans="2:7" ht="13.5" thickBot="1">
      <c r="B1352" s="19"/>
      <c r="C1352" s="20"/>
      <c r="D1352" s="20"/>
      <c r="E1352" s="8"/>
      <c r="F1352" s="20"/>
      <c r="G1352" s="9"/>
    </row>
  </sheetData>
  <mergeCells count="26">
    <mergeCell ref="B305:G305"/>
    <mergeCell ref="B359:G359"/>
    <mergeCell ref="B412:G412"/>
    <mergeCell ref="B459:G459"/>
    <mergeCell ref="B255:G255"/>
    <mergeCell ref="B2:G2"/>
    <mergeCell ref="B54:G54"/>
    <mergeCell ref="B105:G105"/>
    <mergeCell ref="B161:G161"/>
    <mergeCell ref="B207:G207"/>
    <mergeCell ref="B1302:G1302"/>
    <mergeCell ref="B1244:G1244"/>
    <mergeCell ref="B508:G508"/>
    <mergeCell ref="B663:G663"/>
    <mergeCell ref="B714:G714"/>
    <mergeCell ref="B767:G767"/>
    <mergeCell ref="B974:G974"/>
    <mergeCell ref="B923:G923"/>
    <mergeCell ref="B873:G873"/>
    <mergeCell ref="B818:G818"/>
    <mergeCell ref="B1188:G1188"/>
    <mergeCell ref="B1134:G1134"/>
    <mergeCell ref="B1081:G1081"/>
    <mergeCell ref="B1031:G1031"/>
    <mergeCell ref="B555:G555"/>
    <mergeCell ref="B609:G609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Z1428"/>
  <sheetViews>
    <sheetView topLeftCell="A1376" workbookViewId="0">
      <selection activeCell="C1392" sqref="C1392:C1405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  <col min="9" max="9" width="11.42578125" style="197"/>
    <col min="11" max="12" width="10.85546875" style="1"/>
  </cols>
  <sheetData>
    <row r="1" spans="2:7" ht="13.5" thickBot="1"/>
    <row r="2" spans="2:7" ht="13.5" thickBot="1">
      <c r="B2" s="236">
        <v>45003</v>
      </c>
      <c r="C2" s="237"/>
      <c r="D2" s="237"/>
      <c r="E2" s="237"/>
      <c r="F2" s="237"/>
      <c r="G2" s="238"/>
    </row>
    <row r="3" spans="2:7" ht="13.5" thickBot="1">
      <c r="B3" s="18"/>
      <c r="G3" s="6"/>
    </row>
    <row r="4" spans="2:7">
      <c r="B4" s="18"/>
      <c r="C4" s="21" t="s">
        <v>27</v>
      </c>
      <c r="D4" s="16"/>
      <c r="E4" s="80" t="s">
        <v>62</v>
      </c>
      <c r="F4" s="4">
        <v>52</v>
      </c>
      <c r="G4" s="6"/>
    </row>
    <row r="5" spans="2:7" ht="13.5" thickBot="1">
      <c r="B5" s="18"/>
      <c r="C5" s="7"/>
      <c r="D5" s="20"/>
      <c r="E5" s="83" t="s">
        <v>1</v>
      </c>
      <c r="F5" s="22">
        <v>12</v>
      </c>
      <c r="G5" s="6"/>
    </row>
    <row r="6" spans="2:7" ht="13.5" thickBot="1">
      <c r="B6" s="18"/>
      <c r="G6" s="6"/>
    </row>
    <row r="7" spans="2:7">
      <c r="B7" s="18"/>
      <c r="C7" s="3" t="s">
        <v>4</v>
      </c>
      <c r="D7" s="16"/>
      <c r="E7" s="80" t="s">
        <v>62</v>
      </c>
      <c r="F7" s="17"/>
      <c r="G7" s="6"/>
    </row>
    <row r="8" spans="2:7">
      <c r="B8" s="18"/>
      <c r="C8" s="5" t="s">
        <v>2</v>
      </c>
      <c r="E8" s="39" t="s">
        <v>326</v>
      </c>
      <c r="F8" s="6"/>
      <c r="G8" s="6"/>
    </row>
    <row r="9" spans="2:7" ht="13.5" thickBot="1">
      <c r="B9" s="18"/>
      <c r="C9" s="7" t="s">
        <v>3</v>
      </c>
      <c r="D9" s="20"/>
      <c r="E9" s="81" t="s">
        <v>344</v>
      </c>
      <c r="F9" s="9"/>
      <c r="G9" s="6"/>
    </row>
    <row r="10" spans="2:7" ht="13.5" thickBot="1">
      <c r="B10" s="18"/>
      <c r="G10" s="6"/>
    </row>
    <row r="11" spans="2:7" ht="13.5" thickBot="1">
      <c r="B11" s="18"/>
      <c r="C11" s="23" t="s">
        <v>29</v>
      </c>
      <c r="D11" s="24"/>
      <c r="E11" s="87" t="s">
        <v>255</v>
      </c>
      <c r="F11" s="25"/>
      <c r="G11" s="6"/>
    </row>
    <row r="12" spans="2:7">
      <c r="B12" s="18"/>
      <c r="G12" s="6"/>
    </row>
    <row r="13" spans="2:7">
      <c r="B13" s="18"/>
      <c r="C13" t="s">
        <v>5</v>
      </c>
      <c r="G13" s="6"/>
    </row>
    <row r="14" spans="2:7">
      <c r="B14" s="18"/>
      <c r="G14" s="6"/>
    </row>
    <row r="15" spans="2:7">
      <c r="B15" s="5">
        <v>1</v>
      </c>
      <c r="C15" s="39" t="s">
        <v>327</v>
      </c>
      <c r="G15" s="6"/>
    </row>
    <row r="16" spans="2:7">
      <c r="B16" s="5">
        <v>2</v>
      </c>
      <c r="C16" s="39" t="s">
        <v>1113</v>
      </c>
      <c r="G16" s="6"/>
    </row>
    <row r="17" spans="2:7">
      <c r="B17" s="5">
        <v>3</v>
      </c>
      <c r="C17" s="39" t="s">
        <v>1314</v>
      </c>
      <c r="G17" s="6"/>
    </row>
    <row r="18" spans="2:7">
      <c r="B18" s="5">
        <v>4</v>
      </c>
      <c r="C18" s="39" t="s">
        <v>1106</v>
      </c>
      <c r="G18" s="6"/>
    </row>
    <row r="19" spans="2:7">
      <c r="B19" s="5">
        <v>5</v>
      </c>
      <c r="C19" s="39" t="s">
        <v>207</v>
      </c>
      <c r="G19" s="6"/>
    </row>
    <row r="20" spans="2:7">
      <c r="B20" s="5">
        <v>6</v>
      </c>
      <c r="C20" s="39" t="s">
        <v>211</v>
      </c>
      <c r="G20" s="6"/>
    </row>
    <row r="21" spans="2:7">
      <c r="B21" s="5">
        <v>7</v>
      </c>
      <c r="C21" s="39" t="s">
        <v>1315</v>
      </c>
      <c r="G21" s="6"/>
    </row>
    <row r="22" spans="2:7">
      <c r="B22" s="5">
        <v>8</v>
      </c>
      <c r="C22" s="39" t="s">
        <v>33</v>
      </c>
      <c r="G22" s="6"/>
    </row>
    <row r="23" spans="2:7">
      <c r="B23" s="5">
        <v>9</v>
      </c>
      <c r="C23" s="39" t="s">
        <v>234</v>
      </c>
      <c r="G23" s="6"/>
    </row>
    <row r="24" spans="2:7">
      <c r="B24" s="5">
        <v>10</v>
      </c>
      <c r="C24" s="39" t="s">
        <v>607</v>
      </c>
      <c r="G24" s="6"/>
    </row>
    <row r="25" spans="2:7">
      <c r="B25" s="5">
        <v>11</v>
      </c>
      <c r="C25" s="39" t="s">
        <v>1240</v>
      </c>
      <c r="G25" s="6"/>
    </row>
    <row r="26" spans="2:7">
      <c r="B26" s="5">
        <v>12</v>
      </c>
      <c r="C26" s="39" t="s">
        <v>214</v>
      </c>
      <c r="G26" s="6"/>
    </row>
    <row r="27" spans="2:7">
      <c r="B27" s="5">
        <v>13</v>
      </c>
      <c r="C27" s="39" t="s">
        <v>144</v>
      </c>
      <c r="G27" s="6"/>
    </row>
    <row r="28" spans="2:7">
      <c r="B28" s="5">
        <v>14</v>
      </c>
      <c r="C28" s="39" t="s">
        <v>1245</v>
      </c>
      <c r="G28" s="6"/>
    </row>
    <row r="29" spans="2:7">
      <c r="B29" s="5">
        <v>15</v>
      </c>
      <c r="C29" s="39" t="s">
        <v>1198</v>
      </c>
      <c r="G29" s="6"/>
    </row>
    <row r="30" spans="2:7">
      <c r="B30" s="18"/>
      <c r="G30" s="6"/>
    </row>
    <row r="31" spans="2:7">
      <c r="B31" s="18"/>
      <c r="C31" s="39" t="s">
        <v>325</v>
      </c>
      <c r="G31" s="6"/>
    </row>
    <row r="32" spans="2:7">
      <c r="B32" s="18"/>
      <c r="C32" s="39" t="s">
        <v>1169</v>
      </c>
      <c r="G32" s="6"/>
    </row>
    <row r="33" spans="2:7">
      <c r="B33" s="18"/>
      <c r="C33" s="39" t="s">
        <v>1298</v>
      </c>
      <c r="G33" s="6"/>
    </row>
    <row r="34" spans="2:7">
      <c r="B34" s="18"/>
      <c r="C34" s="39" t="s">
        <v>1316</v>
      </c>
      <c r="G34" s="6"/>
    </row>
    <row r="35" spans="2:7">
      <c r="B35" s="18"/>
      <c r="C35" s="39" t="s">
        <v>1238</v>
      </c>
      <c r="G35" s="6"/>
    </row>
    <row r="36" spans="2:7">
      <c r="B36" s="18"/>
      <c r="G36" s="6"/>
    </row>
    <row r="37" spans="2:7">
      <c r="B37" s="18"/>
      <c r="C37" s="2" t="s">
        <v>21</v>
      </c>
      <c r="G37" s="6"/>
    </row>
    <row r="38" spans="2:7">
      <c r="B38" s="82" t="s">
        <v>336</v>
      </c>
      <c r="C38" s="39" t="s">
        <v>142</v>
      </c>
      <c r="G38" s="6"/>
    </row>
    <row r="39" spans="2:7">
      <c r="B39" s="82" t="s">
        <v>336</v>
      </c>
      <c r="C39" s="39" t="s">
        <v>1096</v>
      </c>
      <c r="G39" s="6"/>
    </row>
    <row r="40" spans="2:7">
      <c r="B40" s="18"/>
      <c r="C40" s="39"/>
      <c r="G40" s="6"/>
    </row>
    <row r="41" spans="2:7">
      <c r="B41" s="18"/>
      <c r="C41" s="15" t="s">
        <v>337</v>
      </c>
      <c r="G41" s="6"/>
    </row>
    <row r="42" spans="2:7">
      <c r="B42" s="82" t="s">
        <v>336</v>
      </c>
      <c r="C42" s="39" t="s">
        <v>236</v>
      </c>
      <c r="G42" s="6"/>
    </row>
    <row r="43" spans="2:7">
      <c r="B43" s="18"/>
      <c r="G43" s="6"/>
    </row>
    <row r="44" spans="2:7">
      <c r="B44" s="18"/>
      <c r="C44" s="1" t="s">
        <v>22</v>
      </c>
      <c r="G44" s="6"/>
    </row>
    <row r="45" spans="2:7">
      <c r="B45" s="82"/>
      <c r="C45" t="s">
        <v>339</v>
      </c>
      <c r="G45" s="6"/>
    </row>
    <row r="46" spans="2:7">
      <c r="B46" s="18"/>
      <c r="G46" s="6"/>
    </row>
    <row r="47" spans="2:7">
      <c r="B47" s="18"/>
      <c r="C47" s="1" t="s">
        <v>23</v>
      </c>
      <c r="G47" s="6"/>
    </row>
    <row r="48" spans="2:7">
      <c r="B48" s="18" t="s">
        <v>336</v>
      </c>
      <c r="C48" s="66" t="s">
        <v>207</v>
      </c>
      <c r="G48" s="6"/>
    </row>
    <row r="49" spans="2:7" ht="13.5" thickBot="1">
      <c r="B49" s="19"/>
      <c r="C49" s="20"/>
      <c r="D49" s="20"/>
      <c r="E49" s="8"/>
      <c r="F49" s="20"/>
      <c r="G49" s="9"/>
    </row>
    <row r="51" spans="2:7" ht="13.5" thickBot="1"/>
    <row r="52" spans="2:7" ht="13.5" thickBot="1">
      <c r="B52" s="236">
        <v>45010</v>
      </c>
      <c r="C52" s="237"/>
      <c r="D52" s="237"/>
      <c r="E52" s="237"/>
      <c r="F52" s="237"/>
      <c r="G52" s="238"/>
    </row>
    <row r="53" spans="2:7" ht="13.5" thickBot="1">
      <c r="B53" s="18"/>
      <c r="G53" s="6"/>
    </row>
    <row r="54" spans="2:7">
      <c r="B54" s="18"/>
      <c r="C54" s="21" t="s">
        <v>27</v>
      </c>
      <c r="D54" s="16"/>
      <c r="E54" s="80" t="s">
        <v>47</v>
      </c>
      <c r="F54" s="4">
        <v>21</v>
      </c>
      <c r="G54" s="6"/>
    </row>
    <row r="55" spans="2:7" ht="13.5" thickBot="1">
      <c r="B55" s="18"/>
      <c r="C55" s="7"/>
      <c r="D55" s="20"/>
      <c r="E55" s="83" t="s">
        <v>1</v>
      </c>
      <c r="F55" s="22">
        <v>20</v>
      </c>
      <c r="G55" s="6"/>
    </row>
    <row r="56" spans="2:7" ht="13.5" thickBot="1">
      <c r="B56" s="18"/>
      <c r="G56" s="6"/>
    </row>
    <row r="57" spans="2:7">
      <c r="B57" s="18"/>
      <c r="C57" s="3" t="s">
        <v>4</v>
      </c>
      <c r="D57" s="16"/>
      <c r="E57" s="80" t="s">
        <v>47</v>
      </c>
      <c r="F57" s="17"/>
      <c r="G57" s="6"/>
    </row>
    <row r="58" spans="2:7">
      <c r="B58" s="18"/>
      <c r="C58" s="5" t="s">
        <v>2</v>
      </c>
      <c r="E58" s="39" t="s">
        <v>326</v>
      </c>
      <c r="F58" s="6"/>
      <c r="G58" s="6"/>
    </row>
    <row r="59" spans="2:7" ht="13.5" thickBot="1">
      <c r="B59" s="18"/>
      <c r="C59" s="7" t="s">
        <v>3</v>
      </c>
      <c r="D59" s="20"/>
      <c r="E59" s="81" t="s">
        <v>326</v>
      </c>
      <c r="F59" s="9"/>
      <c r="G59" s="6"/>
    </row>
    <row r="60" spans="2:7" ht="13.5" thickBot="1">
      <c r="B60" s="18"/>
      <c r="G60" s="6"/>
    </row>
    <row r="61" spans="2:7" ht="13.5" thickBot="1">
      <c r="B61" s="18"/>
      <c r="C61" s="23" t="s">
        <v>29</v>
      </c>
      <c r="D61" s="24"/>
      <c r="E61" s="87" t="s">
        <v>1317</v>
      </c>
      <c r="F61" s="25"/>
      <c r="G61" s="6"/>
    </row>
    <row r="62" spans="2:7">
      <c r="B62" s="18"/>
      <c r="G62" s="6"/>
    </row>
    <row r="63" spans="2:7">
      <c r="B63" s="18"/>
      <c r="C63" t="s">
        <v>5</v>
      </c>
      <c r="G63" s="6"/>
    </row>
    <row r="64" spans="2:7">
      <c r="B64" s="18"/>
      <c r="G64" s="6"/>
    </row>
    <row r="65" spans="2:7">
      <c r="B65" s="5">
        <v>1</v>
      </c>
      <c r="C65" s="39" t="s">
        <v>11</v>
      </c>
      <c r="G65" s="6"/>
    </row>
    <row r="66" spans="2:7">
      <c r="B66" s="5">
        <v>2</v>
      </c>
      <c r="C66" s="39" t="s">
        <v>1113</v>
      </c>
      <c r="G66" s="6"/>
    </row>
    <row r="67" spans="2:7">
      <c r="B67" s="5">
        <v>3</v>
      </c>
      <c r="C67" s="39" t="s">
        <v>1314</v>
      </c>
      <c r="G67" s="6"/>
    </row>
    <row r="68" spans="2:7">
      <c r="B68" s="5">
        <v>4</v>
      </c>
      <c r="C68" s="39" t="s">
        <v>1106</v>
      </c>
      <c r="G68" s="6"/>
    </row>
    <row r="69" spans="2:7">
      <c r="B69" s="5">
        <v>5</v>
      </c>
      <c r="C69" s="39" t="s">
        <v>207</v>
      </c>
      <c r="G69" s="6"/>
    </row>
    <row r="70" spans="2:7">
      <c r="B70" s="5">
        <v>6</v>
      </c>
      <c r="C70" s="39" t="s">
        <v>211</v>
      </c>
      <c r="G70" s="6"/>
    </row>
    <row r="71" spans="2:7">
      <c r="B71" s="5">
        <v>7</v>
      </c>
      <c r="C71" s="39" t="s">
        <v>1315</v>
      </c>
      <c r="G71" s="6"/>
    </row>
    <row r="72" spans="2:7">
      <c r="B72" s="5">
        <v>8</v>
      </c>
      <c r="C72" s="39" t="s">
        <v>33</v>
      </c>
      <c r="G72" s="6"/>
    </row>
    <row r="73" spans="2:7">
      <c r="B73" s="5">
        <v>9</v>
      </c>
      <c r="C73" s="39" t="s">
        <v>234</v>
      </c>
      <c r="G73" s="6"/>
    </row>
    <row r="74" spans="2:7">
      <c r="B74" s="5">
        <v>10</v>
      </c>
      <c r="C74" s="39" t="s">
        <v>1112</v>
      </c>
      <c r="G74" s="6"/>
    </row>
    <row r="75" spans="2:7">
      <c r="B75" s="5">
        <v>11</v>
      </c>
      <c r="C75" s="39" t="s">
        <v>1240</v>
      </c>
      <c r="G75" s="6"/>
    </row>
    <row r="76" spans="2:7">
      <c r="B76" s="5">
        <v>12</v>
      </c>
      <c r="C76" s="39" t="s">
        <v>142</v>
      </c>
      <c r="G76" s="6"/>
    </row>
    <row r="77" spans="2:7">
      <c r="B77" s="5">
        <v>13</v>
      </c>
      <c r="C77" s="39" t="s">
        <v>144</v>
      </c>
      <c r="G77" s="6"/>
    </row>
    <row r="78" spans="2:7">
      <c r="B78" s="5">
        <v>14</v>
      </c>
      <c r="C78" s="39" t="s">
        <v>214</v>
      </c>
      <c r="G78" s="6"/>
    </row>
    <row r="79" spans="2:7">
      <c r="B79" s="5">
        <v>15</v>
      </c>
      <c r="C79" s="39" t="s">
        <v>1198</v>
      </c>
      <c r="G79" s="6"/>
    </row>
    <row r="80" spans="2:7">
      <c r="B80" s="18"/>
      <c r="G80" s="6"/>
    </row>
    <row r="81" spans="2:7">
      <c r="B81" s="18"/>
      <c r="C81" s="39" t="s">
        <v>325</v>
      </c>
      <c r="G81" s="6"/>
    </row>
    <row r="82" spans="2:7">
      <c r="B82" s="18"/>
      <c r="C82" s="39" t="s">
        <v>1318</v>
      </c>
      <c r="G82" s="6"/>
    </row>
    <row r="83" spans="2:7">
      <c r="B83" s="18"/>
      <c r="C83" s="39" t="s">
        <v>1319</v>
      </c>
      <c r="G83" s="6"/>
    </row>
    <row r="84" spans="2:7">
      <c r="B84" s="18"/>
      <c r="C84" s="39" t="s">
        <v>1323</v>
      </c>
      <c r="G84" s="6"/>
    </row>
    <row r="85" spans="2:7">
      <c r="B85" s="18"/>
      <c r="C85" s="39" t="s">
        <v>1321</v>
      </c>
      <c r="G85" s="6"/>
    </row>
    <row r="86" spans="2:7">
      <c r="B86" s="18"/>
      <c r="C86" s="39" t="s">
        <v>1322</v>
      </c>
      <c r="G86" s="6"/>
    </row>
    <row r="87" spans="2:7">
      <c r="B87" s="18"/>
      <c r="C87" s="39"/>
      <c r="G87" s="6"/>
    </row>
    <row r="88" spans="2:7">
      <c r="B88" s="18"/>
      <c r="G88" s="6"/>
    </row>
    <row r="89" spans="2:7">
      <c r="B89" s="18"/>
      <c r="C89" s="2" t="s">
        <v>21</v>
      </c>
      <c r="G89" s="6"/>
    </row>
    <row r="90" spans="2:7">
      <c r="B90" s="82" t="s">
        <v>336</v>
      </c>
      <c r="C90" s="39" t="s">
        <v>607</v>
      </c>
      <c r="G90" s="6"/>
    </row>
    <row r="91" spans="2:7">
      <c r="B91" s="82" t="s">
        <v>336</v>
      </c>
      <c r="C91" s="39" t="s">
        <v>33</v>
      </c>
      <c r="G91" s="6"/>
    </row>
    <row r="92" spans="2:7">
      <c r="B92" s="82" t="s">
        <v>336</v>
      </c>
      <c r="C92" s="39" t="s">
        <v>214</v>
      </c>
      <c r="G92" s="6"/>
    </row>
    <row r="93" spans="2:7">
      <c r="B93" s="18"/>
      <c r="C93" s="39"/>
      <c r="G93" s="6"/>
    </row>
    <row r="94" spans="2:7">
      <c r="B94" s="18"/>
      <c r="C94" s="15" t="s">
        <v>337</v>
      </c>
      <c r="G94" s="6"/>
    </row>
    <row r="95" spans="2:7">
      <c r="B95" s="82" t="s">
        <v>336</v>
      </c>
      <c r="C95" s="39" t="s">
        <v>236</v>
      </c>
      <c r="G95" s="6"/>
    </row>
    <row r="96" spans="2:7">
      <c r="B96" s="18"/>
      <c r="G96" s="6"/>
    </row>
    <row r="97" spans="2:7">
      <c r="B97" s="18"/>
      <c r="C97" s="1" t="s">
        <v>22</v>
      </c>
      <c r="G97" s="6"/>
    </row>
    <row r="98" spans="2:7">
      <c r="B98" s="82" t="s">
        <v>336</v>
      </c>
      <c r="C98" s="39" t="s">
        <v>236</v>
      </c>
      <c r="G98" s="6"/>
    </row>
    <row r="99" spans="2:7">
      <c r="B99" s="18"/>
      <c r="G99" s="6"/>
    </row>
    <row r="100" spans="2:7">
      <c r="B100" s="18"/>
      <c r="C100" s="1" t="s">
        <v>23</v>
      </c>
      <c r="G100" s="6"/>
    </row>
    <row r="101" spans="2:7">
      <c r="B101" s="18" t="s">
        <v>336</v>
      </c>
      <c r="C101" s="66" t="s">
        <v>1315</v>
      </c>
      <c r="G101" s="6"/>
    </row>
    <row r="102" spans="2:7" ht="13.5" thickBot="1">
      <c r="B102" s="19"/>
      <c r="C102" s="20"/>
      <c r="D102" s="20"/>
      <c r="E102" s="8"/>
      <c r="F102" s="20"/>
      <c r="G102" s="9"/>
    </row>
    <row r="104" spans="2:7" ht="13.5" thickBot="1"/>
    <row r="105" spans="2:7" ht="13.5" thickBot="1">
      <c r="B105" s="236">
        <v>45017</v>
      </c>
      <c r="C105" s="237"/>
      <c r="D105" s="237"/>
      <c r="E105" s="237"/>
      <c r="F105" s="237"/>
      <c r="G105" s="238"/>
    </row>
    <row r="106" spans="2:7" ht="13.5" thickBot="1">
      <c r="B106" s="18"/>
      <c r="G106" s="6"/>
    </row>
    <row r="107" spans="2:7">
      <c r="B107" s="18"/>
      <c r="C107" s="21" t="s">
        <v>27</v>
      </c>
      <c r="D107" s="16"/>
      <c r="E107" s="80" t="s">
        <v>1</v>
      </c>
      <c r="F107" s="4">
        <v>25</v>
      </c>
      <c r="G107" s="6"/>
    </row>
    <row r="108" spans="2:7" ht="13.5" thickBot="1">
      <c r="B108" s="18"/>
      <c r="C108" s="7"/>
      <c r="D108" s="20"/>
      <c r="E108" s="83" t="s">
        <v>74</v>
      </c>
      <c r="F108" s="22">
        <v>27</v>
      </c>
      <c r="G108" s="6"/>
    </row>
    <row r="109" spans="2:7" ht="13.5" thickBot="1">
      <c r="B109" s="18"/>
      <c r="G109" s="6"/>
    </row>
    <row r="110" spans="2:7">
      <c r="B110" s="18"/>
      <c r="C110" s="3" t="s">
        <v>4</v>
      </c>
      <c r="D110" s="16"/>
      <c r="E110" s="80" t="s">
        <v>1</v>
      </c>
      <c r="F110" s="84" t="s">
        <v>205</v>
      </c>
      <c r="G110" s="6"/>
    </row>
    <row r="111" spans="2:7">
      <c r="B111" s="18"/>
      <c r="C111" s="5" t="s">
        <v>2</v>
      </c>
      <c r="E111" s="39" t="s">
        <v>326</v>
      </c>
      <c r="F111" s="6"/>
      <c r="G111" s="6"/>
    </row>
    <row r="112" spans="2:7" ht="13.5" thickBot="1">
      <c r="B112" s="18"/>
      <c r="C112" s="7" t="s">
        <v>3</v>
      </c>
      <c r="D112" s="20"/>
      <c r="E112" s="81" t="s">
        <v>326</v>
      </c>
      <c r="F112" s="9"/>
      <c r="G112" s="6"/>
    </row>
    <row r="113" spans="2:7" ht="13.5" thickBot="1">
      <c r="B113" s="18"/>
      <c r="G113" s="6"/>
    </row>
    <row r="114" spans="2:7" ht="13.5" thickBot="1">
      <c r="B114" s="18"/>
      <c r="C114" s="23" t="s">
        <v>29</v>
      </c>
      <c r="D114" s="24"/>
      <c r="E114" s="87" t="s">
        <v>1325</v>
      </c>
      <c r="F114" s="25"/>
      <c r="G114" s="6"/>
    </row>
    <row r="115" spans="2:7">
      <c r="B115" s="18"/>
      <c r="G115" s="6"/>
    </row>
    <row r="116" spans="2:7">
      <c r="B116" s="18"/>
      <c r="C116" t="s">
        <v>5</v>
      </c>
      <c r="G116" s="6"/>
    </row>
    <row r="117" spans="2:7">
      <c r="B117" s="18"/>
      <c r="G117" s="6"/>
    </row>
    <row r="118" spans="2:7">
      <c r="B118" s="5">
        <v>1</v>
      </c>
      <c r="C118" s="39" t="s">
        <v>1172</v>
      </c>
      <c r="G118" s="6"/>
    </row>
    <row r="119" spans="2:7">
      <c r="B119" s="5">
        <v>2</v>
      </c>
      <c r="C119" s="39" t="s">
        <v>1113</v>
      </c>
      <c r="G119" s="6"/>
    </row>
    <row r="120" spans="2:7">
      <c r="B120" s="5">
        <v>3</v>
      </c>
      <c r="C120" s="39" t="s">
        <v>1314</v>
      </c>
      <c r="G120" s="6"/>
    </row>
    <row r="121" spans="2:7">
      <c r="B121" s="5">
        <v>4</v>
      </c>
      <c r="C121" s="39" t="s">
        <v>1320</v>
      </c>
      <c r="G121" s="6"/>
    </row>
    <row r="122" spans="2:7">
      <c r="B122" s="5">
        <v>5</v>
      </c>
      <c r="C122" s="39" t="s">
        <v>207</v>
      </c>
      <c r="G122" s="6"/>
    </row>
    <row r="123" spans="2:7">
      <c r="B123" s="5">
        <v>6</v>
      </c>
      <c r="C123" s="39" t="s">
        <v>1324</v>
      </c>
      <c r="G123" s="6"/>
    </row>
    <row r="124" spans="2:7">
      <c r="B124" s="5">
        <v>7</v>
      </c>
      <c r="C124" s="39" t="s">
        <v>1315</v>
      </c>
      <c r="G124" s="6"/>
    </row>
    <row r="125" spans="2:7">
      <c r="B125" s="5">
        <v>8</v>
      </c>
      <c r="C125" s="39" t="s">
        <v>33</v>
      </c>
      <c r="G125" s="6"/>
    </row>
    <row r="126" spans="2:7">
      <c r="B126" s="5">
        <v>9</v>
      </c>
      <c r="C126" s="39" t="s">
        <v>234</v>
      </c>
      <c r="G126" s="6"/>
    </row>
    <row r="127" spans="2:7">
      <c r="B127" s="5">
        <v>10</v>
      </c>
      <c r="C127" s="39" t="s">
        <v>607</v>
      </c>
      <c r="G127" s="6"/>
    </row>
    <row r="128" spans="2:7">
      <c r="B128" s="5">
        <v>11</v>
      </c>
      <c r="C128" s="39" t="s">
        <v>1151</v>
      </c>
      <c r="G128" s="6"/>
    </row>
    <row r="129" spans="2:7">
      <c r="B129" s="5">
        <v>12</v>
      </c>
      <c r="C129" s="39" t="s">
        <v>1112</v>
      </c>
      <c r="G129" s="6"/>
    </row>
    <row r="130" spans="2:7">
      <c r="B130" s="5">
        <v>13</v>
      </c>
      <c r="C130" s="39" t="s">
        <v>214</v>
      </c>
      <c r="G130" s="6"/>
    </row>
    <row r="131" spans="2:7">
      <c r="B131" s="5">
        <v>14</v>
      </c>
      <c r="C131" s="39" t="s">
        <v>144</v>
      </c>
      <c r="G131" s="6"/>
    </row>
    <row r="132" spans="2:7">
      <c r="B132" s="5">
        <v>15</v>
      </c>
      <c r="C132" s="39" t="s">
        <v>1198</v>
      </c>
      <c r="G132" s="6"/>
    </row>
    <row r="133" spans="2:7">
      <c r="B133" s="18"/>
      <c r="G133" s="6"/>
    </row>
    <row r="134" spans="2:7">
      <c r="B134" s="18"/>
      <c r="C134" s="39" t="s">
        <v>325</v>
      </c>
      <c r="G134" s="6"/>
    </row>
    <row r="135" spans="2:7">
      <c r="B135" s="18"/>
      <c r="C135" s="39" t="s">
        <v>1160</v>
      </c>
      <c r="G135" s="6"/>
    </row>
    <row r="136" spans="2:7">
      <c r="B136" s="18"/>
      <c r="C136" s="39" t="s">
        <v>1326</v>
      </c>
      <c r="G136" s="6"/>
    </row>
    <row r="137" spans="2:7">
      <c r="B137" s="18"/>
      <c r="C137" s="39" t="s">
        <v>1327</v>
      </c>
      <c r="G137" s="6"/>
    </row>
    <row r="138" spans="2:7">
      <c r="B138" s="18"/>
      <c r="C138" s="39" t="s">
        <v>1328</v>
      </c>
      <c r="G138" s="6"/>
    </row>
    <row r="139" spans="2:7">
      <c r="B139" s="18"/>
      <c r="C139" s="39"/>
      <c r="G139" s="6"/>
    </row>
    <row r="140" spans="2:7">
      <c r="B140" s="18"/>
      <c r="G140" s="6"/>
    </row>
    <row r="141" spans="2:7">
      <c r="B141" s="18"/>
      <c r="C141" s="2" t="s">
        <v>21</v>
      </c>
      <c r="G141" s="6"/>
    </row>
    <row r="142" spans="2:7">
      <c r="B142" s="82" t="s">
        <v>336</v>
      </c>
      <c r="C142" s="39" t="s">
        <v>607</v>
      </c>
      <c r="G142" s="6"/>
    </row>
    <row r="143" spans="2:7">
      <c r="B143" s="82" t="s">
        <v>336</v>
      </c>
      <c r="C143" s="39" t="s">
        <v>1096</v>
      </c>
      <c r="G143" s="6"/>
    </row>
    <row r="144" spans="2:7">
      <c r="B144" s="82" t="s">
        <v>336</v>
      </c>
      <c r="C144" s="39" t="s">
        <v>1151</v>
      </c>
      <c r="G144" s="6"/>
    </row>
    <row r="145" spans="2:7">
      <c r="B145" s="18"/>
      <c r="C145" s="39"/>
      <c r="G145" s="6"/>
    </row>
    <row r="146" spans="2:7">
      <c r="B146" s="18"/>
      <c r="C146" s="15" t="s">
        <v>337</v>
      </c>
      <c r="G146" s="6"/>
    </row>
    <row r="147" spans="2:7">
      <c r="B147" s="82" t="s">
        <v>352</v>
      </c>
      <c r="C147" s="39" t="s">
        <v>236</v>
      </c>
      <c r="G147" s="6"/>
    </row>
    <row r="148" spans="2:7">
      <c r="B148" s="18"/>
      <c r="G148" s="6"/>
    </row>
    <row r="149" spans="2:7">
      <c r="B149" s="18"/>
      <c r="C149" s="1" t="s">
        <v>22</v>
      </c>
      <c r="G149" s="6"/>
    </row>
    <row r="150" spans="2:7">
      <c r="B150" s="82" t="s">
        <v>352</v>
      </c>
      <c r="C150" s="39" t="s">
        <v>236</v>
      </c>
      <c r="G150" s="6"/>
    </row>
    <row r="151" spans="2:7">
      <c r="B151" s="18"/>
      <c r="G151" s="6"/>
    </row>
    <row r="152" spans="2:7">
      <c r="B152" s="18"/>
      <c r="C152" s="1" t="s">
        <v>23</v>
      </c>
      <c r="G152" s="6"/>
    </row>
    <row r="153" spans="2:7">
      <c r="B153" s="18"/>
      <c r="C153" s="66" t="s">
        <v>339</v>
      </c>
      <c r="G153" s="6"/>
    </row>
    <row r="154" spans="2:7" ht="13.5" thickBot="1">
      <c r="B154" s="19"/>
      <c r="C154" s="20"/>
      <c r="D154" s="20"/>
      <c r="E154" s="8"/>
      <c r="F154" s="20"/>
      <c r="G154" s="9"/>
    </row>
    <row r="156" spans="2:7" ht="13.5" thickBot="1"/>
    <row r="157" spans="2:7" ht="13.5" thickBot="1">
      <c r="B157" s="236">
        <v>45031</v>
      </c>
      <c r="C157" s="237"/>
      <c r="D157" s="237"/>
      <c r="E157" s="237"/>
      <c r="F157" s="237"/>
      <c r="G157" s="238"/>
    </row>
    <row r="158" spans="2:7" ht="13.5" thickBot="1">
      <c r="B158" s="18"/>
      <c r="G158" s="6"/>
    </row>
    <row r="159" spans="2:7">
      <c r="B159" s="18"/>
      <c r="C159" s="21" t="s">
        <v>27</v>
      </c>
      <c r="D159" s="16"/>
      <c r="E159" s="80" t="s">
        <v>170</v>
      </c>
      <c r="F159" s="4">
        <v>36</v>
      </c>
      <c r="G159" s="6"/>
    </row>
    <row r="160" spans="2:7" ht="13.5" thickBot="1">
      <c r="B160" s="18"/>
      <c r="C160" s="7"/>
      <c r="D160" s="20"/>
      <c r="E160" s="83" t="s">
        <v>1</v>
      </c>
      <c r="F160" s="22">
        <v>39</v>
      </c>
      <c r="G160" s="6"/>
    </row>
    <row r="161" spans="2:7" ht="13.5" thickBot="1">
      <c r="B161" s="18"/>
      <c r="G161" s="6"/>
    </row>
    <row r="162" spans="2:7">
      <c r="B162" s="18"/>
      <c r="C162" s="3" t="s">
        <v>4</v>
      </c>
      <c r="D162" s="16"/>
      <c r="E162" s="80" t="s">
        <v>170</v>
      </c>
      <c r="F162" s="84"/>
      <c r="G162" s="6"/>
    </row>
    <row r="163" spans="2:7">
      <c r="B163" s="18"/>
      <c r="C163" s="5" t="s">
        <v>2</v>
      </c>
      <c r="E163" s="39" t="s">
        <v>326</v>
      </c>
      <c r="F163" s="6"/>
      <c r="G163" s="6"/>
    </row>
    <row r="164" spans="2:7" ht="13.5" thickBot="1">
      <c r="B164" s="18"/>
      <c r="C164" s="7" t="s">
        <v>3</v>
      </c>
      <c r="D164" s="20"/>
      <c r="E164" s="81" t="s">
        <v>326</v>
      </c>
      <c r="F164" s="9"/>
      <c r="G164" s="6"/>
    </row>
    <row r="165" spans="2:7" ht="13.5" thickBot="1">
      <c r="B165" s="18"/>
      <c r="G165" s="6"/>
    </row>
    <row r="166" spans="2:7" ht="13.5" thickBot="1">
      <c r="B166" s="18"/>
      <c r="C166" s="23" t="s">
        <v>29</v>
      </c>
      <c r="D166" s="24"/>
      <c r="E166" s="87" t="s">
        <v>1330</v>
      </c>
      <c r="F166" s="25"/>
      <c r="G166" s="6"/>
    </row>
    <row r="167" spans="2:7">
      <c r="B167" s="18"/>
      <c r="G167" s="6"/>
    </row>
    <row r="168" spans="2:7">
      <c r="B168" s="18"/>
      <c r="C168" t="s">
        <v>5</v>
      </c>
      <c r="G168" s="6"/>
    </row>
    <row r="169" spans="2:7">
      <c r="B169" s="18"/>
      <c r="G169" s="6"/>
    </row>
    <row r="170" spans="2:7">
      <c r="B170" s="5">
        <v>1</v>
      </c>
      <c r="C170" s="39" t="s">
        <v>1172</v>
      </c>
      <c r="G170" s="6"/>
    </row>
    <row r="171" spans="2:7">
      <c r="B171" s="5">
        <v>2</v>
      </c>
      <c r="C171" s="39" t="s">
        <v>1113</v>
      </c>
      <c r="G171" s="6"/>
    </row>
    <row r="172" spans="2:7">
      <c r="B172" s="5">
        <v>3</v>
      </c>
      <c r="C172" s="39" t="s">
        <v>1314</v>
      </c>
      <c r="G172" s="6"/>
    </row>
    <row r="173" spans="2:7">
      <c r="B173" s="5">
        <v>4</v>
      </c>
      <c r="C173" s="39" t="s">
        <v>1320</v>
      </c>
      <c r="G173" s="6"/>
    </row>
    <row r="174" spans="2:7">
      <c r="B174" s="5">
        <v>5</v>
      </c>
      <c r="C174" s="39" t="s">
        <v>207</v>
      </c>
      <c r="G174" s="6"/>
    </row>
    <row r="175" spans="2:7">
      <c r="B175" s="5">
        <v>6</v>
      </c>
      <c r="C175" s="39" t="s">
        <v>1324</v>
      </c>
      <c r="G175" s="6"/>
    </row>
    <row r="176" spans="2:7">
      <c r="B176" s="5">
        <v>7</v>
      </c>
      <c r="C176" s="39" t="s">
        <v>33</v>
      </c>
      <c r="G176" s="6"/>
    </row>
    <row r="177" spans="2:7">
      <c r="B177" s="5">
        <v>8</v>
      </c>
      <c r="C177" s="39" t="s">
        <v>1096</v>
      </c>
      <c r="G177" s="6"/>
    </row>
    <row r="178" spans="2:7">
      <c r="B178" s="5">
        <v>9</v>
      </c>
      <c r="C178" s="39" t="s">
        <v>1235</v>
      </c>
      <c r="G178" s="6"/>
    </row>
    <row r="179" spans="2:7">
      <c r="B179" s="5">
        <v>10</v>
      </c>
      <c r="C179" s="39" t="s">
        <v>607</v>
      </c>
      <c r="G179" s="6"/>
    </row>
    <row r="180" spans="2:7">
      <c r="B180" s="5">
        <v>11</v>
      </c>
      <c r="C180" s="39" t="s">
        <v>234</v>
      </c>
      <c r="G180" s="6"/>
    </row>
    <row r="181" spans="2:7">
      <c r="B181" s="5">
        <v>12</v>
      </c>
      <c r="C181" s="39" t="s">
        <v>1112</v>
      </c>
      <c r="G181" s="6"/>
    </row>
    <row r="182" spans="2:7">
      <c r="B182" s="5">
        <v>13</v>
      </c>
      <c r="C182" s="39" t="s">
        <v>214</v>
      </c>
      <c r="G182" s="6"/>
    </row>
    <row r="183" spans="2:7">
      <c r="B183" s="5">
        <v>14</v>
      </c>
      <c r="C183" s="39" t="s">
        <v>144</v>
      </c>
      <c r="G183" s="6"/>
    </row>
    <row r="184" spans="2:7">
      <c r="B184" s="5">
        <v>15</v>
      </c>
      <c r="C184" s="39" t="s">
        <v>1198</v>
      </c>
      <c r="G184" s="6"/>
    </row>
    <row r="185" spans="2:7">
      <c r="B185" s="18"/>
      <c r="G185" s="6"/>
    </row>
    <row r="186" spans="2:7">
      <c r="B186" s="18"/>
      <c r="C186" s="39" t="s">
        <v>325</v>
      </c>
      <c r="G186" s="6"/>
    </row>
    <row r="187" spans="2:7">
      <c r="B187" s="18"/>
      <c r="C187" s="39" t="s">
        <v>1332</v>
      </c>
      <c r="G187" s="6"/>
    </row>
    <row r="188" spans="2:7">
      <c r="B188" s="18"/>
      <c r="C188" s="39" t="s">
        <v>1331</v>
      </c>
      <c r="G188" s="6"/>
    </row>
    <row r="189" spans="2:7">
      <c r="B189" s="18"/>
      <c r="C189" s="39" t="s">
        <v>1289</v>
      </c>
      <c r="G189" s="6"/>
    </row>
    <row r="190" spans="2:7">
      <c r="B190" s="18"/>
      <c r="C190" s="39"/>
      <c r="G190" s="6"/>
    </row>
    <row r="191" spans="2:7">
      <c r="B191" s="18"/>
      <c r="G191" s="6"/>
    </row>
    <row r="192" spans="2:7">
      <c r="B192" s="18"/>
      <c r="C192" s="2" t="s">
        <v>21</v>
      </c>
      <c r="G192" s="6"/>
    </row>
    <row r="193" spans="2:7">
      <c r="B193" s="82" t="s">
        <v>336</v>
      </c>
      <c r="C193" s="39" t="s">
        <v>144</v>
      </c>
      <c r="G193" s="6"/>
    </row>
    <row r="194" spans="2:7">
      <c r="B194" s="82" t="s">
        <v>336</v>
      </c>
      <c r="C194" s="39" t="s">
        <v>234</v>
      </c>
      <c r="G194" s="6"/>
    </row>
    <row r="195" spans="2:7">
      <c r="B195" s="82" t="s">
        <v>336</v>
      </c>
      <c r="C195" s="39" t="s">
        <v>236</v>
      </c>
      <c r="G195" s="6"/>
    </row>
    <row r="196" spans="2:7">
      <c r="B196" s="82" t="s">
        <v>336</v>
      </c>
      <c r="C196" s="39" t="s">
        <v>1235</v>
      </c>
      <c r="G196" s="6"/>
    </row>
    <row r="197" spans="2:7">
      <c r="B197" s="82" t="s">
        <v>336</v>
      </c>
      <c r="C197" s="39" t="s">
        <v>56</v>
      </c>
      <c r="G197" s="6"/>
    </row>
    <row r="198" spans="2:7">
      <c r="B198" s="18"/>
      <c r="C198" s="39"/>
      <c r="G198" s="6"/>
    </row>
    <row r="199" spans="2:7">
      <c r="B199" s="18"/>
      <c r="C199" s="15" t="s">
        <v>337</v>
      </c>
      <c r="G199" s="6"/>
    </row>
    <row r="200" spans="2:7">
      <c r="B200" s="82" t="s">
        <v>335</v>
      </c>
      <c r="C200" s="39" t="s">
        <v>236</v>
      </c>
      <c r="G200" s="6"/>
    </row>
    <row r="201" spans="2:7">
      <c r="B201" s="18"/>
      <c r="G201" s="6"/>
    </row>
    <row r="202" spans="2:7">
      <c r="B202" s="18"/>
      <c r="C202" s="1" t="s">
        <v>22</v>
      </c>
      <c r="G202" s="6"/>
    </row>
    <row r="203" spans="2:7">
      <c r="B203" s="82" t="s">
        <v>336</v>
      </c>
      <c r="C203" s="39" t="s">
        <v>236</v>
      </c>
      <c r="G203" s="6"/>
    </row>
    <row r="204" spans="2:7">
      <c r="B204" s="18"/>
      <c r="G204" s="6"/>
    </row>
    <row r="205" spans="2:7">
      <c r="B205" s="18"/>
      <c r="C205" s="1" t="s">
        <v>23</v>
      </c>
      <c r="G205" s="6"/>
    </row>
    <row r="206" spans="2:7">
      <c r="B206" s="18"/>
      <c r="C206" s="66" t="s">
        <v>339</v>
      </c>
      <c r="G206" s="6"/>
    </row>
    <row r="207" spans="2:7" ht="13.5" thickBot="1">
      <c r="B207" s="19"/>
      <c r="C207" s="20"/>
      <c r="D207" s="20"/>
      <c r="E207" s="8"/>
      <c r="F207" s="20"/>
      <c r="G207" s="9"/>
    </row>
    <row r="208" spans="2:7">
      <c r="B208" s="121"/>
      <c r="C208" s="16"/>
      <c r="D208" s="16"/>
      <c r="E208" s="120"/>
      <c r="F208" s="16"/>
      <c r="G208" s="16"/>
    </row>
    <row r="209" spans="2:7" ht="13.5" thickBot="1">
      <c r="B209" s="168"/>
      <c r="C209" s="20"/>
      <c r="D209" s="20"/>
      <c r="E209" s="83"/>
      <c r="F209" s="83"/>
      <c r="G209" s="20"/>
    </row>
    <row r="210" spans="2:7" ht="13.5" thickBot="1">
      <c r="B210" s="236">
        <v>45038</v>
      </c>
      <c r="C210" s="237"/>
      <c r="D210" s="237"/>
      <c r="E210" s="237"/>
      <c r="F210" s="237"/>
      <c r="G210" s="238"/>
    </row>
    <row r="211" spans="2:7" ht="13.5" thickBot="1">
      <c r="B211" s="18"/>
      <c r="G211" s="6"/>
    </row>
    <row r="212" spans="2:7">
      <c r="B212" s="18"/>
      <c r="C212" s="21" t="s">
        <v>27</v>
      </c>
      <c r="D212" s="16"/>
      <c r="E212" s="80" t="s">
        <v>1</v>
      </c>
      <c r="F212" s="4">
        <v>27</v>
      </c>
      <c r="G212" s="6"/>
    </row>
    <row r="213" spans="2:7" ht="13.5" thickBot="1">
      <c r="B213" s="18"/>
      <c r="C213" s="7"/>
      <c r="D213" s="20"/>
      <c r="E213" s="83" t="s">
        <v>104</v>
      </c>
      <c r="F213" s="22">
        <v>15</v>
      </c>
      <c r="G213" s="6"/>
    </row>
    <row r="214" spans="2:7" ht="13.5" thickBot="1">
      <c r="B214" s="18"/>
      <c r="G214" s="6"/>
    </row>
    <row r="215" spans="2:7">
      <c r="B215" s="18"/>
      <c r="C215" s="3" t="s">
        <v>4</v>
      </c>
      <c r="D215" s="16"/>
      <c r="E215" s="80" t="s">
        <v>1</v>
      </c>
      <c r="F215" s="84" t="s">
        <v>205</v>
      </c>
      <c r="G215" s="6"/>
    </row>
    <row r="216" spans="2:7">
      <c r="B216" s="18"/>
      <c r="C216" s="5" t="s">
        <v>2</v>
      </c>
      <c r="E216" s="39" t="s">
        <v>326</v>
      </c>
      <c r="F216" s="6"/>
      <c r="G216" s="6"/>
    </row>
    <row r="217" spans="2:7" ht="13.5" thickBot="1">
      <c r="B217" s="18"/>
      <c r="C217" s="7" t="s">
        <v>3</v>
      </c>
      <c r="D217" s="20"/>
      <c r="E217" s="81" t="s">
        <v>326</v>
      </c>
      <c r="F217" s="9"/>
      <c r="G217" s="6"/>
    </row>
    <row r="218" spans="2:7" ht="13.5" thickBot="1">
      <c r="B218" s="18"/>
      <c r="G218" s="6"/>
    </row>
    <row r="219" spans="2:7" ht="13.5" thickBot="1">
      <c r="B219" s="18"/>
      <c r="C219" s="23" t="s">
        <v>29</v>
      </c>
      <c r="D219" s="24"/>
      <c r="E219" s="87" t="s">
        <v>1317</v>
      </c>
      <c r="F219" s="25"/>
      <c r="G219" s="6"/>
    </row>
    <row r="220" spans="2:7">
      <c r="B220" s="18"/>
      <c r="G220" s="6"/>
    </row>
    <row r="221" spans="2:7">
      <c r="B221" s="18"/>
      <c r="C221" t="s">
        <v>5</v>
      </c>
      <c r="G221" s="6"/>
    </row>
    <row r="222" spans="2:7">
      <c r="B222" s="18"/>
      <c r="G222" s="6"/>
    </row>
    <row r="223" spans="2:7">
      <c r="B223" s="5">
        <v>1</v>
      </c>
      <c r="C223" s="39" t="s">
        <v>1172</v>
      </c>
      <c r="G223" s="6"/>
    </row>
    <row r="224" spans="2:7">
      <c r="B224" s="5">
        <v>2</v>
      </c>
      <c r="C224" s="39" t="s">
        <v>1113</v>
      </c>
      <c r="G224" s="6"/>
    </row>
    <row r="225" spans="2:7">
      <c r="B225" s="5">
        <v>3</v>
      </c>
      <c r="C225" s="39" t="s">
        <v>1314</v>
      </c>
      <c r="G225" s="6"/>
    </row>
    <row r="226" spans="2:7">
      <c r="B226" s="5">
        <v>4</v>
      </c>
      <c r="C226" s="39" t="s">
        <v>1320</v>
      </c>
      <c r="G226" s="6"/>
    </row>
    <row r="227" spans="2:7">
      <c r="B227" s="5">
        <v>5</v>
      </c>
      <c r="C227" s="39" t="s">
        <v>207</v>
      </c>
      <c r="G227" s="6"/>
    </row>
    <row r="228" spans="2:7">
      <c r="B228" s="5">
        <v>6</v>
      </c>
      <c r="C228" s="39" t="s">
        <v>1324</v>
      </c>
      <c r="G228" s="6"/>
    </row>
    <row r="229" spans="2:7">
      <c r="B229" s="5">
        <v>7</v>
      </c>
      <c r="C229" s="39" t="s">
        <v>33</v>
      </c>
      <c r="G229" s="6"/>
    </row>
    <row r="230" spans="2:7">
      <c r="B230" s="5">
        <v>8</v>
      </c>
      <c r="C230" s="39" t="s">
        <v>1096</v>
      </c>
      <c r="G230" s="6"/>
    </row>
    <row r="231" spans="2:7">
      <c r="B231" s="5">
        <v>9</v>
      </c>
      <c r="C231" s="39" t="s">
        <v>1235</v>
      </c>
      <c r="G231" s="6"/>
    </row>
    <row r="232" spans="2:7">
      <c r="B232" s="5">
        <v>10</v>
      </c>
      <c r="C232" s="39" t="s">
        <v>607</v>
      </c>
      <c r="G232" s="6"/>
    </row>
    <row r="233" spans="2:7">
      <c r="B233" s="5">
        <v>11</v>
      </c>
      <c r="C233" s="39" t="s">
        <v>234</v>
      </c>
      <c r="G233" s="6"/>
    </row>
    <row r="234" spans="2:7">
      <c r="B234" s="5">
        <v>12</v>
      </c>
      <c r="C234" s="39" t="s">
        <v>1112</v>
      </c>
      <c r="G234" s="6"/>
    </row>
    <row r="235" spans="2:7">
      <c r="B235" s="5">
        <v>13</v>
      </c>
      <c r="C235" s="39" t="s">
        <v>214</v>
      </c>
      <c r="G235" s="6"/>
    </row>
    <row r="236" spans="2:7">
      <c r="B236" s="5">
        <v>14</v>
      </c>
      <c r="C236" s="39" t="s">
        <v>144</v>
      </c>
      <c r="G236" s="6"/>
    </row>
    <row r="237" spans="2:7">
      <c r="B237" s="5">
        <v>15</v>
      </c>
      <c r="C237" s="39" t="s">
        <v>1198</v>
      </c>
      <c r="G237" s="6"/>
    </row>
    <row r="238" spans="2:7">
      <c r="B238" s="18"/>
      <c r="G238" s="6"/>
    </row>
    <row r="239" spans="2:7">
      <c r="B239" s="18"/>
      <c r="C239" s="39" t="s">
        <v>325</v>
      </c>
      <c r="G239" s="6"/>
    </row>
    <row r="240" spans="2:7">
      <c r="B240" s="18"/>
      <c r="C240" s="39" t="s">
        <v>1331</v>
      </c>
      <c r="G240" s="6"/>
    </row>
    <row r="241" spans="2:7">
      <c r="B241" s="18"/>
      <c r="C241" s="39" t="s">
        <v>1289</v>
      </c>
      <c r="G241" s="6"/>
    </row>
    <row r="242" spans="2:7">
      <c r="B242" s="18"/>
      <c r="C242" s="39"/>
      <c r="G242" s="6"/>
    </row>
    <row r="243" spans="2:7">
      <c r="B243" s="18"/>
      <c r="G243" s="6"/>
    </row>
    <row r="244" spans="2:7">
      <c r="B244" s="18"/>
      <c r="C244" s="2" t="s">
        <v>21</v>
      </c>
      <c r="G244" s="6"/>
    </row>
    <row r="245" spans="2:7">
      <c r="B245" s="82" t="s">
        <v>352</v>
      </c>
      <c r="C245" s="39" t="s">
        <v>144</v>
      </c>
      <c r="G245" s="6"/>
    </row>
    <row r="246" spans="2:7">
      <c r="B246" s="82" t="s">
        <v>336</v>
      </c>
      <c r="C246" s="39" t="s">
        <v>214</v>
      </c>
      <c r="G246" s="6"/>
    </row>
    <row r="247" spans="2:7">
      <c r="B247" s="82" t="s">
        <v>336</v>
      </c>
      <c r="C247" s="39" t="s">
        <v>1324</v>
      </c>
      <c r="G247" s="6"/>
    </row>
    <row r="248" spans="2:7">
      <c r="B248" s="82" t="s">
        <v>336</v>
      </c>
      <c r="C248" s="39" t="s">
        <v>56</v>
      </c>
      <c r="G248" s="6"/>
    </row>
    <row r="249" spans="2:7">
      <c r="B249" s="18"/>
      <c r="C249" s="39"/>
      <c r="G249" s="6"/>
    </row>
    <row r="250" spans="2:7">
      <c r="B250" s="18"/>
      <c r="C250" s="15" t="s">
        <v>337</v>
      </c>
      <c r="G250" s="6"/>
    </row>
    <row r="251" spans="2:7">
      <c r="B251" s="82"/>
      <c r="C251" s="39" t="s">
        <v>339</v>
      </c>
      <c r="G251" s="6"/>
    </row>
    <row r="252" spans="2:7">
      <c r="B252" s="18"/>
      <c r="G252" s="6"/>
    </row>
    <row r="253" spans="2:7">
      <c r="B253" s="18"/>
      <c r="C253" s="1" t="s">
        <v>22</v>
      </c>
      <c r="G253" s="6"/>
    </row>
    <row r="254" spans="2:7">
      <c r="B254" s="82"/>
      <c r="C254" s="39" t="s">
        <v>339</v>
      </c>
      <c r="G254" s="6"/>
    </row>
    <row r="255" spans="2:7">
      <c r="B255" s="18"/>
      <c r="G255" s="6"/>
    </row>
    <row r="256" spans="2:7">
      <c r="B256" s="18"/>
      <c r="C256" s="1" t="s">
        <v>23</v>
      </c>
      <c r="G256" s="6"/>
    </row>
    <row r="257" spans="2:7">
      <c r="B257" s="18"/>
      <c r="C257" s="66" t="s">
        <v>339</v>
      </c>
      <c r="G257" s="6"/>
    </row>
    <row r="258" spans="2:7" ht="13.5" thickBot="1">
      <c r="B258" s="19"/>
      <c r="C258" s="20"/>
      <c r="D258" s="20"/>
      <c r="E258" s="8"/>
      <c r="F258" s="20"/>
      <c r="G258" s="9"/>
    </row>
    <row r="259" spans="2:7">
      <c r="B259" s="121"/>
      <c r="C259" s="16"/>
      <c r="D259" s="16"/>
      <c r="E259" s="177"/>
      <c r="F259" s="16"/>
      <c r="G259" s="16"/>
    </row>
    <row r="260" spans="2:7" ht="13.5" thickBot="1">
      <c r="B260" s="168"/>
      <c r="C260" s="20"/>
      <c r="D260" s="20"/>
      <c r="E260" s="8"/>
      <c r="F260" s="20"/>
      <c r="G260" s="20"/>
    </row>
    <row r="261" spans="2:7" ht="13.5" thickBot="1">
      <c r="B261" s="236">
        <v>45045</v>
      </c>
      <c r="C261" s="237"/>
      <c r="D261" s="237"/>
      <c r="E261" s="237"/>
      <c r="F261" s="237"/>
      <c r="G261" s="238"/>
    </row>
    <row r="262" spans="2:7" ht="13.5" thickBot="1">
      <c r="B262" s="18"/>
      <c r="G262" s="6"/>
    </row>
    <row r="263" spans="2:7">
      <c r="B263" s="18"/>
      <c r="C263" s="21" t="s">
        <v>27</v>
      </c>
      <c r="D263" s="16"/>
      <c r="E263" s="80" t="s">
        <v>138</v>
      </c>
      <c r="F263" s="4">
        <v>33</v>
      </c>
      <c r="G263" s="6"/>
    </row>
    <row r="264" spans="2:7" ht="13.5" thickBot="1">
      <c r="B264" s="18"/>
      <c r="C264" s="7"/>
      <c r="D264" s="20"/>
      <c r="E264" s="83" t="s">
        <v>1</v>
      </c>
      <c r="F264" s="22">
        <v>38</v>
      </c>
      <c r="G264" s="6"/>
    </row>
    <row r="265" spans="2:7" ht="13.5" thickBot="1">
      <c r="B265" s="18"/>
      <c r="G265" s="6"/>
    </row>
    <row r="266" spans="2:7">
      <c r="B266" s="18"/>
      <c r="C266" s="3" t="s">
        <v>4</v>
      </c>
      <c r="D266" s="16"/>
      <c r="E266" s="80" t="s">
        <v>138</v>
      </c>
      <c r="F266" s="84"/>
      <c r="G266" s="6"/>
    </row>
    <row r="267" spans="2:7">
      <c r="B267" s="18"/>
      <c r="C267" s="5" t="s">
        <v>2</v>
      </c>
      <c r="E267" s="39" t="s">
        <v>326</v>
      </c>
      <c r="F267" s="6"/>
      <c r="G267" s="6"/>
    </row>
    <row r="268" spans="2:7" ht="13.5" thickBot="1">
      <c r="B268" s="18"/>
      <c r="C268" s="7" t="s">
        <v>3</v>
      </c>
      <c r="D268" s="20"/>
      <c r="E268" s="81" t="s">
        <v>344</v>
      </c>
      <c r="F268" s="9"/>
      <c r="G268" s="6"/>
    </row>
    <row r="269" spans="2:7" ht="13.5" thickBot="1">
      <c r="B269" s="18"/>
      <c r="G269" s="6"/>
    </row>
    <row r="270" spans="2:7" ht="13.5" thickBot="1">
      <c r="B270" s="18"/>
      <c r="C270" s="23" t="s">
        <v>29</v>
      </c>
      <c r="D270" s="24"/>
      <c r="E270" s="87" t="s">
        <v>1333</v>
      </c>
      <c r="F270" s="25"/>
      <c r="G270" s="6"/>
    </row>
    <row r="271" spans="2:7">
      <c r="B271" s="18"/>
      <c r="G271" s="6"/>
    </row>
    <row r="272" spans="2:7">
      <c r="B272" s="18"/>
      <c r="C272" t="s">
        <v>5</v>
      </c>
      <c r="G272" s="6"/>
    </row>
    <row r="273" spans="2:7">
      <c r="B273" s="18"/>
      <c r="G273" s="6"/>
    </row>
    <row r="274" spans="2:7">
      <c r="B274" s="5">
        <v>1</v>
      </c>
      <c r="C274" s="39" t="s">
        <v>1172</v>
      </c>
      <c r="G274" s="6"/>
    </row>
    <row r="275" spans="2:7">
      <c r="B275" s="5">
        <v>2</v>
      </c>
      <c r="C275" s="39" t="s">
        <v>1113</v>
      </c>
      <c r="G275" s="6"/>
    </row>
    <row r="276" spans="2:7">
      <c r="B276" s="5">
        <v>3</v>
      </c>
      <c r="C276" s="39" t="s">
        <v>1314</v>
      </c>
      <c r="G276" s="6"/>
    </row>
    <row r="277" spans="2:7">
      <c r="B277" s="5">
        <v>4</v>
      </c>
      <c r="C277" s="39" t="s">
        <v>1320</v>
      </c>
      <c r="G277" s="6"/>
    </row>
    <row r="278" spans="2:7">
      <c r="B278" s="5">
        <v>5</v>
      </c>
      <c r="C278" s="39" t="s">
        <v>207</v>
      </c>
      <c r="G278" s="6"/>
    </row>
    <row r="279" spans="2:7">
      <c r="B279" s="5">
        <v>6</v>
      </c>
      <c r="C279" s="39" t="s">
        <v>1324</v>
      </c>
      <c r="G279" s="6"/>
    </row>
    <row r="280" spans="2:7">
      <c r="B280" s="5">
        <v>7</v>
      </c>
      <c r="C280" s="39" t="s">
        <v>33</v>
      </c>
      <c r="G280" s="6"/>
    </row>
    <row r="281" spans="2:7">
      <c r="B281" s="5">
        <v>8</v>
      </c>
      <c r="C281" s="39" t="s">
        <v>1096</v>
      </c>
      <c r="G281" s="6"/>
    </row>
    <row r="282" spans="2:7">
      <c r="B282" s="5">
        <v>9</v>
      </c>
      <c r="C282" s="39" t="s">
        <v>1235</v>
      </c>
      <c r="G282" s="6"/>
    </row>
    <row r="283" spans="2:7">
      <c r="B283" s="5">
        <v>10</v>
      </c>
      <c r="C283" s="39" t="s">
        <v>607</v>
      </c>
      <c r="G283" s="6"/>
    </row>
    <row r="284" spans="2:7">
      <c r="B284" s="5">
        <v>11</v>
      </c>
      <c r="C284" s="39" t="s">
        <v>234</v>
      </c>
      <c r="G284" s="6"/>
    </row>
    <row r="285" spans="2:7">
      <c r="B285" s="5">
        <v>12</v>
      </c>
      <c r="C285" s="39" t="s">
        <v>1112</v>
      </c>
      <c r="G285" s="6"/>
    </row>
    <row r="286" spans="2:7">
      <c r="B286" s="5">
        <v>13</v>
      </c>
      <c r="C286" s="39" t="s">
        <v>214</v>
      </c>
      <c r="G286" s="6"/>
    </row>
    <row r="287" spans="2:7">
      <c r="B287" s="5">
        <v>14</v>
      </c>
      <c r="C287" s="39" t="s">
        <v>144</v>
      </c>
      <c r="G287" s="6"/>
    </row>
    <row r="288" spans="2:7">
      <c r="B288" s="5">
        <v>15</v>
      </c>
      <c r="C288" s="39" t="s">
        <v>1198</v>
      </c>
      <c r="G288" s="6"/>
    </row>
    <row r="289" spans="2:7">
      <c r="B289" s="18"/>
      <c r="G289" s="6"/>
    </row>
    <row r="290" spans="2:7">
      <c r="B290" s="18"/>
      <c r="C290" s="39" t="s">
        <v>325</v>
      </c>
      <c r="G290" s="6"/>
    </row>
    <row r="291" spans="2:7">
      <c r="B291" s="18"/>
      <c r="C291" s="39" t="s">
        <v>1289</v>
      </c>
      <c r="G291" s="6"/>
    </row>
    <row r="292" spans="2:7">
      <c r="B292" s="18"/>
      <c r="C292" s="39" t="s">
        <v>1334</v>
      </c>
      <c r="G292" s="6"/>
    </row>
    <row r="293" spans="2:7">
      <c r="B293" s="18"/>
      <c r="C293" s="39" t="s">
        <v>1335</v>
      </c>
      <c r="G293" s="6"/>
    </row>
    <row r="294" spans="2:7">
      <c r="B294" s="18"/>
      <c r="C294" s="39" t="s">
        <v>1336</v>
      </c>
      <c r="G294" s="6"/>
    </row>
    <row r="295" spans="2:7">
      <c r="B295" s="18"/>
      <c r="C295" s="39" t="s">
        <v>1337</v>
      </c>
      <c r="G295" s="6"/>
    </row>
    <row r="296" spans="2:7">
      <c r="B296" s="18"/>
      <c r="C296" s="39" t="s">
        <v>1338</v>
      </c>
      <c r="G296" s="6"/>
    </row>
    <row r="297" spans="2:7">
      <c r="B297" s="18"/>
      <c r="C297" s="39" t="s">
        <v>1332</v>
      </c>
      <c r="G297" s="6"/>
    </row>
    <row r="298" spans="2:7">
      <c r="B298" s="18"/>
      <c r="G298" s="6"/>
    </row>
    <row r="299" spans="2:7">
      <c r="B299" s="18"/>
      <c r="C299" s="2" t="s">
        <v>21</v>
      </c>
      <c r="G299" s="6"/>
    </row>
    <row r="300" spans="2:7">
      <c r="B300" s="82" t="s">
        <v>352</v>
      </c>
      <c r="C300" s="39" t="s">
        <v>1320</v>
      </c>
      <c r="G300" s="6"/>
    </row>
    <row r="301" spans="2:7">
      <c r="B301" s="82" t="s">
        <v>336</v>
      </c>
      <c r="C301" s="39" t="s">
        <v>144</v>
      </c>
      <c r="G301" s="6"/>
    </row>
    <row r="302" spans="2:7">
      <c r="B302" s="82" t="s">
        <v>336</v>
      </c>
      <c r="C302" s="39" t="s">
        <v>33</v>
      </c>
      <c r="G302" s="6"/>
    </row>
    <row r="303" spans="2:7">
      <c r="B303" s="82" t="s">
        <v>336</v>
      </c>
      <c r="C303" s="39" t="s">
        <v>234</v>
      </c>
      <c r="G303" s="6"/>
    </row>
    <row r="304" spans="2:7">
      <c r="B304" s="82" t="s">
        <v>336</v>
      </c>
      <c r="C304" s="39" t="s">
        <v>1096</v>
      </c>
      <c r="G304" s="6"/>
    </row>
    <row r="305" spans="2:7">
      <c r="B305" s="18"/>
      <c r="C305" s="39"/>
      <c r="G305" s="6"/>
    </row>
    <row r="306" spans="2:7">
      <c r="B306" s="18"/>
      <c r="C306" s="15" t="s">
        <v>337</v>
      </c>
      <c r="G306" s="6"/>
    </row>
    <row r="307" spans="2:7">
      <c r="B307" s="82" t="s">
        <v>338</v>
      </c>
      <c r="C307" s="39" t="s">
        <v>236</v>
      </c>
      <c r="G307" s="6"/>
    </row>
    <row r="308" spans="2:7">
      <c r="B308" s="18"/>
      <c r="G308" s="6"/>
    </row>
    <row r="309" spans="2:7">
      <c r="B309" s="18"/>
      <c r="C309" s="1" t="s">
        <v>22</v>
      </c>
      <c r="G309" s="6"/>
    </row>
    <row r="310" spans="2:7">
      <c r="B310" s="82"/>
      <c r="C310" s="39" t="s">
        <v>339</v>
      </c>
      <c r="G310" s="6"/>
    </row>
    <row r="311" spans="2:7">
      <c r="B311" s="18"/>
      <c r="G311" s="6"/>
    </row>
    <row r="312" spans="2:7">
      <c r="B312" s="18"/>
      <c r="C312" s="1" t="s">
        <v>23</v>
      </c>
      <c r="G312" s="6"/>
    </row>
    <row r="313" spans="2:7">
      <c r="B313" s="82" t="s">
        <v>336</v>
      </c>
      <c r="C313" s="66" t="s">
        <v>1096</v>
      </c>
      <c r="G313" s="6"/>
    </row>
    <row r="314" spans="2:7">
      <c r="B314" s="82" t="s">
        <v>336</v>
      </c>
      <c r="C314" s="66" t="s">
        <v>1112</v>
      </c>
      <c r="G314" s="6"/>
    </row>
    <row r="315" spans="2:7" ht="13.5" thickBot="1">
      <c r="B315" s="19"/>
      <c r="C315" s="20"/>
      <c r="D315" s="20"/>
      <c r="E315" s="8"/>
      <c r="F315" s="20"/>
      <c r="G315" s="9"/>
    </row>
    <row r="316" spans="2:7">
      <c r="B316" s="121"/>
      <c r="C316" s="16"/>
      <c r="D316" s="16"/>
      <c r="E316" s="120"/>
      <c r="F316" s="16"/>
      <c r="G316" s="16"/>
    </row>
    <row r="317" spans="2:7" ht="13.5" thickBot="1">
      <c r="B317" s="168"/>
      <c r="C317" s="20"/>
      <c r="D317" s="20"/>
      <c r="E317" s="8"/>
      <c r="F317" s="20"/>
      <c r="G317" s="20"/>
    </row>
    <row r="318" spans="2:7" ht="13.5" thickBot="1">
      <c r="B318" s="236">
        <v>45052</v>
      </c>
      <c r="C318" s="237"/>
      <c r="D318" s="237"/>
      <c r="E318" s="237"/>
      <c r="F318" s="237"/>
      <c r="G318" s="238"/>
    </row>
    <row r="319" spans="2:7" ht="13.5" thickBot="1">
      <c r="B319" s="18"/>
      <c r="G319" s="6"/>
    </row>
    <row r="320" spans="2:7">
      <c r="B320" s="18"/>
      <c r="C320" s="21" t="s">
        <v>27</v>
      </c>
      <c r="D320" s="16"/>
      <c r="E320" s="80" t="s">
        <v>1</v>
      </c>
      <c r="F320" s="4">
        <v>27</v>
      </c>
      <c r="G320" s="6"/>
    </row>
    <row r="321" spans="2:7" ht="13.5" thickBot="1">
      <c r="B321" s="18"/>
      <c r="C321" s="7"/>
      <c r="D321" s="20"/>
      <c r="E321" s="83" t="s">
        <v>1103</v>
      </c>
      <c r="F321" s="22">
        <v>7</v>
      </c>
      <c r="G321" s="6"/>
    </row>
    <row r="322" spans="2:7" ht="13.5" thickBot="1">
      <c r="B322" s="18"/>
      <c r="G322" s="6"/>
    </row>
    <row r="323" spans="2:7">
      <c r="B323" s="18"/>
      <c r="C323" s="3" t="s">
        <v>4</v>
      </c>
      <c r="D323" s="16"/>
      <c r="E323" s="80" t="s">
        <v>1</v>
      </c>
      <c r="F323" s="84" t="s">
        <v>205</v>
      </c>
      <c r="G323" s="6"/>
    </row>
    <row r="324" spans="2:7">
      <c r="B324" s="18"/>
      <c r="C324" s="5" t="s">
        <v>2</v>
      </c>
      <c r="E324" s="39" t="s">
        <v>865</v>
      </c>
      <c r="F324" s="6"/>
      <c r="G324" s="6"/>
    </row>
    <row r="325" spans="2:7" ht="13.5" thickBot="1">
      <c r="B325" s="18"/>
      <c r="C325" s="7" t="s">
        <v>3</v>
      </c>
      <c r="D325" s="20"/>
      <c r="E325" s="81" t="s">
        <v>354</v>
      </c>
      <c r="F325" s="9"/>
      <c r="G325" s="6"/>
    </row>
    <row r="326" spans="2:7" ht="13.5" thickBot="1">
      <c r="B326" s="18"/>
      <c r="G326" s="6"/>
    </row>
    <row r="327" spans="2:7" ht="13.5" thickBot="1">
      <c r="B327" s="18"/>
      <c r="C327" s="23" t="s">
        <v>29</v>
      </c>
      <c r="D327" s="24"/>
      <c r="E327" s="87" t="s">
        <v>215</v>
      </c>
      <c r="F327" s="25"/>
      <c r="G327" s="6"/>
    </row>
    <row r="328" spans="2:7">
      <c r="B328" s="18"/>
      <c r="G328" s="6"/>
    </row>
    <row r="329" spans="2:7">
      <c r="B329" s="18"/>
      <c r="C329" t="s">
        <v>5</v>
      </c>
      <c r="G329" s="6"/>
    </row>
    <row r="330" spans="2:7">
      <c r="B330" s="18"/>
      <c r="G330" s="6"/>
    </row>
    <row r="331" spans="2:7">
      <c r="B331" s="5">
        <v>1</v>
      </c>
      <c r="C331" s="39" t="s">
        <v>327</v>
      </c>
      <c r="G331" s="6"/>
    </row>
    <row r="332" spans="2:7">
      <c r="B332" s="5">
        <v>2</v>
      </c>
      <c r="C332" s="39" t="s">
        <v>1113</v>
      </c>
      <c r="G332" s="6"/>
    </row>
    <row r="333" spans="2:7">
      <c r="B333" s="5">
        <v>3</v>
      </c>
      <c r="C333" s="39" t="s">
        <v>1314</v>
      </c>
      <c r="G333" s="6"/>
    </row>
    <row r="334" spans="2:7">
      <c r="B334" s="5">
        <v>4</v>
      </c>
      <c r="C334" s="39" t="s">
        <v>1320</v>
      </c>
      <c r="G334" s="6"/>
    </row>
    <row r="335" spans="2:7">
      <c r="B335" s="5">
        <v>5</v>
      </c>
      <c r="C335" s="39" t="s">
        <v>207</v>
      </c>
      <c r="G335" s="6"/>
    </row>
    <row r="336" spans="2:7">
      <c r="B336" s="5">
        <v>6</v>
      </c>
      <c r="C336" s="39" t="s">
        <v>1324</v>
      </c>
      <c r="G336" s="6"/>
    </row>
    <row r="337" spans="2:7">
      <c r="B337" s="5">
        <v>7</v>
      </c>
      <c r="C337" s="39" t="s">
        <v>33</v>
      </c>
      <c r="G337" s="6"/>
    </row>
    <row r="338" spans="2:7">
      <c r="B338" s="5">
        <v>8</v>
      </c>
      <c r="C338" s="39" t="s">
        <v>1329</v>
      </c>
      <c r="G338" s="6"/>
    </row>
    <row r="339" spans="2:7">
      <c r="B339" s="5">
        <v>9</v>
      </c>
      <c r="C339" s="39" t="s">
        <v>1235</v>
      </c>
      <c r="G339" s="6"/>
    </row>
    <row r="340" spans="2:7">
      <c r="B340" s="5">
        <v>10</v>
      </c>
      <c r="C340" s="39" t="s">
        <v>607</v>
      </c>
      <c r="G340" s="6"/>
    </row>
    <row r="341" spans="2:7">
      <c r="B341" s="5">
        <v>11</v>
      </c>
      <c r="C341" s="39" t="s">
        <v>1340</v>
      </c>
      <c r="G341" s="6"/>
    </row>
    <row r="342" spans="2:7">
      <c r="B342" s="5">
        <v>12</v>
      </c>
      <c r="C342" s="39" t="s">
        <v>1112</v>
      </c>
      <c r="G342" s="6"/>
    </row>
    <row r="343" spans="2:7">
      <c r="B343" s="5">
        <v>13</v>
      </c>
      <c r="C343" s="39" t="s">
        <v>214</v>
      </c>
      <c r="G343" s="6"/>
    </row>
    <row r="344" spans="2:7">
      <c r="B344" s="5">
        <v>14</v>
      </c>
      <c r="C344" s="39" t="s">
        <v>144</v>
      </c>
      <c r="G344" s="6"/>
    </row>
    <row r="345" spans="2:7">
      <c r="B345" s="5">
        <v>15</v>
      </c>
      <c r="C345" s="39" t="s">
        <v>1198</v>
      </c>
      <c r="G345" s="6"/>
    </row>
    <row r="346" spans="2:7">
      <c r="B346" s="18"/>
      <c r="G346" s="6"/>
    </row>
    <row r="347" spans="2:7">
      <c r="B347" s="18"/>
      <c r="C347" s="39" t="s">
        <v>325</v>
      </c>
      <c r="G347" s="6"/>
    </row>
    <row r="348" spans="2:7">
      <c r="B348" s="18"/>
      <c r="C348" s="39" t="s">
        <v>1169</v>
      </c>
      <c r="G348" s="6"/>
    </row>
    <row r="349" spans="2:7">
      <c r="B349" s="18"/>
      <c r="C349" s="39" t="s">
        <v>1341</v>
      </c>
      <c r="G349" s="6"/>
    </row>
    <row r="350" spans="2:7">
      <c r="B350" s="18"/>
      <c r="C350" s="39" t="s">
        <v>1336</v>
      </c>
      <c r="G350" s="6"/>
    </row>
    <row r="351" spans="2:7">
      <c r="B351" s="18"/>
      <c r="C351" s="39" t="s">
        <v>1342</v>
      </c>
      <c r="G351" s="6"/>
    </row>
    <row r="352" spans="2:7">
      <c r="B352" s="18"/>
      <c r="G352" s="6"/>
    </row>
    <row r="353" spans="2:7">
      <c r="B353" s="18"/>
      <c r="C353" s="2" t="s">
        <v>21</v>
      </c>
      <c r="G353" s="6"/>
    </row>
    <row r="354" spans="2:7">
      <c r="B354" s="82" t="s">
        <v>336</v>
      </c>
      <c r="C354" s="39" t="s">
        <v>207</v>
      </c>
      <c r="G354" s="6"/>
    </row>
    <row r="355" spans="2:7">
      <c r="B355" s="82" t="s">
        <v>336</v>
      </c>
      <c r="C355" s="39" t="s">
        <v>33</v>
      </c>
      <c r="G355" s="6"/>
    </row>
    <row r="356" spans="2:7">
      <c r="B356" s="82" t="s">
        <v>336</v>
      </c>
      <c r="C356" s="39" t="s">
        <v>1096</v>
      </c>
      <c r="G356" s="6"/>
    </row>
    <row r="357" spans="2:7">
      <c r="B357" s="18"/>
      <c r="C357" s="39"/>
      <c r="G357" s="6"/>
    </row>
    <row r="358" spans="2:7">
      <c r="B358" s="18"/>
      <c r="C358" s="15" t="s">
        <v>337</v>
      </c>
      <c r="G358" s="6"/>
    </row>
    <row r="359" spans="2:7">
      <c r="B359" s="82" t="s">
        <v>335</v>
      </c>
      <c r="C359" s="39" t="s">
        <v>236</v>
      </c>
      <c r="G359" s="6"/>
    </row>
    <row r="360" spans="2:7">
      <c r="B360" s="18"/>
      <c r="G360" s="6"/>
    </row>
    <row r="361" spans="2:7">
      <c r="B361" s="18"/>
      <c r="C361" s="1" t="s">
        <v>22</v>
      </c>
      <c r="G361" s="6"/>
    </row>
    <row r="362" spans="2:7">
      <c r="B362" s="82" t="s">
        <v>352</v>
      </c>
      <c r="C362" s="39" t="s">
        <v>236</v>
      </c>
      <c r="G362" s="6"/>
    </row>
    <row r="363" spans="2:7">
      <c r="B363" s="18"/>
      <c r="G363" s="6"/>
    </row>
    <row r="364" spans="2:7">
      <c r="B364" s="18"/>
      <c r="C364" s="1" t="s">
        <v>23</v>
      </c>
      <c r="G364" s="6"/>
    </row>
    <row r="365" spans="2:7">
      <c r="B365" s="82" t="s">
        <v>336</v>
      </c>
      <c r="C365" s="66" t="s">
        <v>327</v>
      </c>
      <c r="G365" s="6"/>
    </row>
    <row r="366" spans="2:7" ht="13.5" thickBot="1">
      <c r="B366" s="19"/>
      <c r="C366" s="20"/>
      <c r="D366" s="20"/>
      <c r="E366" s="8"/>
      <c r="F366" s="20"/>
      <c r="G366" s="9"/>
    </row>
    <row r="367" spans="2:7">
      <c r="B367" s="16"/>
      <c r="C367" s="80"/>
      <c r="D367" s="16"/>
      <c r="E367" s="120"/>
      <c r="F367" s="16"/>
      <c r="G367" s="16"/>
    </row>
    <row r="368" spans="2:7" ht="13.5" thickBot="1">
      <c r="B368" s="20"/>
      <c r="C368" s="83"/>
      <c r="D368" s="20"/>
      <c r="E368" s="8"/>
      <c r="F368" s="20"/>
      <c r="G368" s="20"/>
    </row>
    <row r="369" spans="2:7" ht="13.5" thickBot="1">
      <c r="B369" s="236">
        <v>45059</v>
      </c>
      <c r="C369" s="237"/>
      <c r="D369" s="237"/>
      <c r="E369" s="237"/>
      <c r="F369" s="237"/>
      <c r="G369" s="238"/>
    </row>
    <row r="370" spans="2:7" ht="13.5" thickBot="1">
      <c r="B370" s="18"/>
      <c r="G370" s="6"/>
    </row>
    <row r="371" spans="2:7">
      <c r="B371" s="18"/>
      <c r="C371" s="21" t="s">
        <v>27</v>
      </c>
      <c r="D371" s="16"/>
      <c r="E371" s="80" t="s">
        <v>805</v>
      </c>
      <c r="F371" s="4">
        <v>26</v>
      </c>
      <c r="G371" s="6"/>
    </row>
    <row r="372" spans="2:7" ht="13.5" thickBot="1">
      <c r="B372" s="18"/>
      <c r="C372" s="7"/>
      <c r="D372" s="20"/>
      <c r="E372" s="83" t="s">
        <v>1</v>
      </c>
      <c r="F372" s="22">
        <v>35</v>
      </c>
      <c r="G372" s="6"/>
    </row>
    <row r="373" spans="2:7" ht="13.5" thickBot="1">
      <c r="B373" s="18"/>
      <c r="G373" s="6"/>
    </row>
    <row r="374" spans="2:7">
      <c r="B374" s="18"/>
      <c r="C374" s="3" t="s">
        <v>4</v>
      </c>
      <c r="D374" s="16"/>
      <c r="E374" s="80" t="s">
        <v>187</v>
      </c>
      <c r="F374" s="84"/>
      <c r="G374" s="6"/>
    </row>
    <row r="375" spans="2:7">
      <c r="B375" s="18"/>
      <c r="C375" s="5" t="s">
        <v>2</v>
      </c>
      <c r="E375" s="39" t="s">
        <v>326</v>
      </c>
      <c r="F375" s="6"/>
      <c r="G375" s="6"/>
    </row>
    <row r="376" spans="2:7" ht="13.5" thickBot="1">
      <c r="B376" s="18"/>
      <c r="C376" s="7" t="s">
        <v>3</v>
      </c>
      <c r="D376" s="20"/>
      <c r="E376" s="81" t="s">
        <v>326</v>
      </c>
      <c r="F376" s="9"/>
      <c r="G376" s="6"/>
    </row>
    <row r="377" spans="2:7" ht="13.5" thickBot="1">
      <c r="B377" s="18"/>
      <c r="G377" s="6"/>
    </row>
    <row r="378" spans="2:7" ht="13.5" thickBot="1">
      <c r="B378" s="18"/>
      <c r="C378" s="23" t="s">
        <v>29</v>
      </c>
      <c r="D378" s="24"/>
      <c r="E378" s="87" t="s">
        <v>1343</v>
      </c>
      <c r="F378" s="25"/>
      <c r="G378" s="6"/>
    </row>
    <row r="379" spans="2:7">
      <c r="B379" s="18"/>
      <c r="G379" s="6"/>
    </row>
    <row r="380" spans="2:7">
      <c r="B380" s="18"/>
      <c r="C380" t="s">
        <v>5</v>
      </c>
      <c r="G380" s="6"/>
    </row>
    <row r="381" spans="2:7">
      <c r="B381" s="18"/>
      <c r="G381" s="6"/>
    </row>
    <row r="382" spans="2:7">
      <c r="B382" s="5">
        <v>1</v>
      </c>
      <c r="C382" s="39" t="s">
        <v>327</v>
      </c>
      <c r="G382" s="6"/>
    </row>
    <row r="383" spans="2:7">
      <c r="B383" s="5">
        <v>2</v>
      </c>
      <c r="C383" s="39" t="s">
        <v>1113</v>
      </c>
      <c r="G383" s="6"/>
    </row>
    <row r="384" spans="2:7">
      <c r="B384" s="5">
        <v>3</v>
      </c>
      <c r="C384" s="39" t="s">
        <v>1314</v>
      </c>
      <c r="G384" s="6"/>
    </row>
    <row r="385" spans="2:7">
      <c r="B385" s="5">
        <v>4</v>
      </c>
      <c r="C385" s="39" t="s">
        <v>1329</v>
      </c>
      <c r="G385" s="6"/>
    </row>
    <row r="386" spans="2:7">
      <c r="B386" s="5">
        <v>5</v>
      </c>
      <c r="C386" s="39" t="s">
        <v>207</v>
      </c>
      <c r="G386" s="6"/>
    </row>
    <row r="387" spans="2:7">
      <c r="B387" s="5">
        <v>6</v>
      </c>
      <c r="C387" s="39" t="s">
        <v>1320</v>
      </c>
      <c r="G387" s="6"/>
    </row>
    <row r="388" spans="2:7">
      <c r="B388" s="5">
        <v>7</v>
      </c>
      <c r="C388" s="39" t="s">
        <v>33</v>
      </c>
      <c r="G388" s="6"/>
    </row>
    <row r="389" spans="2:7">
      <c r="B389" s="5">
        <v>8</v>
      </c>
      <c r="C389" s="39" t="s">
        <v>1096</v>
      </c>
      <c r="G389" s="6"/>
    </row>
    <row r="390" spans="2:7">
      <c r="B390" s="5">
        <v>9</v>
      </c>
      <c r="C390" s="39" t="s">
        <v>1235</v>
      </c>
      <c r="G390" s="6"/>
    </row>
    <row r="391" spans="2:7">
      <c r="B391" s="5">
        <v>10</v>
      </c>
      <c r="C391" s="39" t="s">
        <v>607</v>
      </c>
      <c r="G391" s="6"/>
    </row>
    <row r="392" spans="2:7">
      <c r="B392" s="5">
        <v>11</v>
      </c>
      <c r="C392" s="39" t="s">
        <v>1340</v>
      </c>
      <c r="G392" s="6"/>
    </row>
    <row r="393" spans="2:7">
      <c r="B393" s="5">
        <v>12</v>
      </c>
      <c r="C393" s="39" t="s">
        <v>1112</v>
      </c>
      <c r="G393" s="6"/>
    </row>
    <row r="394" spans="2:7">
      <c r="B394" s="5">
        <v>13</v>
      </c>
      <c r="C394" s="39" t="s">
        <v>214</v>
      </c>
      <c r="G394" s="6"/>
    </row>
    <row r="395" spans="2:7">
      <c r="B395" s="5">
        <v>14</v>
      </c>
      <c r="C395" s="39" t="s">
        <v>144</v>
      </c>
      <c r="G395" s="6"/>
    </row>
    <row r="396" spans="2:7">
      <c r="B396" s="5">
        <v>15</v>
      </c>
      <c r="C396" s="39" t="s">
        <v>1198</v>
      </c>
      <c r="G396" s="6"/>
    </row>
    <row r="397" spans="2:7">
      <c r="B397" s="18"/>
      <c r="G397" s="6"/>
    </row>
    <row r="398" spans="2:7">
      <c r="B398" s="18"/>
      <c r="C398" s="39" t="s">
        <v>325</v>
      </c>
      <c r="G398" s="6"/>
    </row>
    <row r="399" spans="2:7">
      <c r="B399" s="18"/>
      <c r="C399" s="39" t="s">
        <v>1169</v>
      </c>
      <c r="G399" s="6"/>
    </row>
    <row r="400" spans="2:7">
      <c r="B400" s="18"/>
      <c r="C400" s="39" t="s">
        <v>1346</v>
      </c>
      <c r="G400" s="6"/>
    </row>
    <row r="401" spans="2:7">
      <c r="B401" s="18"/>
      <c r="C401" s="39" t="s">
        <v>1336</v>
      </c>
      <c r="G401" s="6"/>
    </row>
    <row r="402" spans="2:7">
      <c r="B402" s="18"/>
      <c r="C402" s="39"/>
      <c r="G402" s="6"/>
    </row>
    <row r="403" spans="2:7">
      <c r="B403" s="18"/>
      <c r="G403" s="6"/>
    </row>
    <row r="404" spans="2:7">
      <c r="B404" s="18"/>
      <c r="C404" s="2" t="s">
        <v>21</v>
      </c>
      <c r="G404" s="6"/>
    </row>
    <row r="405" spans="2:7">
      <c r="B405" s="82" t="s">
        <v>336</v>
      </c>
      <c r="C405" s="39" t="s">
        <v>59</v>
      </c>
      <c r="G405" s="6"/>
    </row>
    <row r="406" spans="2:7">
      <c r="B406" s="82" t="s">
        <v>336</v>
      </c>
      <c r="C406" s="39" t="s">
        <v>33</v>
      </c>
      <c r="G406" s="6"/>
    </row>
    <row r="407" spans="2:7">
      <c r="B407" s="82" t="s">
        <v>336</v>
      </c>
      <c r="C407" s="39" t="s">
        <v>236</v>
      </c>
      <c r="G407" s="6"/>
    </row>
    <row r="408" spans="2:7">
      <c r="B408" s="82" t="s">
        <v>336</v>
      </c>
      <c r="C408" s="39" t="s">
        <v>144</v>
      </c>
      <c r="G408" s="6"/>
    </row>
    <row r="409" spans="2:7">
      <c r="B409" s="82" t="s">
        <v>336</v>
      </c>
      <c r="C409" s="39" t="s">
        <v>1344</v>
      </c>
      <c r="G409" s="6"/>
    </row>
    <row r="410" spans="2:7">
      <c r="B410" s="18"/>
      <c r="C410" s="39"/>
      <c r="G410" s="6"/>
    </row>
    <row r="411" spans="2:7">
      <c r="B411" s="18"/>
      <c r="C411" s="15" t="s">
        <v>337</v>
      </c>
      <c r="G411" s="6"/>
    </row>
    <row r="412" spans="2:7">
      <c r="B412" s="82" t="s">
        <v>351</v>
      </c>
      <c r="C412" s="39" t="s">
        <v>236</v>
      </c>
      <c r="G412" s="6"/>
    </row>
    <row r="413" spans="2:7">
      <c r="B413" s="18"/>
      <c r="G413" s="6"/>
    </row>
    <row r="414" spans="2:7">
      <c r="B414" s="18"/>
      <c r="C414" s="1" t="s">
        <v>22</v>
      </c>
      <c r="G414" s="6"/>
    </row>
    <row r="415" spans="2:7">
      <c r="B415" s="82"/>
      <c r="C415" s="39" t="s">
        <v>339</v>
      </c>
      <c r="G415" s="6"/>
    </row>
    <row r="416" spans="2:7">
      <c r="B416" s="18"/>
      <c r="G416" s="6"/>
    </row>
    <row r="417" spans="2:7">
      <c r="B417" s="18"/>
      <c r="C417" s="1" t="s">
        <v>23</v>
      </c>
      <c r="G417" s="6"/>
    </row>
    <row r="418" spans="2:7">
      <c r="B418" s="82"/>
      <c r="C418" s="66" t="s">
        <v>339</v>
      </c>
      <c r="G418" s="6"/>
    </row>
    <row r="419" spans="2:7" ht="13.5" thickBot="1">
      <c r="B419" s="19"/>
      <c r="C419" s="20"/>
      <c r="D419" s="20"/>
      <c r="E419" s="8"/>
      <c r="F419" s="20"/>
      <c r="G419" s="9"/>
    </row>
    <row r="420" spans="2:7">
      <c r="B420" s="121"/>
      <c r="C420" s="16"/>
      <c r="D420" s="16"/>
      <c r="E420" s="120"/>
      <c r="F420" s="16"/>
      <c r="G420" s="16"/>
    </row>
    <row r="421" spans="2:7" ht="13.5" thickBot="1">
      <c r="B421" s="168"/>
      <c r="C421" s="20"/>
      <c r="D421" s="20"/>
      <c r="E421" s="8"/>
      <c r="F421" s="20"/>
      <c r="G421" s="20"/>
    </row>
    <row r="422" spans="2:7" ht="13.5" thickBot="1">
      <c r="B422" s="236">
        <v>45066</v>
      </c>
      <c r="C422" s="237"/>
      <c r="D422" s="237"/>
      <c r="E422" s="237"/>
      <c r="F422" s="237"/>
      <c r="G422" s="238"/>
    </row>
    <row r="423" spans="2:7" ht="13.5" thickBot="1">
      <c r="B423" s="18"/>
      <c r="G423" s="6"/>
    </row>
    <row r="424" spans="2:7">
      <c r="B424" s="18"/>
      <c r="C424" s="21" t="s">
        <v>27</v>
      </c>
      <c r="D424" s="16"/>
      <c r="E424" s="80" t="s">
        <v>1</v>
      </c>
      <c r="F424" s="4">
        <v>41</v>
      </c>
      <c r="G424" s="6"/>
    </row>
    <row r="425" spans="2:7" ht="13.5" thickBot="1">
      <c r="B425" s="18"/>
      <c r="C425" s="7"/>
      <c r="D425" s="20"/>
      <c r="E425" s="83" t="s">
        <v>185</v>
      </c>
      <c r="F425" s="22">
        <v>33</v>
      </c>
      <c r="G425" s="6"/>
    </row>
    <row r="426" spans="2:7" ht="13.5" thickBot="1">
      <c r="B426" s="18"/>
      <c r="G426" s="6"/>
    </row>
    <row r="427" spans="2:7">
      <c r="B427" s="18"/>
      <c r="C427" s="3" t="s">
        <v>4</v>
      </c>
      <c r="D427" s="16"/>
      <c r="E427" s="80" t="s">
        <v>1</v>
      </c>
      <c r="F427" s="84" t="s">
        <v>205</v>
      </c>
      <c r="G427" s="6"/>
    </row>
    <row r="428" spans="2:7">
      <c r="B428" s="18"/>
      <c r="C428" s="5" t="s">
        <v>2</v>
      </c>
      <c r="E428" s="39" t="s">
        <v>404</v>
      </c>
      <c r="F428" s="6"/>
      <c r="G428" s="6"/>
    </row>
    <row r="429" spans="2:7" ht="13.5" thickBot="1">
      <c r="B429" s="18"/>
      <c r="C429" s="7" t="s">
        <v>3</v>
      </c>
      <c r="D429" s="20"/>
      <c r="E429" s="81" t="s">
        <v>757</v>
      </c>
      <c r="F429" s="9"/>
      <c r="G429" s="6"/>
    </row>
    <row r="430" spans="2:7" ht="13.5" thickBot="1">
      <c r="B430" s="18"/>
      <c r="G430" s="6"/>
    </row>
    <row r="431" spans="2:7" ht="13.5" thickBot="1">
      <c r="B431" s="18"/>
      <c r="C431" s="23" t="s">
        <v>29</v>
      </c>
      <c r="D431" s="24"/>
      <c r="E431" s="87" t="s">
        <v>1330</v>
      </c>
      <c r="F431" s="25"/>
      <c r="G431" s="6"/>
    </row>
    <row r="432" spans="2:7">
      <c r="B432" s="18"/>
      <c r="G432" s="6"/>
    </row>
    <row r="433" spans="2:7">
      <c r="B433" s="18"/>
      <c r="C433" t="s">
        <v>5</v>
      </c>
      <c r="G433" s="6"/>
    </row>
    <row r="434" spans="2:7">
      <c r="B434" s="18"/>
      <c r="G434" s="6"/>
    </row>
    <row r="435" spans="2:7">
      <c r="B435" s="5">
        <v>1</v>
      </c>
      <c r="C435" s="39" t="s">
        <v>327</v>
      </c>
      <c r="G435" s="6"/>
    </row>
    <row r="436" spans="2:7">
      <c r="B436" s="5">
        <v>2</v>
      </c>
      <c r="C436" s="39" t="s">
        <v>1113</v>
      </c>
      <c r="G436" s="6"/>
    </row>
    <row r="437" spans="2:7">
      <c r="B437" s="5">
        <v>3</v>
      </c>
      <c r="C437" s="39" t="s">
        <v>1314</v>
      </c>
      <c r="G437" s="6"/>
    </row>
    <row r="438" spans="2:7">
      <c r="B438" s="5">
        <v>4</v>
      </c>
      <c r="C438" s="39" t="s">
        <v>1329</v>
      </c>
      <c r="G438" s="6"/>
    </row>
    <row r="439" spans="2:7">
      <c r="B439" s="5">
        <v>5</v>
      </c>
      <c r="C439" s="39" t="s">
        <v>207</v>
      </c>
      <c r="G439" s="6"/>
    </row>
    <row r="440" spans="2:7">
      <c r="B440" s="5">
        <v>6</v>
      </c>
      <c r="C440" s="39" t="s">
        <v>1320</v>
      </c>
      <c r="G440" s="6"/>
    </row>
    <row r="441" spans="2:7">
      <c r="B441" s="5">
        <v>7</v>
      </c>
      <c r="C441" s="39" t="s">
        <v>33</v>
      </c>
      <c r="G441" s="6"/>
    </row>
    <row r="442" spans="2:7">
      <c r="B442" s="5">
        <v>8</v>
      </c>
      <c r="C442" s="39" t="s">
        <v>1096</v>
      </c>
      <c r="G442" s="6"/>
    </row>
    <row r="443" spans="2:7">
      <c r="B443" s="5">
        <v>9</v>
      </c>
      <c r="C443" s="39" t="s">
        <v>1235</v>
      </c>
      <c r="G443" s="6"/>
    </row>
    <row r="444" spans="2:7">
      <c r="B444" s="5">
        <v>10</v>
      </c>
      <c r="C444" s="39" t="s">
        <v>607</v>
      </c>
      <c r="G444" s="6"/>
    </row>
    <row r="445" spans="2:7">
      <c r="B445" s="5">
        <v>11</v>
      </c>
      <c r="C445" s="39" t="s">
        <v>1340</v>
      </c>
      <c r="G445" s="6"/>
    </row>
    <row r="446" spans="2:7">
      <c r="B446" s="5">
        <v>12</v>
      </c>
      <c r="C446" s="39" t="s">
        <v>1344</v>
      </c>
      <c r="G446" s="6"/>
    </row>
    <row r="447" spans="2:7">
      <c r="B447" s="5">
        <v>13</v>
      </c>
      <c r="C447" s="39" t="s">
        <v>214</v>
      </c>
      <c r="G447" s="6"/>
    </row>
    <row r="448" spans="2:7">
      <c r="B448" s="5">
        <v>14</v>
      </c>
      <c r="C448" s="39" t="s">
        <v>144</v>
      </c>
      <c r="G448" s="6"/>
    </row>
    <row r="449" spans="2:7">
      <c r="B449" s="5">
        <v>15</v>
      </c>
      <c r="C449" s="39" t="s">
        <v>1198</v>
      </c>
      <c r="G449" s="6"/>
    </row>
    <row r="450" spans="2:7">
      <c r="B450" s="18"/>
      <c r="G450" s="6"/>
    </row>
    <row r="451" spans="2:7">
      <c r="B451" s="18"/>
      <c r="C451" s="39" t="s">
        <v>325</v>
      </c>
      <c r="G451" s="6"/>
    </row>
    <row r="452" spans="2:7">
      <c r="B452" s="18"/>
      <c r="C452" s="39" t="s">
        <v>1347</v>
      </c>
      <c r="G452" s="6"/>
    </row>
    <row r="453" spans="2:7">
      <c r="B453" s="18"/>
      <c r="C453" s="39" t="s">
        <v>1348</v>
      </c>
      <c r="G453" s="6"/>
    </row>
    <row r="454" spans="2:7">
      <c r="B454" s="18"/>
      <c r="C454" s="39" t="s">
        <v>1336</v>
      </c>
      <c r="G454" s="6"/>
    </row>
    <row r="455" spans="2:7">
      <c r="B455" s="18"/>
      <c r="C455" s="39" t="s">
        <v>1349</v>
      </c>
      <c r="G455" s="6"/>
    </row>
    <row r="456" spans="2:7">
      <c r="B456" s="18"/>
      <c r="C456" s="39" t="s">
        <v>1350</v>
      </c>
      <c r="G456" s="6"/>
    </row>
    <row r="457" spans="2:7">
      <c r="B457" s="18"/>
      <c r="G457" s="6"/>
    </row>
    <row r="458" spans="2:7">
      <c r="B458" s="18"/>
      <c r="C458" s="2" t="s">
        <v>21</v>
      </c>
      <c r="G458" s="6"/>
    </row>
    <row r="459" spans="2:7">
      <c r="B459" s="82" t="s">
        <v>336</v>
      </c>
      <c r="C459" s="39" t="s">
        <v>207</v>
      </c>
      <c r="G459" s="6"/>
    </row>
    <row r="460" spans="2:7">
      <c r="B460" s="82" t="s">
        <v>336</v>
      </c>
      <c r="C460" s="39" t="s">
        <v>33</v>
      </c>
      <c r="G460" s="6"/>
    </row>
    <row r="461" spans="2:7">
      <c r="B461" s="82" t="s">
        <v>336</v>
      </c>
      <c r="C461" s="39" t="s">
        <v>1329</v>
      </c>
      <c r="G461" s="6"/>
    </row>
    <row r="462" spans="2:7">
      <c r="B462" s="82" t="s">
        <v>336</v>
      </c>
      <c r="C462" s="39" t="s">
        <v>144</v>
      </c>
      <c r="G462" s="6"/>
    </row>
    <row r="463" spans="2:7">
      <c r="B463" s="82" t="s">
        <v>352</v>
      </c>
      <c r="C463" s="39" t="s">
        <v>1113</v>
      </c>
      <c r="G463" s="6"/>
    </row>
    <row r="464" spans="2:7">
      <c r="B464" s="18"/>
      <c r="C464" s="39"/>
      <c r="G464" s="6"/>
    </row>
    <row r="465" spans="2:26">
      <c r="B465" s="18"/>
      <c r="C465" s="15" t="s">
        <v>337</v>
      </c>
      <c r="G465" s="6"/>
    </row>
    <row r="466" spans="2:26">
      <c r="B466" s="82" t="s">
        <v>338</v>
      </c>
      <c r="C466" s="39" t="s">
        <v>236</v>
      </c>
      <c r="G466" s="6"/>
    </row>
    <row r="467" spans="2:26">
      <c r="B467" s="18"/>
      <c r="G467" s="6"/>
    </row>
    <row r="468" spans="2:26">
      <c r="B468" s="18"/>
      <c r="C468" s="1" t="s">
        <v>22</v>
      </c>
      <c r="G468" s="6"/>
    </row>
    <row r="469" spans="2:26">
      <c r="B469" s="82" t="s">
        <v>336</v>
      </c>
      <c r="C469" s="39" t="s">
        <v>236</v>
      </c>
      <c r="G469" s="6"/>
    </row>
    <row r="470" spans="2:26">
      <c r="B470" s="18"/>
      <c r="G470" s="6"/>
    </row>
    <row r="471" spans="2:26">
      <c r="B471" s="18"/>
      <c r="C471" s="1" t="s">
        <v>23</v>
      </c>
      <c r="G471" s="6"/>
    </row>
    <row r="472" spans="2:26">
      <c r="B472" s="82"/>
      <c r="C472" s="66" t="s">
        <v>339</v>
      </c>
      <c r="G472" s="6"/>
    </row>
    <row r="473" spans="2:26" ht="13.5" thickBot="1">
      <c r="B473" s="19"/>
      <c r="C473" s="20"/>
      <c r="D473" s="20"/>
      <c r="E473" s="8"/>
      <c r="F473" s="20"/>
      <c r="G473" s="9"/>
    </row>
    <row r="474" spans="2:26">
      <c r="B474" s="16"/>
      <c r="C474" s="80"/>
      <c r="D474" s="16"/>
      <c r="E474" s="120"/>
      <c r="F474" s="16"/>
      <c r="G474" s="16"/>
    </row>
    <row r="475" spans="2:26" ht="13.5" thickBot="1">
      <c r="B475" s="20"/>
      <c r="C475" s="83"/>
      <c r="D475" s="20"/>
      <c r="E475" s="8"/>
      <c r="F475" s="20"/>
      <c r="G475" s="20"/>
    </row>
    <row r="476" spans="2:26" ht="13.5" thickBot="1">
      <c r="B476" s="236">
        <v>45080</v>
      </c>
      <c r="C476" s="237"/>
      <c r="D476" s="237"/>
      <c r="E476" s="237"/>
      <c r="F476" s="237"/>
      <c r="G476" s="238"/>
    </row>
    <row r="477" spans="2:26" ht="13.5" thickBot="1">
      <c r="B477" s="18"/>
      <c r="G477" s="6"/>
    </row>
    <row r="478" spans="2:26">
      <c r="B478" s="18"/>
      <c r="C478" s="21" t="s">
        <v>27</v>
      </c>
      <c r="D478" s="16"/>
      <c r="E478" s="80" t="s">
        <v>118</v>
      </c>
      <c r="F478" s="4">
        <v>31</v>
      </c>
      <c r="G478" s="6"/>
    </row>
    <row r="479" spans="2:26" ht="13.5" thickBot="1">
      <c r="B479" s="18"/>
      <c r="C479" s="7"/>
      <c r="D479" s="20"/>
      <c r="E479" s="83" t="s">
        <v>1</v>
      </c>
      <c r="F479" s="22">
        <v>28</v>
      </c>
      <c r="G479" s="6"/>
      <c r="J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55"/>
      <c r="Z479" s="15"/>
    </row>
    <row r="480" spans="2:26" ht="13.5" thickBot="1">
      <c r="B480" s="18"/>
      <c r="G480" s="6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</row>
    <row r="481" spans="2:26">
      <c r="B481" s="18"/>
      <c r="C481" s="3" t="s">
        <v>4</v>
      </c>
      <c r="D481" s="16"/>
      <c r="E481" s="80" t="s">
        <v>118</v>
      </c>
      <c r="F481" s="84"/>
      <c r="G481" s="6"/>
      <c r="I481" s="198"/>
      <c r="J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>
      <c r="B482" s="18"/>
      <c r="C482" s="5" t="s">
        <v>2</v>
      </c>
      <c r="E482" s="39" t="s">
        <v>326</v>
      </c>
      <c r="F482" s="6"/>
      <c r="G482" s="6"/>
      <c r="I482" s="198"/>
      <c r="J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ht="13.5" thickBot="1">
      <c r="B483" s="18"/>
      <c r="C483" s="7" t="s">
        <v>3</v>
      </c>
      <c r="D483" s="20"/>
      <c r="E483" s="81" t="s">
        <v>354</v>
      </c>
      <c r="F483" s="9"/>
      <c r="G483" s="6"/>
      <c r="Y483" s="1"/>
      <c r="Z483" s="1"/>
    </row>
    <row r="484" spans="2:26" ht="13.5" thickBot="1">
      <c r="B484" s="18"/>
      <c r="G484" s="6"/>
      <c r="I484" s="198"/>
      <c r="J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ht="13.5" thickBot="1">
      <c r="B485" s="18"/>
      <c r="C485" s="23" t="s">
        <v>29</v>
      </c>
      <c r="D485" s="24"/>
      <c r="E485" s="87" t="s">
        <v>1343</v>
      </c>
      <c r="F485" s="25"/>
      <c r="G485" s="6"/>
      <c r="I485" s="198"/>
      <c r="J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>
      <c r="B486" s="18"/>
      <c r="G486" s="6"/>
    </row>
    <row r="487" spans="2:26">
      <c r="B487" s="18"/>
      <c r="C487" t="s">
        <v>5</v>
      </c>
      <c r="G487" s="6"/>
    </row>
    <row r="488" spans="2:26">
      <c r="B488" s="18"/>
      <c r="G488" s="6"/>
    </row>
    <row r="489" spans="2:26">
      <c r="B489" s="5">
        <v>1</v>
      </c>
      <c r="C489" s="39" t="s">
        <v>1172</v>
      </c>
      <c r="G489" s="6"/>
      <c r="I489" s="197">
        <v>95</v>
      </c>
      <c r="J489">
        <v>28</v>
      </c>
    </row>
    <row r="490" spans="2:26">
      <c r="B490" s="5">
        <v>2</v>
      </c>
      <c r="C490" s="39" t="s">
        <v>1113</v>
      </c>
      <c r="G490" s="6"/>
      <c r="I490" s="198" t="s">
        <v>1351</v>
      </c>
      <c r="J490">
        <v>22</v>
      </c>
    </row>
    <row r="491" spans="2:26">
      <c r="B491" s="5">
        <v>3</v>
      </c>
      <c r="C491" s="39" t="s">
        <v>1314</v>
      </c>
      <c r="G491" s="6"/>
      <c r="I491" s="198" t="s">
        <v>1352</v>
      </c>
      <c r="J491">
        <v>23</v>
      </c>
    </row>
    <row r="492" spans="2:26">
      <c r="B492" s="5">
        <v>4</v>
      </c>
      <c r="C492" s="39" t="s">
        <v>1329</v>
      </c>
      <c r="G492" s="6"/>
      <c r="I492" s="198" t="s">
        <v>1353</v>
      </c>
      <c r="J492">
        <v>20</v>
      </c>
    </row>
    <row r="493" spans="2:26">
      <c r="B493" s="5">
        <v>5</v>
      </c>
      <c r="C493" s="39" t="s">
        <v>207</v>
      </c>
      <c r="G493" s="6"/>
      <c r="I493" s="198" t="s">
        <v>1354</v>
      </c>
      <c r="J493">
        <v>26</v>
      </c>
    </row>
    <row r="494" spans="2:26">
      <c r="B494" s="5">
        <v>6</v>
      </c>
      <c r="C494" s="39" t="s">
        <v>1320</v>
      </c>
      <c r="G494" s="6"/>
      <c r="I494" s="198" t="s">
        <v>1353</v>
      </c>
      <c r="J494">
        <v>20</v>
      </c>
    </row>
    <row r="495" spans="2:26">
      <c r="B495" s="5">
        <v>7</v>
      </c>
      <c r="C495" s="39" t="s">
        <v>1324</v>
      </c>
      <c r="G495" s="6"/>
      <c r="I495" s="198" t="s">
        <v>1353</v>
      </c>
      <c r="J495">
        <v>20</v>
      </c>
    </row>
    <row r="496" spans="2:26">
      <c r="B496" s="5">
        <v>8</v>
      </c>
      <c r="C496" s="39" t="s">
        <v>1096</v>
      </c>
      <c r="G496" s="6"/>
      <c r="I496" s="198" t="s">
        <v>1355</v>
      </c>
      <c r="J496">
        <v>24</v>
      </c>
    </row>
    <row r="497" spans="2:10">
      <c r="B497" s="5">
        <v>9</v>
      </c>
      <c r="C497" s="39" t="s">
        <v>1235</v>
      </c>
      <c r="G497" s="6"/>
      <c r="I497" s="198" t="s">
        <v>1356</v>
      </c>
      <c r="J497">
        <v>28</v>
      </c>
    </row>
    <row r="498" spans="2:10">
      <c r="B498" s="5">
        <v>10</v>
      </c>
      <c r="C498" s="39" t="s">
        <v>607</v>
      </c>
      <c r="G498" s="6"/>
      <c r="I498" s="198" t="s">
        <v>1357</v>
      </c>
      <c r="J498">
        <v>29</v>
      </c>
    </row>
    <row r="499" spans="2:10">
      <c r="B499" s="5">
        <v>11</v>
      </c>
      <c r="C499" s="39" t="s">
        <v>1340</v>
      </c>
      <c r="G499" s="6"/>
      <c r="I499" s="198" t="s">
        <v>1353</v>
      </c>
      <c r="J499">
        <v>20</v>
      </c>
    </row>
    <row r="500" spans="2:10">
      <c r="B500" s="5">
        <v>12</v>
      </c>
      <c r="C500" s="39" t="s">
        <v>1344</v>
      </c>
      <c r="G500" s="6"/>
      <c r="I500" s="198" t="s">
        <v>1358</v>
      </c>
      <c r="J500">
        <v>19</v>
      </c>
    </row>
    <row r="501" spans="2:10">
      <c r="B501" s="5">
        <v>13</v>
      </c>
      <c r="C501" s="39" t="s">
        <v>214</v>
      </c>
      <c r="G501" s="6"/>
      <c r="I501" s="198" t="s">
        <v>1359</v>
      </c>
      <c r="J501">
        <v>25</v>
      </c>
    </row>
    <row r="502" spans="2:10">
      <c r="B502" s="5">
        <v>14</v>
      </c>
      <c r="C502" s="39" t="s">
        <v>144</v>
      </c>
      <c r="G502" s="6"/>
      <c r="I502" s="198" t="s">
        <v>1356</v>
      </c>
      <c r="J502">
        <v>28</v>
      </c>
    </row>
    <row r="503" spans="2:10">
      <c r="B503" s="5">
        <v>15</v>
      </c>
      <c r="C503" s="39" t="s">
        <v>1198</v>
      </c>
      <c r="G503" s="6"/>
      <c r="I503" s="198" t="s">
        <v>1355</v>
      </c>
      <c r="J503">
        <v>24</v>
      </c>
    </row>
    <row r="504" spans="2:10">
      <c r="B504" s="18"/>
      <c r="G504" s="6"/>
      <c r="J504">
        <f>SUM(J489:J503)</f>
        <v>356</v>
      </c>
    </row>
    <row r="505" spans="2:10">
      <c r="B505" s="18"/>
      <c r="C505" s="39" t="s">
        <v>325</v>
      </c>
      <c r="G505" s="6"/>
      <c r="J505">
        <f>+J504/15</f>
        <v>23.733333333333334</v>
      </c>
    </row>
    <row r="506" spans="2:10">
      <c r="B506" s="18"/>
      <c r="C506" s="39" t="s">
        <v>1289</v>
      </c>
      <c r="G506" s="6"/>
    </row>
    <row r="507" spans="2:10">
      <c r="B507" s="18"/>
      <c r="C507" s="39" t="s">
        <v>1298</v>
      </c>
      <c r="G507" s="6"/>
    </row>
    <row r="508" spans="2:10">
      <c r="B508" s="18"/>
      <c r="C508" s="39" t="s">
        <v>1336</v>
      </c>
      <c r="G508" s="6"/>
    </row>
    <row r="509" spans="2:10">
      <c r="B509" s="18"/>
      <c r="C509" s="39" t="s">
        <v>1360</v>
      </c>
      <c r="G509" s="6"/>
    </row>
    <row r="510" spans="2:10">
      <c r="B510" s="18"/>
      <c r="C510" s="39"/>
      <c r="G510" s="6"/>
    </row>
    <row r="511" spans="2:10">
      <c r="B511" s="18"/>
      <c r="G511" s="6"/>
    </row>
    <row r="512" spans="2:10">
      <c r="B512" s="18"/>
      <c r="C512" s="2" t="s">
        <v>21</v>
      </c>
      <c r="G512" s="6"/>
    </row>
    <row r="513" spans="2:7">
      <c r="B513" s="82" t="s">
        <v>336</v>
      </c>
      <c r="C513" s="39" t="s">
        <v>1113</v>
      </c>
      <c r="G513" s="6"/>
    </row>
    <row r="514" spans="2:7">
      <c r="B514" s="82" t="s">
        <v>336</v>
      </c>
      <c r="C514" s="39" t="s">
        <v>1339</v>
      </c>
      <c r="G514" s="6"/>
    </row>
    <row r="515" spans="2:7">
      <c r="B515" s="82" t="s">
        <v>336</v>
      </c>
      <c r="C515" s="39" t="s">
        <v>1096</v>
      </c>
      <c r="G515" s="6"/>
    </row>
    <row r="516" spans="2:7">
      <c r="B516" s="82"/>
      <c r="C516" s="39"/>
      <c r="G516" s="6"/>
    </row>
    <row r="517" spans="2:7">
      <c r="B517" s="18"/>
      <c r="C517" s="15" t="s">
        <v>337</v>
      </c>
      <c r="G517" s="6"/>
    </row>
    <row r="518" spans="2:7">
      <c r="B518" s="82" t="s">
        <v>352</v>
      </c>
      <c r="C518" s="39" t="s">
        <v>236</v>
      </c>
      <c r="G518" s="6"/>
    </row>
    <row r="519" spans="2:7">
      <c r="B519" s="18"/>
      <c r="G519" s="6"/>
    </row>
    <row r="520" spans="2:7">
      <c r="B520" s="18"/>
      <c r="C520" s="1" t="s">
        <v>22</v>
      </c>
      <c r="G520" s="6"/>
    </row>
    <row r="521" spans="2:7">
      <c r="B521" s="82" t="s">
        <v>335</v>
      </c>
      <c r="C521" s="39" t="s">
        <v>236</v>
      </c>
      <c r="G521" s="6"/>
    </row>
    <row r="522" spans="2:7">
      <c r="B522" s="18"/>
      <c r="G522" s="6"/>
    </row>
    <row r="523" spans="2:7">
      <c r="B523" s="18"/>
      <c r="C523" s="1" t="s">
        <v>23</v>
      </c>
      <c r="G523" s="6"/>
    </row>
    <row r="524" spans="2:7">
      <c r="B524" s="82" t="s">
        <v>336</v>
      </c>
      <c r="C524" s="66" t="s">
        <v>607</v>
      </c>
      <c r="G524" s="6"/>
    </row>
    <row r="525" spans="2:7" ht="13.5" thickBot="1">
      <c r="B525" s="19"/>
      <c r="C525" s="20"/>
      <c r="D525" s="20"/>
      <c r="E525" s="8"/>
      <c r="F525" s="20"/>
      <c r="G525" s="9"/>
    </row>
    <row r="526" spans="2:7">
      <c r="B526" s="5"/>
      <c r="C526" s="39"/>
      <c r="G526" s="6"/>
    </row>
    <row r="527" spans="2:7" ht="13.5" thickBot="1">
      <c r="B527" s="5"/>
      <c r="C527" s="39"/>
      <c r="G527" s="6"/>
    </row>
    <row r="528" spans="2:7" ht="13.5" thickBot="1">
      <c r="B528" s="236">
        <v>45087</v>
      </c>
      <c r="C528" s="237"/>
      <c r="D528" s="237"/>
      <c r="E528" s="237"/>
      <c r="F528" s="237"/>
      <c r="G528" s="238"/>
    </row>
    <row r="529" spans="2:7" ht="13.5" thickBot="1">
      <c r="B529" s="18"/>
      <c r="G529" s="6"/>
    </row>
    <row r="530" spans="2:7">
      <c r="B530" s="18"/>
      <c r="C530" s="21" t="s">
        <v>27</v>
      </c>
      <c r="D530" s="16"/>
      <c r="E530" s="80" t="s">
        <v>1</v>
      </c>
      <c r="F530" s="4">
        <v>25</v>
      </c>
      <c r="G530" s="6"/>
    </row>
    <row r="531" spans="2:7" ht="13.5" thickBot="1">
      <c r="B531" s="18"/>
      <c r="C531" s="7"/>
      <c r="D531" s="20"/>
      <c r="E531" s="83" t="s">
        <v>1301</v>
      </c>
      <c r="F531" s="22">
        <v>19</v>
      </c>
      <c r="G531" s="6"/>
    </row>
    <row r="532" spans="2:7" ht="13.5" thickBot="1">
      <c r="B532" s="18"/>
      <c r="G532" s="6"/>
    </row>
    <row r="533" spans="2:7">
      <c r="B533" s="18"/>
      <c r="C533" s="3" t="s">
        <v>4</v>
      </c>
      <c r="D533" s="16"/>
      <c r="E533" s="80" t="s">
        <v>1</v>
      </c>
      <c r="F533" s="84" t="s">
        <v>205</v>
      </c>
      <c r="G533" s="6"/>
    </row>
    <row r="534" spans="2:7">
      <c r="B534" s="18"/>
      <c r="C534" s="5" t="s">
        <v>2</v>
      </c>
      <c r="E534" s="39" t="s">
        <v>404</v>
      </c>
      <c r="F534" s="6"/>
      <c r="G534" s="6"/>
    </row>
    <row r="535" spans="2:7" ht="13.5" thickBot="1">
      <c r="B535" s="18"/>
      <c r="C535" s="7" t="s">
        <v>3</v>
      </c>
      <c r="D535" s="20"/>
      <c r="E535" s="81" t="s">
        <v>326</v>
      </c>
      <c r="F535" s="9"/>
      <c r="G535" s="6"/>
    </row>
    <row r="536" spans="2:7" ht="13.5" thickBot="1">
      <c r="B536" s="18"/>
      <c r="G536" s="6"/>
    </row>
    <row r="537" spans="2:7" ht="13.5" thickBot="1">
      <c r="B537" s="18"/>
      <c r="C537" s="23" t="s">
        <v>29</v>
      </c>
      <c r="D537" s="24"/>
      <c r="E537" s="87" t="s">
        <v>215</v>
      </c>
      <c r="F537" s="25"/>
      <c r="G537" s="6"/>
    </row>
    <row r="538" spans="2:7">
      <c r="B538" s="18"/>
      <c r="G538" s="6"/>
    </row>
    <row r="539" spans="2:7">
      <c r="B539" s="18"/>
      <c r="C539" t="s">
        <v>5</v>
      </c>
      <c r="G539" s="6"/>
    </row>
    <row r="540" spans="2:7">
      <c r="B540" s="18"/>
      <c r="G540" s="6"/>
    </row>
    <row r="541" spans="2:7">
      <c r="B541" s="5">
        <v>1</v>
      </c>
      <c r="C541" s="39" t="s">
        <v>327</v>
      </c>
      <c r="G541" s="6"/>
    </row>
    <row r="542" spans="2:7">
      <c r="B542" s="5">
        <v>2</v>
      </c>
      <c r="C542" s="39" t="s">
        <v>1113</v>
      </c>
      <c r="G542" s="6"/>
    </row>
    <row r="543" spans="2:7">
      <c r="B543" s="5">
        <v>3</v>
      </c>
      <c r="C543" s="39" t="s">
        <v>1314</v>
      </c>
      <c r="G543" s="6"/>
    </row>
    <row r="544" spans="2:7">
      <c r="B544" s="5">
        <v>4</v>
      </c>
      <c r="C544" s="39" t="s">
        <v>1329</v>
      </c>
      <c r="G544" s="6"/>
    </row>
    <row r="545" spans="2:7">
      <c r="B545" s="5">
        <v>5</v>
      </c>
      <c r="C545" s="39" t="s">
        <v>207</v>
      </c>
      <c r="G545" s="6"/>
    </row>
    <row r="546" spans="2:7">
      <c r="B546" s="5">
        <v>6</v>
      </c>
      <c r="C546" s="39" t="s">
        <v>1320</v>
      </c>
      <c r="G546" s="6"/>
    </row>
    <row r="547" spans="2:7">
      <c r="B547" s="5">
        <v>7</v>
      </c>
      <c r="C547" s="39" t="s">
        <v>1324</v>
      </c>
      <c r="G547" s="6"/>
    </row>
    <row r="548" spans="2:7">
      <c r="B548" s="5">
        <v>8</v>
      </c>
      <c r="C548" s="39" t="s">
        <v>1096</v>
      </c>
      <c r="G548" s="6"/>
    </row>
    <row r="549" spans="2:7">
      <c r="B549" s="5">
        <v>9</v>
      </c>
      <c r="C549" s="39" t="s">
        <v>1235</v>
      </c>
      <c r="G549" s="6"/>
    </row>
    <row r="550" spans="2:7">
      <c r="B550" s="5">
        <v>10</v>
      </c>
      <c r="C550" s="39" t="s">
        <v>607</v>
      </c>
      <c r="G550" s="6"/>
    </row>
    <row r="551" spans="2:7">
      <c r="B551" s="5">
        <v>11</v>
      </c>
      <c r="C551" s="39" t="s">
        <v>1340</v>
      </c>
      <c r="G551" s="6"/>
    </row>
    <row r="552" spans="2:7">
      <c r="B552" s="5">
        <v>12</v>
      </c>
      <c r="C552" s="39" t="s">
        <v>1344</v>
      </c>
      <c r="G552" s="6"/>
    </row>
    <row r="553" spans="2:7">
      <c r="B553" s="5">
        <v>13</v>
      </c>
      <c r="C553" s="39" t="s">
        <v>214</v>
      </c>
      <c r="G553" s="6"/>
    </row>
    <row r="554" spans="2:7">
      <c r="B554" s="5">
        <v>14</v>
      </c>
      <c r="C554" s="39" t="s">
        <v>144</v>
      </c>
      <c r="G554" s="6"/>
    </row>
    <row r="555" spans="2:7">
      <c r="B555" s="5">
        <v>15</v>
      </c>
      <c r="C555" s="39" t="s">
        <v>1198</v>
      </c>
      <c r="G555" s="6"/>
    </row>
    <row r="556" spans="2:7">
      <c r="B556" s="18"/>
      <c r="G556" s="6"/>
    </row>
    <row r="557" spans="2:7">
      <c r="B557" s="18"/>
      <c r="C557" s="39" t="s">
        <v>325</v>
      </c>
      <c r="G557" s="6"/>
    </row>
    <row r="558" spans="2:7">
      <c r="B558" s="18"/>
      <c r="C558" s="39" t="s">
        <v>1349</v>
      </c>
      <c r="G558" s="6"/>
    </row>
    <row r="559" spans="2:7">
      <c r="B559" s="18"/>
      <c r="C559" s="39" t="s">
        <v>1336</v>
      </c>
      <c r="G559" s="6"/>
    </row>
    <row r="560" spans="2:7">
      <c r="B560" s="18"/>
      <c r="C560" s="39"/>
      <c r="G560" s="6"/>
    </row>
    <row r="561" spans="2:7">
      <c r="B561" s="18"/>
      <c r="G561" s="6"/>
    </row>
    <row r="562" spans="2:7">
      <c r="B562" s="18"/>
      <c r="C562" s="2" t="s">
        <v>21</v>
      </c>
      <c r="G562" s="6"/>
    </row>
    <row r="563" spans="2:7">
      <c r="B563" s="82" t="s">
        <v>336</v>
      </c>
      <c r="C563" s="39" t="s">
        <v>1329</v>
      </c>
      <c r="G563" s="6"/>
    </row>
    <row r="564" spans="2:7">
      <c r="B564" s="82" t="s">
        <v>336</v>
      </c>
      <c r="C564" s="39" t="s">
        <v>236</v>
      </c>
      <c r="G564" s="6"/>
    </row>
    <row r="565" spans="2:7">
      <c r="B565" s="82" t="s">
        <v>336</v>
      </c>
      <c r="C565" s="39" t="s">
        <v>56</v>
      </c>
      <c r="G565" s="6"/>
    </row>
    <row r="566" spans="2:7">
      <c r="B566" s="82"/>
      <c r="C566" s="39"/>
      <c r="G566" s="6"/>
    </row>
    <row r="567" spans="2:7">
      <c r="B567" s="18"/>
      <c r="C567" s="15" t="s">
        <v>337</v>
      </c>
      <c r="G567" s="6"/>
    </row>
    <row r="568" spans="2:7">
      <c r="B568" s="82" t="s">
        <v>336</v>
      </c>
      <c r="C568" s="39" t="s">
        <v>236</v>
      </c>
      <c r="G568" s="6"/>
    </row>
    <row r="569" spans="2:7">
      <c r="B569" s="18"/>
      <c r="G569" s="6"/>
    </row>
    <row r="570" spans="2:7">
      <c r="B570" s="18"/>
      <c r="C570" s="1" t="s">
        <v>22</v>
      </c>
      <c r="G570" s="6"/>
    </row>
    <row r="571" spans="2:7">
      <c r="B571" s="82" t="s">
        <v>352</v>
      </c>
      <c r="C571" s="39" t="s">
        <v>236</v>
      </c>
      <c r="G571" s="6"/>
    </row>
    <row r="572" spans="2:7">
      <c r="B572" s="18"/>
      <c r="G572" s="6"/>
    </row>
    <row r="573" spans="2:7">
      <c r="B573" s="18"/>
      <c r="C573" s="1" t="s">
        <v>23</v>
      </c>
      <c r="G573" s="6"/>
    </row>
    <row r="574" spans="2:7">
      <c r="B574" s="82" t="s">
        <v>336</v>
      </c>
      <c r="C574" s="66" t="s">
        <v>1235</v>
      </c>
      <c r="G574" s="6"/>
    </row>
    <row r="575" spans="2:7" ht="13.5" thickBot="1">
      <c r="B575" s="19"/>
      <c r="C575" s="20"/>
      <c r="D575" s="20"/>
      <c r="E575" s="8"/>
      <c r="F575" s="20"/>
      <c r="G575" s="9"/>
    </row>
    <row r="576" spans="2:7">
      <c r="B576" s="5"/>
      <c r="C576" s="39"/>
      <c r="G576" s="6"/>
    </row>
    <row r="577" spans="2:7" ht="13.5" thickBot="1">
      <c r="B577" s="18"/>
      <c r="G577" s="6"/>
    </row>
    <row r="578" spans="2:7" ht="13.5" thickBot="1">
      <c r="B578" s="236">
        <v>45101</v>
      </c>
      <c r="C578" s="237"/>
      <c r="D578" s="237"/>
      <c r="E578" s="237"/>
      <c r="F578" s="237"/>
      <c r="G578" s="238"/>
    </row>
    <row r="579" spans="2:7" ht="13.5" thickBot="1">
      <c r="B579" s="18"/>
      <c r="G579" s="6"/>
    </row>
    <row r="580" spans="2:7">
      <c r="B580" s="18"/>
      <c r="C580" s="21" t="s">
        <v>27</v>
      </c>
      <c r="D580" s="16"/>
      <c r="E580" s="80" t="s">
        <v>49</v>
      </c>
      <c r="F580" s="4">
        <v>33</v>
      </c>
      <c r="G580" s="6"/>
    </row>
    <row r="581" spans="2:7" ht="13.5" thickBot="1">
      <c r="B581" s="18"/>
      <c r="C581" s="7"/>
      <c r="D581" s="20"/>
      <c r="E581" s="83" t="s">
        <v>1</v>
      </c>
      <c r="F581" s="22">
        <v>41</v>
      </c>
      <c r="G581" s="6"/>
    </row>
    <row r="582" spans="2:7" ht="13.5" thickBot="1">
      <c r="B582" s="18"/>
      <c r="G582" s="6"/>
    </row>
    <row r="583" spans="2:7">
      <c r="B583" s="18"/>
      <c r="C583" s="3" t="s">
        <v>4</v>
      </c>
      <c r="D583" s="16"/>
      <c r="E583" s="80" t="s">
        <v>49</v>
      </c>
      <c r="F583" s="84"/>
      <c r="G583" s="6"/>
    </row>
    <row r="584" spans="2:7">
      <c r="B584" s="18"/>
      <c r="C584" s="5" t="s">
        <v>2</v>
      </c>
      <c r="E584" s="39" t="s">
        <v>404</v>
      </c>
      <c r="F584" s="6"/>
      <c r="G584" s="6"/>
    </row>
    <row r="585" spans="2:7" ht="13.5" thickBot="1">
      <c r="B585" s="18"/>
      <c r="C585" s="7" t="s">
        <v>3</v>
      </c>
      <c r="D585" s="20"/>
      <c r="E585" s="81" t="s">
        <v>326</v>
      </c>
      <c r="F585" s="9"/>
      <c r="G585" s="6"/>
    </row>
    <row r="586" spans="2:7" ht="13.5" thickBot="1">
      <c r="B586" s="18"/>
      <c r="G586" s="6"/>
    </row>
    <row r="587" spans="2:7" ht="13.5" thickBot="1">
      <c r="B587" s="18"/>
      <c r="C587" s="23" t="s">
        <v>29</v>
      </c>
      <c r="D587" s="24"/>
      <c r="E587" s="87" t="s">
        <v>1163</v>
      </c>
      <c r="F587" s="25"/>
      <c r="G587" s="6"/>
    </row>
    <row r="588" spans="2:7">
      <c r="B588" s="18"/>
      <c r="G588" s="6"/>
    </row>
    <row r="589" spans="2:7">
      <c r="B589" s="18"/>
      <c r="C589" t="s">
        <v>5</v>
      </c>
      <c r="G589" s="6"/>
    </row>
    <row r="590" spans="2:7">
      <c r="B590" s="18"/>
      <c r="G590" s="6"/>
    </row>
    <row r="591" spans="2:7">
      <c r="B591" s="5">
        <v>1</v>
      </c>
      <c r="C591" s="39" t="s">
        <v>1172</v>
      </c>
      <c r="G591" s="6"/>
    </row>
    <row r="592" spans="2:7">
      <c r="B592" s="5">
        <v>2</v>
      </c>
      <c r="C592" s="39" t="s">
        <v>1113</v>
      </c>
      <c r="G592" s="6"/>
    </row>
    <row r="593" spans="2:7">
      <c r="B593" s="5">
        <v>3</v>
      </c>
      <c r="C593" s="39" t="s">
        <v>1314</v>
      </c>
      <c r="G593" s="6"/>
    </row>
    <row r="594" spans="2:7">
      <c r="B594" s="5">
        <v>4</v>
      </c>
      <c r="C594" s="39" t="s">
        <v>1329</v>
      </c>
      <c r="G594" s="6"/>
    </row>
    <row r="595" spans="2:7">
      <c r="B595" s="5">
        <v>5</v>
      </c>
      <c r="C595" s="39" t="s">
        <v>207</v>
      </c>
      <c r="G595" s="6"/>
    </row>
    <row r="596" spans="2:7">
      <c r="B596" s="5">
        <v>6</v>
      </c>
      <c r="C596" s="39" t="s">
        <v>1320</v>
      </c>
      <c r="G596" s="6"/>
    </row>
    <row r="597" spans="2:7">
      <c r="B597" s="5">
        <v>7</v>
      </c>
      <c r="C597" s="39" t="s">
        <v>1324</v>
      </c>
      <c r="G597" s="6"/>
    </row>
    <row r="598" spans="2:7">
      <c r="B598" s="5">
        <v>8</v>
      </c>
      <c r="C598" s="39" t="s">
        <v>1096</v>
      </c>
      <c r="G598" s="6"/>
    </row>
    <row r="599" spans="2:7">
      <c r="B599" s="5">
        <v>9</v>
      </c>
      <c r="C599" s="39" t="s">
        <v>1235</v>
      </c>
      <c r="G599" s="6"/>
    </row>
    <row r="600" spans="2:7">
      <c r="B600" s="5">
        <v>10</v>
      </c>
      <c r="C600" s="39" t="s">
        <v>607</v>
      </c>
      <c r="G600" s="6"/>
    </row>
    <row r="601" spans="2:7">
      <c r="B601" s="5">
        <v>11</v>
      </c>
      <c r="C601" s="39" t="s">
        <v>1340</v>
      </c>
      <c r="G601" s="6"/>
    </row>
    <row r="602" spans="2:7">
      <c r="B602" s="5">
        <v>12</v>
      </c>
      <c r="C602" s="39" t="s">
        <v>1112</v>
      </c>
      <c r="G602" s="6"/>
    </row>
    <row r="603" spans="2:7">
      <c r="B603" s="5">
        <v>13</v>
      </c>
      <c r="C603" s="39" t="s">
        <v>214</v>
      </c>
      <c r="G603" s="6"/>
    </row>
    <row r="604" spans="2:7">
      <c r="B604" s="5">
        <v>14</v>
      </c>
      <c r="C604" s="39" t="s">
        <v>1245</v>
      </c>
      <c r="G604" s="6"/>
    </row>
    <row r="605" spans="2:7">
      <c r="B605" s="5">
        <v>15</v>
      </c>
      <c r="C605" s="39" t="s">
        <v>1198</v>
      </c>
      <c r="G605" s="6"/>
    </row>
    <row r="606" spans="2:7">
      <c r="B606" s="18"/>
      <c r="G606" s="6"/>
    </row>
    <row r="607" spans="2:7">
      <c r="B607" s="18"/>
      <c r="C607" s="39" t="s">
        <v>325</v>
      </c>
      <c r="G607" s="6"/>
    </row>
    <row r="608" spans="2:7">
      <c r="B608" s="18"/>
      <c r="C608" s="39" t="s">
        <v>1361</v>
      </c>
      <c r="G608" s="6"/>
    </row>
    <row r="609" spans="2:7">
      <c r="B609" s="18"/>
      <c r="C609" s="39" t="s">
        <v>1362</v>
      </c>
      <c r="G609" s="6"/>
    </row>
    <row r="610" spans="2:7">
      <c r="B610" s="18"/>
      <c r="C610" s="39"/>
      <c r="G610" s="6"/>
    </row>
    <row r="611" spans="2:7">
      <c r="B611" s="18"/>
      <c r="G611" s="6"/>
    </row>
    <row r="612" spans="2:7">
      <c r="B612" s="18"/>
      <c r="C612" s="2" t="s">
        <v>21</v>
      </c>
      <c r="G612" s="6"/>
    </row>
    <row r="613" spans="2:7">
      <c r="B613" s="82" t="s">
        <v>352</v>
      </c>
      <c r="C613" s="39" t="s">
        <v>1112</v>
      </c>
      <c r="G613" s="6"/>
    </row>
    <row r="614" spans="2:7">
      <c r="B614" s="82" t="s">
        <v>336</v>
      </c>
      <c r="C614" s="39" t="s">
        <v>1113</v>
      </c>
      <c r="G614" s="6"/>
    </row>
    <row r="615" spans="2:7">
      <c r="B615" s="82" t="s">
        <v>336</v>
      </c>
      <c r="C615" s="39" t="s">
        <v>236</v>
      </c>
      <c r="G615" s="6"/>
    </row>
    <row r="616" spans="2:7">
      <c r="B616" s="82" t="s">
        <v>336</v>
      </c>
      <c r="C616" s="39" t="s">
        <v>1235</v>
      </c>
      <c r="G616" s="6"/>
    </row>
    <row r="617" spans="2:7">
      <c r="B617" s="82"/>
      <c r="C617" s="39"/>
      <c r="G617" s="6"/>
    </row>
    <row r="618" spans="2:7">
      <c r="B618" s="18"/>
      <c r="C618" s="15" t="s">
        <v>337</v>
      </c>
      <c r="G618" s="6"/>
    </row>
    <row r="619" spans="2:7">
      <c r="B619" s="82" t="s">
        <v>351</v>
      </c>
      <c r="C619" s="39" t="s">
        <v>236</v>
      </c>
      <c r="G619" s="6"/>
    </row>
    <row r="620" spans="2:7">
      <c r="B620" s="18"/>
      <c r="G620" s="6"/>
    </row>
    <row r="621" spans="2:7">
      <c r="B621" s="18"/>
      <c r="C621" s="1" t="s">
        <v>22</v>
      </c>
      <c r="G621" s="6"/>
    </row>
    <row r="622" spans="2:7">
      <c r="B622" s="82" t="s">
        <v>352</v>
      </c>
      <c r="C622" s="39" t="s">
        <v>236</v>
      </c>
      <c r="G622" s="6"/>
    </row>
    <row r="623" spans="2:7">
      <c r="B623" s="18"/>
      <c r="G623" s="6"/>
    </row>
    <row r="624" spans="2:7">
      <c r="B624" s="18"/>
      <c r="C624" s="1" t="s">
        <v>23</v>
      </c>
      <c r="G624" s="6"/>
    </row>
    <row r="625" spans="2:7">
      <c r="B625" s="82" t="s">
        <v>336</v>
      </c>
      <c r="C625" s="66" t="s">
        <v>1320</v>
      </c>
      <c r="G625" s="6"/>
    </row>
    <row r="626" spans="2:7" ht="13.5" thickBot="1">
      <c r="B626" s="19"/>
      <c r="C626" s="20"/>
      <c r="D626" s="20"/>
      <c r="E626" s="8"/>
      <c r="F626" s="20"/>
      <c r="G626" s="9"/>
    </row>
    <row r="627" spans="2:7">
      <c r="B627" s="5"/>
      <c r="C627" s="39"/>
      <c r="G627" s="6"/>
    </row>
    <row r="628" spans="2:7" ht="13.5" thickBot="1">
      <c r="B628" s="5"/>
      <c r="C628" s="39"/>
      <c r="G628" s="6"/>
    </row>
    <row r="629" spans="2:7" ht="13.5" thickBot="1">
      <c r="B629" s="236">
        <v>45108</v>
      </c>
      <c r="C629" s="237"/>
      <c r="D629" s="237"/>
      <c r="E629" s="237"/>
      <c r="F629" s="237"/>
      <c r="G629" s="238"/>
    </row>
    <row r="630" spans="2:7" ht="13.5" thickBot="1">
      <c r="B630" s="18"/>
      <c r="G630" s="6"/>
    </row>
    <row r="631" spans="2:7">
      <c r="B631" s="18"/>
      <c r="C631" s="21" t="s">
        <v>27</v>
      </c>
      <c r="D631" s="16"/>
      <c r="E631" s="80" t="s">
        <v>1</v>
      </c>
      <c r="F631" s="4">
        <v>37</v>
      </c>
      <c r="G631" s="6"/>
    </row>
    <row r="632" spans="2:7" ht="13.5" thickBot="1">
      <c r="B632" s="18"/>
      <c r="C632" s="7"/>
      <c r="D632" s="20"/>
      <c r="E632" s="83" t="s">
        <v>92</v>
      </c>
      <c r="F632" s="22">
        <v>25</v>
      </c>
      <c r="G632" s="6"/>
    </row>
    <row r="633" spans="2:7" ht="13.5" thickBot="1">
      <c r="B633" s="18"/>
      <c r="G633" s="6"/>
    </row>
    <row r="634" spans="2:7">
      <c r="B634" s="18"/>
      <c r="C634" s="3" t="s">
        <v>4</v>
      </c>
      <c r="D634" s="16"/>
      <c r="E634" s="80" t="s">
        <v>1</v>
      </c>
      <c r="F634" s="84" t="s">
        <v>205</v>
      </c>
      <c r="G634" s="6"/>
    </row>
    <row r="635" spans="2:7">
      <c r="B635" s="18"/>
      <c r="C635" s="5" t="s">
        <v>2</v>
      </c>
      <c r="E635" s="39" t="s">
        <v>326</v>
      </c>
      <c r="F635" s="6"/>
      <c r="G635" s="6"/>
    </row>
    <row r="636" spans="2:7" ht="13.5" thickBot="1">
      <c r="B636" s="18"/>
      <c r="C636" s="7" t="s">
        <v>3</v>
      </c>
      <c r="D636" s="20"/>
      <c r="E636" s="81" t="s">
        <v>326</v>
      </c>
      <c r="F636" s="9"/>
      <c r="G636" s="6"/>
    </row>
    <row r="637" spans="2:7" ht="13.5" thickBot="1">
      <c r="B637" s="18"/>
      <c r="G637" s="6"/>
    </row>
    <row r="638" spans="2:7" ht="13.5" thickBot="1">
      <c r="B638" s="18"/>
      <c r="C638" s="23" t="s">
        <v>29</v>
      </c>
      <c r="D638" s="24"/>
      <c r="E638" s="87" t="s">
        <v>1363</v>
      </c>
      <c r="F638" s="25"/>
      <c r="G638" s="6"/>
    </row>
    <row r="639" spans="2:7">
      <c r="B639" s="18"/>
      <c r="G639" s="6"/>
    </row>
    <row r="640" spans="2:7">
      <c r="B640" s="18"/>
      <c r="C640" t="s">
        <v>5</v>
      </c>
      <c r="G640" s="6"/>
    </row>
    <row r="641" spans="2:7">
      <c r="B641" s="18"/>
      <c r="G641" s="6"/>
    </row>
    <row r="642" spans="2:7">
      <c r="B642" s="5">
        <v>1</v>
      </c>
      <c r="C642" s="39" t="s">
        <v>1172</v>
      </c>
      <c r="G642" s="6"/>
    </row>
    <row r="643" spans="2:7">
      <c r="B643" s="5">
        <v>2</v>
      </c>
      <c r="C643" s="39" t="s">
        <v>1113</v>
      </c>
      <c r="G643" s="6"/>
    </row>
    <row r="644" spans="2:7">
      <c r="B644" s="5">
        <v>3</v>
      </c>
      <c r="C644" s="39" t="s">
        <v>1314</v>
      </c>
      <c r="G644" s="6"/>
    </row>
    <row r="645" spans="2:7">
      <c r="B645" s="5">
        <v>4</v>
      </c>
      <c r="C645" s="39" t="s">
        <v>1329</v>
      </c>
      <c r="G645" s="6"/>
    </row>
    <row r="646" spans="2:7">
      <c r="B646" s="5">
        <v>5</v>
      </c>
      <c r="C646" s="39" t="s">
        <v>207</v>
      </c>
      <c r="G646" s="6"/>
    </row>
    <row r="647" spans="2:7">
      <c r="B647" s="5">
        <v>6</v>
      </c>
      <c r="C647" s="39" t="s">
        <v>1320</v>
      </c>
      <c r="G647" s="6"/>
    </row>
    <row r="648" spans="2:7">
      <c r="B648" s="5">
        <v>7</v>
      </c>
      <c r="C648" s="39" t="s">
        <v>1324</v>
      </c>
      <c r="G648" s="6"/>
    </row>
    <row r="649" spans="2:7">
      <c r="B649" s="5">
        <v>8</v>
      </c>
      <c r="C649" s="39" t="s">
        <v>1096</v>
      </c>
      <c r="G649" s="6"/>
    </row>
    <row r="650" spans="2:7">
      <c r="B650" s="5">
        <v>9</v>
      </c>
      <c r="C650" s="39" t="s">
        <v>1235</v>
      </c>
      <c r="G650" s="6"/>
    </row>
    <row r="651" spans="2:7">
      <c r="B651" s="5">
        <v>10</v>
      </c>
      <c r="C651" s="39" t="s">
        <v>607</v>
      </c>
      <c r="G651" s="6"/>
    </row>
    <row r="652" spans="2:7">
      <c r="B652" s="5">
        <v>11</v>
      </c>
      <c r="C652" s="39" t="s">
        <v>1340</v>
      </c>
      <c r="G652" s="6"/>
    </row>
    <row r="653" spans="2:7">
      <c r="B653" s="5">
        <v>12</v>
      </c>
      <c r="C653" s="39" t="s">
        <v>1112</v>
      </c>
      <c r="G653" s="6"/>
    </row>
    <row r="654" spans="2:7">
      <c r="B654" s="5">
        <v>13</v>
      </c>
      <c r="C654" s="39" t="s">
        <v>214</v>
      </c>
      <c r="G654" s="6"/>
    </row>
    <row r="655" spans="2:7">
      <c r="B655" s="5">
        <v>14</v>
      </c>
      <c r="C655" s="39" t="s">
        <v>1245</v>
      </c>
      <c r="G655" s="6"/>
    </row>
    <row r="656" spans="2:7">
      <c r="B656" s="5">
        <v>15</v>
      </c>
      <c r="C656" s="39" t="s">
        <v>1198</v>
      </c>
      <c r="G656" s="6"/>
    </row>
    <row r="657" spans="2:7">
      <c r="B657" s="18"/>
      <c r="G657" s="6"/>
    </row>
    <row r="658" spans="2:7">
      <c r="B658" s="18"/>
      <c r="C658" s="39" t="s">
        <v>325</v>
      </c>
      <c r="G658" s="6"/>
    </row>
    <row r="659" spans="2:7">
      <c r="B659" s="18"/>
      <c r="C659" s="39" t="s">
        <v>1289</v>
      </c>
      <c r="G659" s="6"/>
    </row>
    <row r="660" spans="2:7">
      <c r="B660" s="18"/>
      <c r="C660" s="39" t="s">
        <v>1364</v>
      </c>
      <c r="G660" s="6"/>
    </row>
    <row r="661" spans="2:7">
      <c r="B661" s="18"/>
      <c r="C661" s="39" t="s">
        <v>1365</v>
      </c>
      <c r="G661" s="6"/>
    </row>
    <row r="662" spans="2:7">
      <c r="B662" s="18"/>
      <c r="C662" s="39" t="s">
        <v>1338</v>
      </c>
      <c r="G662" s="6"/>
    </row>
    <row r="663" spans="2:7">
      <c r="B663" s="18"/>
      <c r="C663" s="39" t="s">
        <v>1336</v>
      </c>
      <c r="G663" s="6"/>
    </row>
    <row r="664" spans="2:7">
      <c r="B664" s="18"/>
      <c r="G664" s="6"/>
    </row>
    <row r="665" spans="2:7">
      <c r="B665" s="18"/>
      <c r="C665" s="2" t="s">
        <v>21</v>
      </c>
      <c r="G665" s="6"/>
    </row>
    <row r="666" spans="2:7">
      <c r="B666" s="82" t="s">
        <v>336</v>
      </c>
      <c r="C666" s="39" t="s">
        <v>236</v>
      </c>
      <c r="G666" s="6"/>
    </row>
    <row r="667" spans="2:7">
      <c r="B667" s="82" t="s">
        <v>336</v>
      </c>
      <c r="C667" s="39" t="s">
        <v>1245</v>
      </c>
      <c r="G667" s="6"/>
    </row>
    <row r="668" spans="2:7">
      <c r="B668" s="82" t="s">
        <v>336</v>
      </c>
      <c r="C668" s="39" t="s">
        <v>1096</v>
      </c>
      <c r="G668" s="6"/>
    </row>
    <row r="669" spans="2:7">
      <c r="B669" s="82" t="s">
        <v>336</v>
      </c>
      <c r="C669" s="39" t="s">
        <v>214</v>
      </c>
      <c r="G669" s="6"/>
    </row>
    <row r="670" spans="2:7">
      <c r="B670" s="82"/>
      <c r="C670" s="39"/>
      <c r="G670" s="6"/>
    </row>
    <row r="671" spans="2:7">
      <c r="B671" s="18"/>
      <c r="C671" s="15" t="s">
        <v>337</v>
      </c>
      <c r="G671" s="6"/>
    </row>
    <row r="672" spans="2:7">
      <c r="B672" s="82" t="s">
        <v>338</v>
      </c>
      <c r="C672" s="39" t="s">
        <v>236</v>
      </c>
      <c r="G672" s="6"/>
    </row>
    <row r="673" spans="2:7">
      <c r="B673" s="18"/>
      <c r="G673" s="6"/>
    </row>
    <row r="674" spans="2:7">
      <c r="B674" s="18"/>
      <c r="C674" s="1" t="s">
        <v>22</v>
      </c>
      <c r="G674" s="6"/>
    </row>
    <row r="675" spans="2:7">
      <c r="B675" s="82" t="s">
        <v>335</v>
      </c>
      <c r="C675" s="39" t="s">
        <v>236</v>
      </c>
      <c r="G675" s="6"/>
    </row>
    <row r="676" spans="2:7">
      <c r="B676" s="18"/>
      <c r="G676" s="6"/>
    </row>
    <row r="677" spans="2:7">
      <c r="B677" s="18"/>
      <c r="C677" s="1" t="s">
        <v>23</v>
      </c>
      <c r="G677" s="6"/>
    </row>
    <row r="678" spans="2:7">
      <c r="B678" s="82"/>
      <c r="C678" s="66" t="s">
        <v>339</v>
      </c>
      <c r="G678" s="6"/>
    </row>
    <row r="679" spans="2:7" ht="13.5" thickBot="1">
      <c r="B679" s="19"/>
      <c r="C679" s="20"/>
      <c r="D679" s="20"/>
      <c r="E679" s="8"/>
      <c r="F679" s="20"/>
      <c r="G679" s="9"/>
    </row>
    <row r="680" spans="2:7">
      <c r="B680" s="5"/>
      <c r="C680" s="39"/>
      <c r="G680" s="6"/>
    </row>
    <row r="681" spans="2:7" ht="13.5" thickBot="1">
      <c r="B681" s="5"/>
      <c r="C681" s="39"/>
      <c r="G681" s="6"/>
    </row>
    <row r="682" spans="2:7" ht="13.5" thickBot="1">
      <c r="B682" s="236">
        <v>45115</v>
      </c>
      <c r="C682" s="237"/>
      <c r="D682" s="237"/>
      <c r="E682" s="237"/>
      <c r="F682" s="237"/>
      <c r="G682" s="238"/>
    </row>
    <row r="683" spans="2:7" ht="13.5" thickBot="1">
      <c r="B683" s="18"/>
      <c r="G683" s="6"/>
    </row>
    <row r="684" spans="2:7">
      <c r="B684" s="18"/>
      <c r="C684" s="21" t="s">
        <v>27</v>
      </c>
      <c r="D684" s="16"/>
      <c r="E684" s="80" t="s">
        <v>1</v>
      </c>
      <c r="F684" s="4">
        <v>28</v>
      </c>
      <c r="G684" s="6"/>
    </row>
    <row r="685" spans="2:7" ht="13.5" thickBot="1">
      <c r="B685" s="18"/>
      <c r="C685" s="7"/>
      <c r="D685" s="20"/>
      <c r="E685" s="83" t="s">
        <v>62</v>
      </c>
      <c r="F685" s="22">
        <v>22</v>
      </c>
      <c r="G685" s="6"/>
    </row>
    <row r="686" spans="2:7" ht="13.5" thickBot="1">
      <c r="B686" s="18"/>
      <c r="G686" s="6"/>
    </row>
    <row r="687" spans="2:7">
      <c r="B687" s="18"/>
      <c r="C687" s="3" t="s">
        <v>4</v>
      </c>
      <c r="D687" s="16"/>
      <c r="E687" s="80" t="s">
        <v>1</v>
      </c>
      <c r="F687" s="84" t="s">
        <v>205</v>
      </c>
      <c r="G687" s="6"/>
    </row>
    <row r="688" spans="2:7">
      <c r="B688" s="18"/>
      <c r="C688" s="5" t="s">
        <v>2</v>
      </c>
      <c r="E688" s="39" t="s">
        <v>404</v>
      </c>
      <c r="F688" s="6"/>
      <c r="G688" s="6"/>
    </row>
    <row r="689" spans="2:7" ht="13.5" thickBot="1">
      <c r="B689" s="18"/>
      <c r="C689" s="7" t="s">
        <v>3</v>
      </c>
      <c r="D689" s="20"/>
      <c r="E689" s="81" t="s">
        <v>326</v>
      </c>
      <c r="F689" s="9"/>
      <c r="G689" s="6"/>
    </row>
    <row r="690" spans="2:7" ht="13.5" thickBot="1">
      <c r="B690" s="18"/>
      <c r="G690" s="6"/>
    </row>
    <row r="691" spans="2:7" ht="13.5" thickBot="1">
      <c r="B691" s="18"/>
      <c r="C691" s="23" t="s">
        <v>29</v>
      </c>
      <c r="D691" s="24"/>
      <c r="E691" s="87" t="s">
        <v>1293</v>
      </c>
      <c r="F691" s="25"/>
      <c r="G691" s="6"/>
    </row>
    <row r="692" spans="2:7">
      <c r="B692" s="18"/>
      <c r="G692" s="6"/>
    </row>
    <row r="693" spans="2:7">
      <c r="B693" s="18"/>
      <c r="C693" t="s">
        <v>5</v>
      </c>
      <c r="G693" s="6"/>
    </row>
    <row r="694" spans="2:7">
      <c r="B694" s="18"/>
      <c r="G694" s="6"/>
    </row>
    <row r="695" spans="2:7">
      <c r="B695" s="5">
        <v>1</v>
      </c>
      <c r="C695" s="39" t="s">
        <v>327</v>
      </c>
      <c r="G695" s="6"/>
    </row>
    <row r="696" spans="2:7">
      <c r="B696" s="5">
        <v>2</v>
      </c>
      <c r="C696" s="39" t="s">
        <v>1113</v>
      </c>
      <c r="G696" s="6"/>
    </row>
    <row r="697" spans="2:7">
      <c r="B697" s="5">
        <v>3</v>
      </c>
      <c r="C697" s="39" t="s">
        <v>1314</v>
      </c>
      <c r="G697" s="6"/>
    </row>
    <row r="698" spans="2:7">
      <c r="B698" s="5">
        <v>4</v>
      </c>
      <c r="C698" s="39" t="s">
        <v>1320</v>
      </c>
      <c r="G698" s="6"/>
    </row>
    <row r="699" spans="2:7">
      <c r="B699" s="5">
        <v>5</v>
      </c>
      <c r="C699" s="39" t="s">
        <v>207</v>
      </c>
      <c r="G699" s="6"/>
    </row>
    <row r="700" spans="2:7">
      <c r="B700" s="5">
        <v>6</v>
      </c>
      <c r="C700" s="39" t="s">
        <v>33</v>
      </c>
      <c r="G700" s="6"/>
    </row>
    <row r="701" spans="2:7">
      <c r="B701" s="5">
        <v>7</v>
      </c>
      <c r="C701" s="39" t="s">
        <v>1324</v>
      </c>
      <c r="G701" s="6"/>
    </row>
    <row r="702" spans="2:7">
      <c r="B702" s="5">
        <v>8</v>
      </c>
      <c r="C702" s="39" t="s">
        <v>1329</v>
      </c>
      <c r="G702" s="6"/>
    </row>
    <row r="703" spans="2:7">
      <c r="B703" s="5">
        <v>9</v>
      </c>
      <c r="C703" s="39" t="s">
        <v>1235</v>
      </c>
      <c r="G703" s="6"/>
    </row>
    <row r="704" spans="2:7">
      <c r="B704" s="5">
        <v>10</v>
      </c>
      <c r="C704" s="39" t="s">
        <v>607</v>
      </c>
      <c r="G704" s="6"/>
    </row>
    <row r="705" spans="2:12">
      <c r="B705" s="5">
        <v>11</v>
      </c>
      <c r="C705" s="39" t="s">
        <v>1340</v>
      </c>
      <c r="G705" s="6"/>
    </row>
    <row r="706" spans="2:12">
      <c r="B706" s="5">
        <v>12</v>
      </c>
      <c r="C706" s="39" t="s">
        <v>1112</v>
      </c>
      <c r="G706" s="6"/>
      <c r="J706" s="39"/>
      <c r="K706" s="15" t="s">
        <v>1366</v>
      </c>
      <c r="L706" s="15" t="s">
        <v>1345</v>
      </c>
    </row>
    <row r="707" spans="2:12">
      <c r="B707" s="5">
        <v>13</v>
      </c>
      <c r="C707" s="39" t="s">
        <v>214</v>
      </c>
      <c r="G707" s="6"/>
    </row>
    <row r="708" spans="2:12">
      <c r="B708" s="5">
        <v>14</v>
      </c>
      <c r="C708" s="39" t="s">
        <v>1245</v>
      </c>
      <c r="G708" s="6"/>
      <c r="J708">
        <v>1</v>
      </c>
      <c r="K708" s="1">
        <v>12</v>
      </c>
      <c r="L708" s="1">
        <v>52</v>
      </c>
    </row>
    <row r="709" spans="2:12">
      <c r="B709" s="5">
        <v>15</v>
      </c>
      <c r="C709" s="39" t="s">
        <v>1198</v>
      </c>
      <c r="G709" s="6"/>
      <c r="J709">
        <v>2</v>
      </c>
      <c r="K709" s="1">
        <v>20</v>
      </c>
      <c r="L709" s="1">
        <v>21</v>
      </c>
    </row>
    <row r="710" spans="2:12">
      <c r="B710" s="18"/>
      <c r="G710" s="6"/>
      <c r="J710">
        <v>3</v>
      </c>
      <c r="K710" s="1">
        <v>25</v>
      </c>
      <c r="L710" s="1">
        <v>27</v>
      </c>
    </row>
    <row r="711" spans="2:12">
      <c r="B711" s="18"/>
      <c r="C711" s="39" t="s">
        <v>325</v>
      </c>
      <c r="G711" s="6"/>
      <c r="J711">
        <v>4</v>
      </c>
      <c r="K711" s="1">
        <v>36</v>
      </c>
      <c r="L711" s="1">
        <v>39</v>
      </c>
    </row>
    <row r="712" spans="2:12">
      <c r="B712" s="18"/>
      <c r="C712" s="39" t="s">
        <v>1169</v>
      </c>
      <c r="G712" s="6"/>
      <c r="J712">
        <v>5</v>
      </c>
      <c r="K712" s="1">
        <v>27</v>
      </c>
      <c r="L712" s="1">
        <v>15</v>
      </c>
    </row>
    <row r="713" spans="2:12">
      <c r="B713" s="18"/>
      <c r="G713" s="6"/>
      <c r="J713">
        <v>6</v>
      </c>
      <c r="K713" s="1">
        <v>33</v>
      </c>
      <c r="L713" s="1">
        <v>38</v>
      </c>
    </row>
    <row r="714" spans="2:12">
      <c r="B714" s="18"/>
      <c r="C714" s="2" t="s">
        <v>21</v>
      </c>
      <c r="G714" s="6"/>
      <c r="J714">
        <v>7</v>
      </c>
      <c r="K714" s="1">
        <v>27</v>
      </c>
      <c r="L714" s="1">
        <v>7</v>
      </c>
    </row>
    <row r="715" spans="2:12">
      <c r="B715" s="82" t="s">
        <v>336</v>
      </c>
      <c r="C715" s="39" t="s">
        <v>236</v>
      </c>
      <c r="G715" s="6"/>
      <c r="J715">
        <v>8</v>
      </c>
      <c r="K715" s="1">
        <v>26</v>
      </c>
      <c r="L715" s="1">
        <v>35</v>
      </c>
    </row>
    <row r="716" spans="2:12">
      <c r="B716" s="82" t="s">
        <v>336</v>
      </c>
      <c r="C716" s="39" t="s">
        <v>214</v>
      </c>
      <c r="G716" s="6"/>
      <c r="J716">
        <v>9</v>
      </c>
      <c r="K716" s="1">
        <v>41</v>
      </c>
      <c r="L716" s="1">
        <v>33</v>
      </c>
    </row>
    <row r="717" spans="2:12">
      <c r="B717" s="82" t="s">
        <v>336</v>
      </c>
      <c r="C717" s="39" t="s">
        <v>1324</v>
      </c>
      <c r="G717" s="6"/>
      <c r="J717">
        <v>10</v>
      </c>
      <c r="K717" s="1">
        <v>28</v>
      </c>
      <c r="L717" s="1">
        <v>31</v>
      </c>
    </row>
    <row r="718" spans="2:12">
      <c r="B718" s="82" t="s">
        <v>336</v>
      </c>
      <c r="C718" s="39" t="s">
        <v>1113</v>
      </c>
      <c r="G718" s="6"/>
      <c r="J718">
        <v>11</v>
      </c>
      <c r="K718" s="1">
        <v>25</v>
      </c>
      <c r="L718" s="1">
        <v>19</v>
      </c>
    </row>
    <row r="719" spans="2:12">
      <c r="B719" s="82"/>
      <c r="C719" s="39"/>
      <c r="G719" s="6"/>
      <c r="J719">
        <v>12</v>
      </c>
      <c r="K719" s="1">
        <v>41</v>
      </c>
      <c r="L719" s="1">
        <v>33</v>
      </c>
    </row>
    <row r="720" spans="2:12">
      <c r="B720" s="18"/>
      <c r="C720" s="15" t="s">
        <v>337</v>
      </c>
      <c r="G720" s="6"/>
      <c r="J720">
        <v>13</v>
      </c>
      <c r="K720" s="1">
        <v>37</v>
      </c>
      <c r="L720" s="1">
        <v>25</v>
      </c>
    </row>
    <row r="721" spans="2:12">
      <c r="B721" s="82" t="s">
        <v>338</v>
      </c>
      <c r="C721" s="39" t="s">
        <v>236</v>
      </c>
      <c r="G721" s="6"/>
      <c r="J721">
        <v>14</v>
      </c>
      <c r="K721" s="1">
        <v>28</v>
      </c>
      <c r="L721" s="1">
        <v>2</v>
      </c>
    </row>
    <row r="722" spans="2:12">
      <c r="B722" s="18"/>
      <c r="G722" s="6"/>
    </row>
    <row r="723" spans="2:12">
      <c r="B723" s="18"/>
      <c r="C723" s="1" t="s">
        <v>22</v>
      </c>
      <c r="G723" s="6"/>
      <c r="J723" s="39" t="s">
        <v>1367</v>
      </c>
      <c r="K723" s="1">
        <f>SUM(K708:K722)</f>
        <v>406</v>
      </c>
      <c r="L723" s="1">
        <f>SUM(L708:L722)</f>
        <v>377</v>
      </c>
    </row>
    <row r="724" spans="2:12">
      <c r="B724" s="82"/>
      <c r="C724" s="39" t="s">
        <v>339</v>
      </c>
      <c r="G724" s="6"/>
      <c r="K724" s="1">
        <f>+K723/J721</f>
        <v>29</v>
      </c>
      <c r="L724" s="199">
        <f>+L723/J721</f>
        <v>26.928571428571427</v>
      </c>
    </row>
    <row r="725" spans="2:12">
      <c r="B725" s="18"/>
      <c r="G725" s="6"/>
    </row>
    <row r="726" spans="2:12">
      <c r="B726" s="18"/>
      <c r="C726" s="1" t="s">
        <v>23</v>
      </c>
      <c r="G726" s="6"/>
    </row>
    <row r="727" spans="2:12">
      <c r="B727" s="82" t="s">
        <v>336</v>
      </c>
      <c r="C727" s="66" t="s">
        <v>207</v>
      </c>
      <c r="G727" s="6"/>
    </row>
    <row r="728" spans="2:12">
      <c r="B728" s="82" t="s">
        <v>336</v>
      </c>
      <c r="C728" s="66" t="s">
        <v>1324</v>
      </c>
      <c r="G728" s="6"/>
    </row>
    <row r="729" spans="2:12" ht="13.5" thickBot="1">
      <c r="B729" s="19"/>
      <c r="C729" s="20"/>
      <c r="D729" s="20"/>
      <c r="E729" s="8"/>
      <c r="F729" s="20"/>
      <c r="G729" s="9"/>
    </row>
    <row r="730" spans="2:12">
      <c r="B730" s="5"/>
      <c r="C730" s="39"/>
      <c r="G730" s="6"/>
    </row>
    <row r="731" spans="2:12" ht="13.5" thickBot="1">
      <c r="B731" s="5"/>
      <c r="C731" s="39"/>
      <c r="G731" s="6"/>
    </row>
    <row r="732" spans="2:12" ht="13.5" thickBot="1">
      <c r="B732" s="236">
        <v>45122</v>
      </c>
      <c r="C732" s="237"/>
      <c r="D732" s="237"/>
      <c r="E732" s="237"/>
      <c r="F732" s="237"/>
      <c r="G732" s="238"/>
    </row>
    <row r="733" spans="2:12" ht="13.5" thickBot="1">
      <c r="B733" s="18"/>
      <c r="G733" s="6"/>
    </row>
    <row r="734" spans="2:12">
      <c r="B734" s="18"/>
      <c r="C734" s="21" t="s">
        <v>27</v>
      </c>
      <c r="D734" s="16"/>
      <c r="E734" s="80" t="s">
        <v>1</v>
      </c>
      <c r="F734" s="4">
        <v>29</v>
      </c>
      <c r="G734" s="6"/>
    </row>
    <row r="735" spans="2:12" ht="13.5" thickBot="1">
      <c r="B735" s="18"/>
      <c r="C735" s="7"/>
      <c r="D735" s="20"/>
      <c r="E735" s="83" t="s">
        <v>47</v>
      </c>
      <c r="F735" s="22">
        <v>0</v>
      </c>
      <c r="G735" s="6"/>
    </row>
    <row r="736" spans="2:12" ht="13.5" thickBot="1">
      <c r="B736" s="18"/>
      <c r="G736" s="6"/>
    </row>
    <row r="737" spans="2:7">
      <c r="B737" s="18"/>
      <c r="C737" s="3" t="s">
        <v>4</v>
      </c>
      <c r="D737" s="16"/>
      <c r="E737" s="80" t="s">
        <v>1</v>
      </c>
      <c r="F737" s="84" t="s">
        <v>205</v>
      </c>
      <c r="G737" s="6"/>
    </row>
    <row r="738" spans="2:7">
      <c r="B738" s="18"/>
      <c r="C738" s="5" t="s">
        <v>2</v>
      </c>
      <c r="E738" s="39" t="s">
        <v>404</v>
      </c>
      <c r="F738" s="6"/>
      <c r="G738" s="6"/>
    </row>
    <row r="739" spans="2:7" ht="13.5" thickBot="1">
      <c r="B739" s="18"/>
      <c r="C739" s="7" t="s">
        <v>3</v>
      </c>
      <c r="D739" s="20"/>
      <c r="E739" s="81" t="s">
        <v>344</v>
      </c>
      <c r="F739" s="9"/>
      <c r="G739" s="6"/>
    </row>
    <row r="740" spans="2:7" ht="13.5" thickBot="1">
      <c r="B740" s="18"/>
      <c r="G740" s="6"/>
    </row>
    <row r="741" spans="2:7" ht="13.5" thickBot="1">
      <c r="B741" s="18"/>
      <c r="C741" s="23" t="s">
        <v>29</v>
      </c>
      <c r="D741" s="24"/>
      <c r="E741" s="87" t="s">
        <v>1343</v>
      </c>
      <c r="F741" s="25"/>
      <c r="G741" s="6"/>
    </row>
    <row r="742" spans="2:7">
      <c r="B742" s="18"/>
      <c r="G742" s="6"/>
    </row>
    <row r="743" spans="2:7">
      <c r="B743" s="18"/>
      <c r="C743" t="s">
        <v>5</v>
      </c>
      <c r="G743" s="6"/>
    </row>
    <row r="744" spans="2:7">
      <c r="B744" s="18"/>
      <c r="G744" s="6"/>
    </row>
    <row r="745" spans="2:7">
      <c r="B745" s="5">
        <v>1</v>
      </c>
      <c r="C745" s="39" t="s">
        <v>327</v>
      </c>
      <c r="G745" s="6"/>
    </row>
    <row r="746" spans="2:7">
      <c r="B746" s="5">
        <v>2</v>
      </c>
      <c r="C746" s="39" t="s">
        <v>1113</v>
      </c>
      <c r="G746" s="6"/>
    </row>
    <row r="747" spans="2:7">
      <c r="B747" s="5">
        <v>3</v>
      </c>
      <c r="C747" s="39" t="s">
        <v>1314</v>
      </c>
      <c r="G747" s="6"/>
    </row>
    <row r="748" spans="2:7">
      <c r="B748" s="5">
        <v>4</v>
      </c>
      <c r="C748" s="39" t="s">
        <v>1320</v>
      </c>
      <c r="G748" s="6"/>
    </row>
    <row r="749" spans="2:7">
      <c r="B749" s="5">
        <v>5</v>
      </c>
      <c r="C749" s="39" t="s">
        <v>207</v>
      </c>
      <c r="G749" s="6"/>
    </row>
    <row r="750" spans="2:7">
      <c r="B750" s="5">
        <v>6</v>
      </c>
      <c r="C750" s="39" t="s">
        <v>33</v>
      </c>
      <c r="G750" s="6"/>
    </row>
    <row r="751" spans="2:7">
      <c r="B751" s="5">
        <v>7</v>
      </c>
      <c r="C751" s="39" t="s">
        <v>1324</v>
      </c>
      <c r="G751" s="6"/>
    </row>
    <row r="752" spans="2:7">
      <c r="B752" s="5">
        <v>8</v>
      </c>
      <c r="C752" s="39" t="s">
        <v>1329</v>
      </c>
      <c r="G752" s="6"/>
    </row>
    <row r="753" spans="2:7">
      <c r="B753" s="5">
        <v>9</v>
      </c>
      <c r="C753" s="39" t="s">
        <v>1235</v>
      </c>
      <c r="G753" s="6"/>
    </row>
    <row r="754" spans="2:7">
      <c r="B754" s="5">
        <v>10</v>
      </c>
      <c r="C754" s="39" t="s">
        <v>607</v>
      </c>
      <c r="G754" s="6"/>
    </row>
    <row r="755" spans="2:7">
      <c r="B755" s="5">
        <v>11</v>
      </c>
      <c r="C755" s="39" t="s">
        <v>1340</v>
      </c>
      <c r="G755" s="6"/>
    </row>
    <row r="756" spans="2:7">
      <c r="B756" s="5">
        <v>12</v>
      </c>
      <c r="C756" s="39" t="s">
        <v>1112</v>
      </c>
      <c r="G756" s="6"/>
    </row>
    <row r="757" spans="2:7">
      <c r="B757" s="5">
        <v>13</v>
      </c>
      <c r="C757" s="39" t="s">
        <v>214</v>
      </c>
      <c r="G757" s="6"/>
    </row>
    <row r="758" spans="2:7">
      <c r="B758" s="5">
        <v>14</v>
      </c>
      <c r="C758" s="39" t="s">
        <v>1245</v>
      </c>
      <c r="G758" s="6"/>
    </row>
    <row r="759" spans="2:7">
      <c r="B759" s="5">
        <v>15</v>
      </c>
      <c r="C759" s="39" t="s">
        <v>1198</v>
      </c>
      <c r="G759" s="6"/>
    </row>
    <row r="760" spans="2:7">
      <c r="B760" s="18"/>
      <c r="G760" s="6"/>
    </row>
    <row r="761" spans="2:7">
      <c r="B761" s="18"/>
      <c r="C761" s="39" t="s">
        <v>325</v>
      </c>
      <c r="G761" s="6"/>
    </row>
    <row r="762" spans="2:7">
      <c r="B762" s="18"/>
      <c r="C762" s="39" t="s">
        <v>1347</v>
      </c>
      <c r="G762" s="6"/>
    </row>
    <row r="763" spans="2:7">
      <c r="B763" s="18"/>
      <c r="C763" s="39" t="s">
        <v>1338</v>
      </c>
      <c r="G763" s="6"/>
    </row>
    <row r="764" spans="2:7">
      <c r="B764" s="18"/>
      <c r="C764" s="39" t="s">
        <v>1336</v>
      </c>
      <c r="G764" s="6"/>
    </row>
    <row r="765" spans="2:7">
      <c r="B765" s="18"/>
      <c r="C765" s="39" t="s">
        <v>1365</v>
      </c>
      <c r="G765" s="6"/>
    </row>
    <row r="766" spans="2:7">
      <c r="B766" s="18"/>
      <c r="G766" s="6"/>
    </row>
    <row r="767" spans="2:7">
      <c r="B767" s="18"/>
      <c r="C767" s="2" t="s">
        <v>21</v>
      </c>
      <c r="G767" s="6"/>
    </row>
    <row r="768" spans="2:7">
      <c r="B768" s="82" t="s">
        <v>336</v>
      </c>
      <c r="C768" s="39" t="s">
        <v>33</v>
      </c>
      <c r="G768" s="6"/>
    </row>
    <row r="769" spans="2:7">
      <c r="B769" s="82" t="s">
        <v>336</v>
      </c>
      <c r="C769" s="39" t="s">
        <v>207</v>
      </c>
      <c r="G769" s="6"/>
    </row>
    <row r="770" spans="2:7">
      <c r="B770" s="82" t="s">
        <v>336</v>
      </c>
      <c r="C770" s="39" t="s">
        <v>1112</v>
      </c>
      <c r="G770" s="6"/>
    </row>
    <row r="771" spans="2:7">
      <c r="B771" s="82" t="s">
        <v>336</v>
      </c>
      <c r="C771" s="39" t="s">
        <v>607</v>
      </c>
      <c r="G771" s="6"/>
    </row>
    <row r="772" spans="2:7">
      <c r="B772" s="82"/>
      <c r="C772" s="39"/>
      <c r="G772" s="6"/>
    </row>
    <row r="773" spans="2:7">
      <c r="B773" s="18"/>
      <c r="C773" s="15" t="s">
        <v>337</v>
      </c>
      <c r="G773" s="6"/>
    </row>
    <row r="774" spans="2:7">
      <c r="B774" s="82" t="s">
        <v>335</v>
      </c>
      <c r="C774" s="39" t="s">
        <v>236</v>
      </c>
      <c r="G774" s="6"/>
    </row>
    <row r="775" spans="2:7">
      <c r="B775" s="18"/>
      <c r="G775" s="6"/>
    </row>
    <row r="776" spans="2:7">
      <c r="B776" s="18"/>
      <c r="C776" s="1" t="s">
        <v>22</v>
      </c>
      <c r="G776" s="6"/>
    </row>
    <row r="777" spans="2:7">
      <c r="B777" s="82" t="s">
        <v>336</v>
      </c>
      <c r="C777" s="39" t="s">
        <v>236</v>
      </c>
      <c r="G777" s="6"/>
    </row>
    <row r="778" spans="2:7">
      <c r="B778" s="18"/>
      <c r="G778" s="6"/>
    </row>
    <row r="779" spans="2:7">
      <c r="B779" s="18"/>
      <c r="C779" s="1" t="s">
        <v>23</v>
      </c>
      <c r="G779" s="6"/>
    </row>
    <row r="780" spans="2:7">
      <c r="B780" s="82" t="s">
        <v>336</v>
      </c>
      <c r="C780" s="66" t="s">
        <v>33</v>
      </c>
      <c r="G780" s="6"/>
    </row>
    <row r="781" spans="2:7">
      <c r="B781" s="82"/>
      <c r="C781" s="66"/>
      <c r="G781" s="6"/>
    </row>
    <row r="782" spans="2:7" ht="13.5" thickBot="1">
      <c r="B782" s="19"/>
      <c r="C782" s="20"/>
      <c r="D782" s="20"/>
      <c r="E782" s="8"/>
      <c r="F782" s="20"/>
      <c r="G782" s="9"/>
    </row>
    <row r="783" spans="2:7">
      <c r="B783" s="5"/>
      <c r="C783" s="39"/>
      <c r="G783" s="6"/>
    </row>
    <row r="784" spans="2:7" ht="13.5" thickBot="1">
      <c r="B784" s="5"/>
      <c r="C784" s="39"/>
      <c r="G784" s="6"/>
    </row>
    <row r="785" spans="2:7" ht="13.5" thickBot="1">
      <c r="B785" s="236">
        <v>45129</v>
      </c>
      <c r="C785" s="237"/>
      <c r="D785" s="237"/>
      <c r="E785" s="237"/>
      <c r="F785" s="237"/>
      <c r="G785" s="238"/>
    </row>
    <row r="786" spans="2:7" ht="13.5" thickBot="1">
      <c r="B786" s="18"/>
      <c r="G786" s="6"/>
    </row>
    <row r="787" spans="2:7">
      <c r="B787" s="18"/>
      <c r="C787" s="21" t="s">
        <v>27</v>
      </c>
      <c r="D787" s="16"/>
      <c r="E787" s="80" t="s">
        <v>74</v>
      </c>
      <c r="F787" s="4">
        <v>14</v>
      </c>
      <c r="G787" s="6"/>
    </row>
    <row r="788" spans="2:7" ht="13.5" thickBot="1">
      <c r="B788" s="18"/>
      <c r="C788" s="7"/>
      <c r="D788" s="20"/>
      <c r="E788" s="83" t="s">
        <v>1</v>
      </c>
      <c r="F788" s="22">
        <v>21</v>
      </c>
      <c r="G788" s="6"/>
    </row>
    <row r="789" spans="2:7" ht="13.5" thickBot="1">
      <c r="B789" s="18"/>
      <c r="G789" s="6"/>
    </row>
    <row r="790" spans="2:7">
      <c r="B790" s="18"/>
      <c r="C790" s="3" t="s">
        <v>4</v>
      </c>
      <c r="D790" s="16"/>
      <c r="E790" s="80" t="s">
        <v>74</v>
      </c>
      <c r="F790" s="84"/>
      <c r="G790" s="6"/>
    </row>
    <row r="791" spans="2:7">
      <c r="B791" s="18"/>
      <c r="C791" s="5" t="s">
        <v>2</v>
      </c>
      <c r="E791" s="39" t="s">
        <v>404</v>
      </c>
      <c r="F791" s="6"/>
      <c r="G791" s="6"/>
    </row>
    <row r="792" spans="2:7" ht="13.5" thickBot="1">
      <c r="B792" s="18"/>
      <c r="C792" s="7" t="s">
        <v>3</v>
      </c>
      <c r="D792" s="20"/>
      <c r="E792" s="81" t="s">
        <v>326</v>
      </c>
      <c r="F792" s="9"/>
      <c r="G792" s="6"/>
    </row>
    <row r="793" spans="2:7" ht="13.5" thickBot="1">
      <c r="B793" s="18"/>
      <c r="G793" s="6"/>
    </row>
    <row r="794" spans="2:7" ht="13.5" thickBot="1">
      <c r="B794" s="18"/>
      <c r="C794" s="23" t="s">
        <v>29</v>
      </c>
      <c r="D794" s="24"/>
      <c r="E794" s="87" t="s">
        <v>1330</v>
      </c>
      <c r="F794" s="25"/>
      <c r="G794" s="6"/>
    </row>
    <row r="795" spans="2:7">
      <c r="B795" s="18"/>
      <c r="G795" s="6"/>
    </row>
    <row r="796" spans="2:7">
      <c r="B796" s="18"/>
      <c r="C796" t="s">
        <v>5</v>
      </c>
      <c r="G796" s="6"/>
    </row>
    <row r="797" spans="2:7">
      <c r="B797" s="18"/>
      <c r="G797" s="6"/>
    </row>
    <row r="798" spans="2:7">
      <c r="B798" s="5">
        <v>1</v>
      </c>
      <c r="C798" s="39" t="s">
        <v>327</v>
      </c>
      <c r="G798" s="6"/>
    </row>
    <row r="799" spans="2:7">
      <c r="B799" s="5">
        <v>2</v>
      </c>
      <c r="C799" s="39" t="s">
        <v>1113</v>
      </c>
      <c r="G799" s="6"/>
    </row>
    <row r="800" spans="2:7">
      <c r="B800" s="5">
        <v>3</v>
      </c>
      <c r="C800" s="39" t="s">
        <v>1314</v>
      </c>
      <c r="G800" s="6"/>
    </row>
    <row r="801" spans="2:7">
      <c r="B801" s="5">
        <v>4</v>
      </c>
      <c r="C801" s="39" t="s">
        <v>1320</v>
      </c>
      <c r="G801" s="6"/>
    </row>
    <row r="802" spans="2:7">
      <c r="B802" s="5">
        <v>5</v>
      </c>
      <c r="C802" s="39" t="s">
        <v>207</v>
      </c>
      <c r="G802" s="6"/>
    </row>
    <row r="803" spans="2:7">
      <c r="B803" s="5">
        <v>6</v>
      </c>
      <c r="C803" s="39" t="s">
        <v>33</v>
      </c>
      <c r="G803" s="6"/>
    </row>
    <row r="804" spans="2:7">
      <c r="B804" s="5">
        <v>7</v>
      </c>
      <c r="C804" s="39" t="s">
        <v>1324</v>
      </c>
      <c r="G804" s="6"/>
    </row>
    <row r="805" spans="2:7">
      <c r="B805" s="5">
        <v>8</v>
      </c>
      <c r="C805" s="39" t="s">
        <v>1329</v>
      </c>
      <c r="G805" s="6"/>
    </row>
    <row r="806" spans="2:7">
      <c r="B806" s="5">
        <v>9</v>
      </c>
      <c r="C806" s="39" t="s">
        <v>1235</v>
      </c>
      <c r="G806" s="6"/>
    </row>
    <row r="807" spans="2:7">
      <c r="B807" s="5">
        <v>10</v>
      </c>
      <c r="C807" s="39" t="s">
        <v>607</v>
      </c>
      <c r="G807" s="6"/>
    </row>
    <row r="808" spans="2:7">
      <c r="B808" s="5">
        <v>11</v>
      </c>
      <c r="C808" s="39" t="s">
        <v>1340</v>
      </c>
      <c r="G808" s="6"/>
    </row>
    <row r="809" spans="2:7">
      <c r="B809" s="5">
        <v>12</v>
      </c>
      <c r="C809" s="39" t="s">
        <v>1112</v>
      </c>
      <c r="G809" s="6"/>
    </row>
    <row r="810" spans="2:7">
      <c r="B810" s="5">
        <v>13</v>
      </c>
      <c r="C810" s="39" t="s">
        <v>214</v>
      </c>
      <c r="G810" s="6"/>
    </row>
    <row r="811" spans="2:7">
      <c r="B811" s="5">
        <v>14</v>
      </c>
      <c r="C811" s="39" t="s">
        <v>1245</v>
      </c>
      <c r="G811" s="6"/>
    </row>
    <row r="812" spans="2:7">
      <c r="B812" s="5">
        <v>15</v>
      </c>
      <c r="C812" s="39" t="s">
        <v>1198</v>
      </c>
      <c r="G812" s="6"/>
    </row>
    <row r="813" spans="2:7">
      <c r="B813" s="18"/>
      <c r="G813" s="6"/>
    </row>
    <row r="814" spans="2:7">
      <c r="B814" s="18"/>
      <c r="C814" s="39" t="s">
        <v>325</v>
      </c>
      <c r="G814" s="6"/>
    </row>
    <row r="815" spans="2:7">
      <c r="B815" s="18"/>
      <c r="C815" s="39" t="s">
        <v>1347</v>
      </c>
      <c r="G815" s="6"/>
    </row>
    <row r="816" spans="2:7">
      <c r="B816" s="18"/>
      <c r="C816" s="39" t="s">
        <v>1338</v>
      </c>
      <c r="G816" s="6"/>
    </row>
    <row r="817" spans="2:7">
      <c r="B817" s="18"/>
      <c r="C817" s="39" t="s">
        <v>1336</v>
      </c>
      <c r="G817" s="6"/>
    </row>
    <row r="818" spans="2:7">
      <c r="B818" s="18"/>
      <c r="C818" s="39"/>
      <c r="G818" s="6"/>
    </row>
    <row r="819" spans="2:7">
      <c r="B819" s="18"/>
      <c r="G819" s="6"/>
    </row>
    <row r="820" spans="2:7">
      <c r="B820" s="18"/>
      <c r="C820" s="2" t="s">
        <v>21</v>
      </c>
      <c r="G820" s="6"/>
    </row>
    <row r="821" spans="2:7">
      <c r="B821" s="82" t="s">
        <v>352</v>
      </c>
      <c r="C821" s="39" t="s">
        <v>1113</v>
      </c>
      <c r="G821" s="6"/>
    </row>
    <row r="822" spans="2:7">
      <c r="B822" s="82"/>
      <c r="C822" s="39"/>
      <c r="G822" s="6"/>
    </row>
    <row r="823" spans="2:7">
      <c r="B823" s="18"/>
      <c r="C823" s="15" t="s">
        <v>337</v>
      </c>
      <c r="G823" s="6"/>
    </row>
    <row r="824" spans="2:7">
      <c r="B824" s="82" t="s">
        <v>336</v>
      </c>
      <c r="C824" s="39" t="s">
        <v>236</v>
      </c>
      <c r="G824" s="6"/>
    </row>
    <row r="825" spans="2:7">
      <c r="B825" s="18"/>
      <c r="G825" s="6"/>
    </row>
    <row r="826" spans="2:7">
      <c r="B826" s="18"/>
      <c r="C826" s="1" t="s">
        <v>22</v>
      </c>
      <c r="G826" s="6"/>
    </row>
    <row r="827" spans="2:7">
      <c r="B827" s="82" t="s">
        <v>352</v>
      </c>
      <c r="C827" s="39" t="s">
        <v>236</v>
      </c>
      <c r="G827" s="6"/>
    </row>
    <row r="828" spans="2:7">
      <c r="B828" s="18"/>
      <c r="G828" s="6"/>
    </row>
    <row r="829" spans="2:7">
      <c r="B829" s="18"/>
      <c r="C829" s="1" t="s">
        <v>24</v>
      </c>
      <c r="G829" s="6"/>
    </row>
    <row r="830" spans="2:7">
      <c r="B830" s="18" t="s">
        <v>336</v>
      </c>
      <c r="C830" t="s">
        <v>607</v>
      </c>
      <c r="G830" s="6"/>
    </row>
    <row r="831" spans="2:7">
      <c r="B831" s="18"/>
      <c r="G831" s="6"/>
    </row>
    <row r="832" spans="2:7">
      <c r="B832" s="18"/>
      <c r="C832" s="1" t="s">
        <v>23</v>
      </c>
      <c r="G832" s="6"/>
    </row>
    <row r="833" spans="2:7">
      <c r="B833" s="82"/>
      <c r="C833" s="66" t="s">
        <v>339</v>
      </c>
      <c r="G833" s="6"/>
    </row>
    <row r="834" spans="2:7">
      <c r="B834" s="82"/>
      <c r="C834" s="66"/>
      <c r="G834" s="6"/>
    </row>
    <row r="835" spans="2:7" ht="13.5" thickBot="1">
      <c r="B835" s="19"/>
      <c r="C835" s="20"/>
      <c r="D835" s="20"/>
      <c r="E835" s="8"/>
      <c r="F835" s="20"/>
      <c r="G835" s="9"/>
    </row>
    <row r="836" spans="2:7">
      <c r="B836" s="5"/>
      <c r="C836" s="39"/>
      <c r="G836" s="6"/>
    </row>
    <row r="837" spans="2:7" ht="13.5" thickBot="1">
      <c r="B837" s="5"/>
      <c r="C837" s="39"/>
      <c r="G837" s="6"/>
    </row>
    <row r="838" spans="2:7" ht="13.5" thickBot="1">
      <c r="B838" s="236">
        <v>45136</v>
      </c>
      <c r="C838" s="237"/>
      <c r="D838" s="237"/>
      <c r="E838" s="237"/>
      <c r="F838" s="237"/>
      <c r="G838" s="238"/>
    </row>
    <row r="839" spans="2:7" ht="13.5" thickBot="1">
      <c r="B839" s="18"/>
      <c r="G839" s="6"/>
    </row>
    <row r="840" spans="2:7">
      <c r="B840" s="18"/>
      <c r="C840" s="21" t="s">
        <v>27</v>
      </c>
      <c r="D840" s="16"/>
      <c r="E840" s="80" t="s">
        <v>1</v>
      </c>
      <c r="F840" s="4">
        <v>15</v>
      </c>
      <c r="G840" s="6"/>
    </row>
    <row r="841" spans="2:7" ht="13.5" thickBot="1">
      <c r="B841" s="18"/>
      <c r="C841" s="7"/>
      <c r="D841" s="20"/>
      <c r="E841" s="83" t="s">
        <v>170</v>
      </c>
      <c r="F841" s="22">
        <v>14</v>
      </c>
      <c r="G841" s="6"/>
    </row>
    <row r="842" spans="2:7" ht="13.5" thickBot="1">
      <c r="B842" s="18"/>
      <c r="G842" s="6"/>
    </row>
    <row r="843" spans="2:7">
      <c r="B843" s="18"/>
      <c r="C843" s="3" t="s">
        <v>4</v>
      </c>
      <c r="D843" s="16"/>
      <c r="E843" s="80" t="s">
        <v>1368</v>
      </c>
      <c r="F843" s="84" t="s">
        <v>205</v>
      </c>
      <c r="G843" s="6"/>
    </row>
    <row r="844" spans="2:7">
      <c r="B844" s="18"/>
      <c r="C844" s="5" t="s">
        <v>2</v>
      </c>
      <c r="E844" s="39" t="s">
        <v>326</v>
      </c>
      <c r="F844" s="6"/>
      <c r="G844" s="6"/>
    </row>
    <row r="845" spans="2:7" ht="13.5" thickBot="1">
      <c r="B845" s="18"/>
      <c r="C845" s="7" t="s">
        <v>3</v>
      </c>
      <c r="D845" s="20"/>
      <c r="E845" s="81" t="s">
        <v>326</v>
      </c>
      <c r="F845" s="9"/>
      <c r="G845" s="6"/>
    </row>
    <row r="846" spans="2:7" ht="13.5" thickBot="1">
      <c r="B846" s="18"/>
      <c r="G846" s="6"/>
    </row>
    <row r="847" spans="2:7" ht="13.5" thickBot="1">
      <c r="B847" s="18"/>
      <c r="C847" s="23" t="s">
        <v>29</v>
      </c>
      <c r="D847" s="24"/>
      <c r="E847" s="87" t="s">
        <v>322</v>
      </c>
      <c r="F847" s="25"/>
      <c r="G847" s="6"/>
    </row>
    <row r="848" spans="2:7">
      <c r="B848" s="18"/>
      <c r="G848" s="6"/>
    </row>
    <row r="849" spans="2:7">
      <c r="B849" s="18"/>
      <c r="C849" t="s">
        <v>5</v>
      </c>
      <c r="G849" s="6"/>
    </row>
    <row r="850" spans="2:7">
      <c r="B850" s="18"/>
      <c r="G850" s="6"/>
    </row>
    <row r="851" spans="2:7">
      <c r="B851" s="5">
        <v>1</v>
      </c>
      <c r="C851" s="39" t="s">
        <v>327</v>
      </c>
      <c r="G851" s="6"/>
    </row>
    <row r="852" spans="2:7">
      <c r="B852" s="5">
        <v>2</v>
      </c>
      <c r="C852" s="39" t="s">
        <v>1113</v>
      </c>
      <c r="G852" s="6"/>
    </row>
    <row r="853" spans="2:7">
      <c r="B853" s="5">
        <v>3</v>
      </c>
      <c r="C853" s="39" t="s">
        <v>1314</v>
      </c>
      <c r="G853" s="6"/>
    </row>
    <row r="854" spans="2:7">
      <c r="B854" s="5">
        <v>4</v>
      </c>
      <c r="C854" s="39" t="s">
        <v>1320</v>
      </c>
      <c r="G854" s="6"/>
    </row>
    <row r="855" spans="2:7">
      <c r="B855" s="5">
        <v>5</v>
      </c>
      <c r="C855" s="39" t="s">
        <v>207</v>
      </c>
      <c r="G855" s="6"/>
    </row>
    <row r="856" spans="2:7">
      <c r="B856" s="5">
        <v>6</v>
      </c>
      <c r="C856" s="39" t="s">
        <v>33</v>
      </c>
      <c r="G856" s="6"/>
    </row>
    <row r="857" spans="2:7">
      <c r="B857" s="5">
        <v>7</v>
      </c>
      <c r="C857" s="39" t="s">
        <v>1324</v>
      </c>
      <c r="G857" s="6"/>
    </row>
    <row r="858" spans="2:7">
      <c r="B858" s="5">
        <v>8</v>
      </c>
      <c r="C858" s="39" t="s">
        <v>1329</v>
      </c>
      <c r="G858" s="6"/>
    </row>
    <row r="859" spans="2:7">
      <c r="B859" s="5">
        <v>9</v>
      </c>
      <c r="C859" s="39" t="s">
        <v>1235</v>
      </c>
      <c r="G859" s="6"/>
    </row>
    <row r="860" spans="2:7">
      <c r="B860" s="5">
        <v>10</v>
      </c>
      <c r="C860" s="39" t="s">
        <v>607</v>
      </c>
      <c r="G860" s="6"/>
    </row>
    <row r="861" spans="2:7">
      <c r="B861" s="5">
        <v>11</v>
      </c>
      <c r="C861" s="39" t="s">
        <v>1340</v>
      </c>
      <c r="G861" s="6"/>
    </row>
    <row r="862" spans="2:7">
      <c r="B862" s="5">
        <v>12</v>
      </c>
      <c r="C862" s="39" t="s">
        <v>1112</v>
      </c>
      <c r="G862" s="6"/>
    </row>
    <row r="863" spans="2:7">
      <c r="B863" s="5">
        <v>13</v>
      </c>
      <c r="C863" s="39" t="s">
        <v>214</v>
      </c>
      <c r="G863" s="6"/>
    </row>
    <row r="864" spans="2:7">
      <c r="B864" s="5">
        <v>14</v>
      </c>
      <c r="C864" s="39" t="s">
        <v>1245</v>
      </c>
      <c r="G864" s="6"/>
    </row>
    <row r="865" spans="2:7">
      <c r="B865" s="5">
        <v>15</v>
      </c>
      <c r="C865" s="39" t="s">
        <v>1198</v>
      </c>
      <c r="G865" s="6"/>
    </row>
    <row r="866" spans="2:7">
      <c r="B866" s="18"/>
      <c r="G866" s="6"/>
    </row>
    <row r="867" spans="2:7">
      <c r="B867" s="18"/>
      <c r="C867" s="39" t="s">
        <v>325</v>
      </c>
      <c r="G867" s="6"/>
    </row>
    <row r="868" spans="2:7">
      <c r="B868" s="18"/>
      <c r="C868" s="39" t="s">
        <v>1347</v>
      </c>
      <c r="G868" s="6"/>
    </row>
    <row r="869" spans="2:7">
      <c r="B869" s="18"/>
      <c r="C869" s="39" t="s">
        <v>1338</v>
      </c>
      <c r="G869" s="6"/>
    </row>
    <row r="870" spans="2:7">
      <c r="B870" s="18"/>
      <c r="C870" s="39" t="s">
        <v>1336</v>
      </c>
      <c r="G870" s="6"/>
    </row>
    <row r="871" spans="2:7">
      <c r="B871" s="18"/>
      <c r="C871" s="39" t="s">
        <v>1369</v>
      </c>
      <c r="G871" s="6"/>
    </row>
    <row r="872" spans="2:7">
      <c r="B872" s="18"/>
      <c r="C872" s="39" t="s">
        <v>1341</v>
      </c>
      <c r="G872" s="6"/>
    </row>
    <row r="873" spans="2:7">
      <c r="B873" s="18"/>
      <c r="G873" s="6"/>
    </row>
    <row r="874" spans="2:7">
      <c r="B874" s="18"/>
      <c r="C874" s="2" t="s">
        <v>21</v>
      </c>
      <c r="G874" s="6"/>
    </row>
    <row r="875" spans="2:7">
      <c r="B875" s="82" t="s">
        <v>336</v>
      </c>
      <c r="C875" s="39" t="s">
        <v>327</v>
      </c>
      <c r="G875" s="6"/>
    </row>
    <row r="876" spans="2:7">
      <c r="B876" s="82" t="s">
        <v>336</v>
      </c>
      <c r="C876" s="39" t="s">
        <v>1172</v>
      </c>
      <c r="G876" s="6"/>
    </row>
    <row r="877" spans="2:7">
      <c r="B877" s="82"/>
      <c r="C877" s="39"/>
      <c r="G877" s="6"/>
    </row>
    <row r="878" spans="2:7">
      <c r="B878" s="18"/>
      <c r="C878" s="15" t="s">
        <v>337</v>
      </c>
      <c r="G878" s="6"/>
    </row>
    <row r="879" spans="2:7">
      <c r="B879" s="82" t="s">
        <v>336</v>
      </c>
      <c r="C879" s="39" t="s">
        <v>236</v>
      </c>
      <c r="G879" s="6"/>
    </row>
    <row r="880" spans="2:7">
      <c r="B880" s="18"/>
      <c r="G880" s="6"/>
    </row>
    <row r="881" spans="2:7">
      <c r="B881" s="18"/>
      <c r="C881" s="1" t="s">
        <v>22</v>
      </c>
      <c r="G881" s="6"/>
    </row>
    <row r="882" spans="2:7">
      <c r="B882" s="82" t="s">
        <v>336</v>
      </c>
      <c r="C882" s="39" t="s">
        <v>236</v>
      </c>
      <c r="G882" s="6"/>
    </row>
    <row r="883" spans="2:7">
      <c r="B883" s="18"/>
      <c r="G883" s="6"/>
    </row>
    <row r="884" spans="2:7">
      <c r="B884" s="18"/>
      <c r="C884" s="1" t="s">
        <v>23</v>
      </c>
      <c r="G884" s="6"/>
    </row>
    <row r="885" spans="2:7">
      <c r="B885" s="82" t="s">
        <v>336</v>
      </c>
      <c r="C885" s="66" t="s">
        <v>1112</v>
      </c>
      <c r="G885" s="6"/>
    </row>
    <row r="886" spans="2:7">
      <c r="B886" s="82"/>
      <c r="C886" s="66"/>
      <c r="G886" s="6"/>
    </row>
    <row r="887" spans="2:7" ht="13.5" thickBot="1">
      <c r="B887" s="19"/>
      <c r="C887" s="20"/>
      <c r="D887" s="20"/>
      <c r="E887" s="8"/>
      <c r="F887" s="20"/>
      <c r="G887" s="9"/>
    </row>
    <row r="888" spans="2:7">
      <c r="B888" s="5"/>
      <c r="C888" s="39"/>
      <c r="G888" s="6"/>
    </row>
    <row r="889" spans="2:7" ht="13.5" thickBot="1">
      <c r="B889" s="5"/>
      <c r="C889" s="39"/>
      <c r="G889" s="6"/>
    </row>
    <row r="890" spans="2:7" ht="13.5" thickBot="1">
      <c r="B890" s="236">
        <v>45150</v>
      </c>
      <c r="C890" s="237"/>
      <c r="D890" s="237"/>
      <c r="E890" s="237"/>
      <c r="F890" s="237"/>
      <c r="G890" s="238"/>
    </row>
    <row r="891" spans="2:7" ht="13.5" thickBot="1">
      <c r="B891" s="18"/>
      <c r="G891" s="6"/>
    </row>
    <row r="892" spans="2:7">
      <c r="B892" s="18"/>
      <c r="C892" s="21" t="s">
        <v>27</v>
      </c>
      <c r="D892" s="16"/>
      <c r="E892" s="80" t="s">
        <v>104</v>
      </c>
      <c r="F892" s="4">
        <v>10</v>
      </c>
      <c r="G892" s="6"/>
    </row>
    <row r="893" spans="2:7" ht="13.5" thickBot="1">
      <c r="B893" s="18"/>
      <c r="C893" s="7"/>
      <c r="D893" s="20"/>
      <c r="E893" s="83" t="s">
        <v>1</v>
      </c>
      <c r="F893" s="22">
        <v>26</v>
      </c>
      <c r="G893" s="6"/>
    </row>
    <row r="894" spans="2:7" ht="13.5" thickBot="1">
      <c r="B894" s="18"/>
      <c r="G894" s="6"/>
    </row>
    <row r="895" spans="2:7">
      <c r="B895" s="18"/>
      <c r="C895" s="3" t="s">
        <v>4</v>
      </c>
      <c r="D895" s="16"/>
      <c r="E895" s="80" t="s">
        <v>104</v>
      </c>
      <c r="F895" s="84"/>
      <c r="G895" s="6"/>
    </row>
    <row r="896" spans="2:7">
      <c r="B896" s="18"/>
      <c r="C896" s="5" t="s">
        <v>2</v>
      </c>
      <c r="E896" s="39" t="s">
        <v>326</v>
      </c>
      <c r="F896" s="6"/>
      <c r="G896" s="6"/>
    </row>
    <row r="897" spans="2:7" ht="13.5" thickBot="1">
      <c r="B897" s="18"/>
      <c r="C897" s="7" t="s">
        <v>3</v>
      </c>
      <c r="D897" s="20"/>
      <c r="E897" s="81" t="s">
        <v>326</v>
      </c>
      <c r="F897" s="9"/>
      <c r="G897" s="6"/>
    </row>
    <row r="898" spans="2:7" ht="13.5" thickBot="1">
      <c r="B898" s="18"/>
      <c r="G898" s="6"/>
    </row>
    <row r="899" spans="2:7" ht="13.5" thickBot="1">
      <c r="B899" s="18"/>
      <c r="C899" s="23" t="s">
        <v>29</v>
      </c>
      <c r="D899" s="24"/>
      <c r="E899" s="87" t="s">
        <v>315</v>
      </c>
      <c r="F899" s="25"/>
      <c r="G899" s="6"/>
    </row>
    <row r="900" spans="2:7">
      <c r="B900" s="18"/>
      <c r="G900" s="6"/>
    </row>
    <row r="901" spans="2:7">
      <c r="B901" s="18"/>
      <c r="C901" t="s">
        <v>5</v>
      </c>
      <c r="G901" s="6"/>
    </row>
    <row r="902" spans="2:7">
      <c r="B902" s="18"/>
      <c r="G902" s="6"/>
    </row>
    <row r="903" spans="2:7">
      <c r="B903" s="5">
        <v>1</v>
      </c>
      <c r="C903" s="39" t="s">
        <v>1172</v>
      </c>
      <c r="G903" s="6"/>
    </row>
    <row r="904" spans="2:7">
      <c r="B904" s="5">
        <v>2</v>
      </c>
      <c r="C904" s="39" t="s">
        <v>1113</v>
      </c>
      <c r="G904" s="6"/>
    </row>
    <row r="905" spans="2:7">
      <c r="B905" s="5">
        <v>3</v>
      </c>
      <c r="C905" s="39" t="s">
        <v>327</v>
      </c>
      <c r="G905" s="6"/>
    </row>
    <row r="906" spans="2:7">
      <c r="B906" s="5">
        <v>4</v>
      </c>
      <c r="C906" s="39" t="s">
        <v>1320</v>
      </c>
      <c r="G906" s="6"/>
    </row>
    <row r="907" spans="2:7">
      <c r="B907" s="5">
        <v>5</v>
      </c>
      <c r="C907" s="39" t="s">
        <v>207</v>
      </c>
      <c r="G907" s="6"/>
    </row>
    <row r="908" spans="2:7">
      <c r="B908" s="5">
        <v>6</v>
      </c>
      <c r="C908" s="39" t="s">
        <v>33</v>
      </c>
      <c r="G908" s="6"/>
    </row>
    <row r="909" spans="2:7">
      <c r="B909" s="5">
        <v>7</v>
      </c>
      <c r="C909" s="39" t="s">
        <v>1324</v>
      </c>
      <c r="G909" s="6"/>
    </row>
    <row r="910" spans="2:7">
      <c r="B910" s="5">
        <v>8</v>
      </c>
      <c r="C910" s="39" t="s">
        <v>1329</v>
      </c>
      <c r="G910" s="6"/>
    </row>
    <row r="911" spans="2:7">
      <c r="B911" s="5">
        <v>9</v>
      </c>
      <c r="C911" s="39" t="s">
        <v>1235</v>
      </c>
      <c r="G911" s="6"/>
    </row>
    <row r="912" spans="2:7">
      <c r="B912" s="5">
        <v>10</v>
      </c>
      <c r="C912" s="39" t="s">
        <v>607</v>
      </c>
      <c r="G912" s="6"/>
    </row>
    <row r="913" spans="2:19">
      <c r="B913" s="5">
        <v>11</v>
      </c>
      <c r="C913" s="39" t="s">
        <v>1340</v>
      </c>
      <c r="G913" s="6"/>
    </row>
    <row r="914" spans="2:19">
      <c r="B914" s="5">
        <v>12</v>
      </c>
      <c r="C914" s="39" t="s">
        <v>1112</v>
      </c>
      <c r="G914" s="6"/>
    </row>
    <row r="915" spans="2:19">
      <c r="B915" s="5">
        <v>13</v>
      </c>
      <c r="C915" s="39" t="s">
        <v>214</v>
      </c>
      <c r="G915" s="6"/>
    </row>
    <row r="916" spans="2:19">
      <c r="B916" s="5">
        <v>14</v>
      </c>
      <c r="C916" s="39" t="s">
        <v>1245</v>
      </c>
      <c r="G916" s="6"/>
    </row>
    <row r="917" spans="2:19">
      <c r="B917" s="5">
        <v>15</v>
      </c>
      <c r="C917" s="39" t="s">
        <v>1198</v>
      </c>
      <c r="G917" s="6"/>
    </row>
    <row r="918" spans="2:19">
      <c r="B918" s="18"/>
      <c r="G918" s="6"/>
    </row>
    <row r="919" spans="2:19">
      <c r="B919" s="18"/>
      <c r="C919" s="39" t="s">
        <v>325</v>
      </c>
      <c r="G919" s="6"/>
      <c r="L919" s="15"/>
      <c r="O919" s="39"/>
      <c r="Q919" s="39"/>
      <c r="S919" s="39"/>
    </row>
    <row r="920" spans="2:19">
      <c r="B920" s="18"/>
      <c r="C920" s="39" t="s">
        <v>1183</v>
      </c>
      <c r="G920" s="6"/>
    </row>
    <row r="921" spans="2:19">
      <c r="B921" s="18"/>
      <c r="C921" s="39" t="s">
        <v>1338</v>
      </c>
      <c r="G921" s="6"/>
      <c r="M921" s="39"/>
      <c r="O921" s="39"/>
      <c r="Q921" s="39"/>
      <c r="S921" s="165"/>
    </row>
    <row r="922" spans="2:19">
      <c r="B922" s="18"/>
      <c r="C922" s="39" t="s">
        <v>1336</v>
      </c>
      <c r="G922" s="6"/>
      <c r="M922" s="39"/>
      <c r="O922" s="39"/>
      <c r="Q922" s="39"/>
      <c r="S922" s="165"/>
    </row>
    <row r="923" spans="2:19">
      <c r="B923" s="18"/>
      <c r="C923" s="39" t="s">
        <v>1369</v>
      </c>
      <c r="G923" s="6"/>
      <c r="M923" s="39"/>
      <c r="O923" s="39"/>
      <c r="Q923" s="39"/>
      <c r="S923" s="165"/>
    </row>
    <row r="924" spans="2:19">
      <c r="B924" s="18"/>
      <c r="C924" s="39" t="s">
        <v>1341</v>
      </c>
      <c r="G924" s="6"/>
      <c r="M924" s="39"/>
      <c r="O924" s="39"/>
      <c r="Q924" s="39"/>
      <c r="S924" s="165"/>
    </row>
    <row r="925" spans="2:19">
      <c r="B925" s="18"/>
      <c r="C925" s="39" t="s">
        <v>1370</v>
      </c>
      <c r="G925" s="6"/>
      <c r="M925" s="39"/>
      <c r="O925" s="39"/>
      <c r="Q925" s="39"/>
      <c r="S925" s="165"/>
    </row>
    <row r="926" spans="2:19">
      <c r="B926" s="18"/>
      <c r="G926" s="6"/>
      <c r="M926" s="39"/>
      <c r="O926" s="39"/>
      <c r="Q926" s="39"/>
      <c r="S926" s="165"/>
    </row>
    <row r="927" spans="2:19">
      <c r="B927" s="18"/>
      <c r="C927" s="2" t="s">
        <v>21</v>
      </c>
      <c r="G927" s="6"/>
      <c r="M927" s="39"/>
      <c r="O927" s="39"/>
      <c r="Q927" s="39"/>
      <c r="S927" s="165"/>
    </row>
    <row r="928" spans="2:19">
      <c r="B928" s="82" t="s">
        <v>336</v>
      </c>
      <c r="C928" s="39" t="s">
        <v>33</v>
      </c>
      <c r="G928" s="6"/>
      <c r="M928" s="39"/>
      <c r="O928" s="39"/>
      <c r="Q928" s="39"/>
      <c r="S928" s="39"/>
    </row>
    <row r="929" spans="2:19">
      <c r="B929" s="82" t="s">
        <v>336</v>
      </c>
      <c r="C929" s="39" t="s">
        <v>1340</v>
      </c>
      <c r="G929" s="6"/>
      <c r="M929" s="39"/>
      <c r="O929" s="39"/>
      <c r="Q929" s="39"/>
      <c r="S929" s="39"/>
    </row>
    <row r="930" spans="2:19">
      <c r="B930" s="82" t="s">
        <v>336</v>
      </c>
      <c r="C930" s="39" t="s">
        <v>236</v>
      </c>
      <c r="G930" s="6"/>
      <c r="M930" s="39"/>
      <c r="O930" s="39"/>
      <c r="Q930" s="39"/>
      <c r="S930" s="39"/>
    </row>
    <row r="931" spans="2:19">
      <c r="B931" s="82" t="s">
        <v>336</v>
      </c>
      <c r="C931" s="39" t="s">
        <v>1096</v>
      </c>
      <c r="G931" s="6"/>
      <c r="M931" s="39"/>
      <c r="O931" s="39"/>
      <c r="Q931" s="39"/>
      <c r="S931" s="39"/>
    </row>
    <row r="932" spans="2:19">
      <c r="B932" s="82"/>
      <c r="C932" s="39"/>
      <c r="G932" s="6"/>
      <c r="M932" s="39"/>
      <c r="O932" s="39"/>
      <c r="Q932" s="39"/>
      <c r="S932" s="165"/>
    </row>
    <row r="933" spans="2:19">
      <c r="B933" s="18"/>
      <c r="C933" s="15" t="s">
        <v>337</v>
      </c>
      <c r="G933" s="6"/>
      <c r="M933" s="39"/>
      <c r="O933" s="39"/>
      <c r="Q933" s="39"/>
      <c r="S933" s="39"/>
    </row>
    <row r="934" spans="2:19">
      <c r="B934" s="82" t="s">
        <v>335</v>
      </c>
      <c r="C934" s="39" t="s">
        <v>236</v>
      </c>
      <c r="G934" s="6"/>
      <c r="M934" s="39"/>
      <c r="O934" s="39"/>
      <c r="Q934" s="39"/>
      <c r="S934" s="39"/>
    </row>
    <row r="935" spans="2:19">
      <c r="B935" s="18"/>
      <c r="G935" s="6"/>
      <c r="M935" s="39"/>
      <c r="O935" s="39"/>
      <c r="Q935" s="39"/>
      <c r="S935" s="39"/>
    </row>
    <row r="936" spans="2:19">
      <c r="B936" s="18"/>
      <c r="C936" s="1" t="s">
        <v>22</v>
      </c>
      <c r="G936" s="6"/>
      <c r="M936" s="39"/>
      <c r="O936" s="39"/>
      <c r="Q936" s="39"/>
      <c r="S936" s="39"/>
    </row>
    <row r="937" spans="2:19">
      <c r="B937" s="82"/>
      <c r="C937" s="39" t="s">
        <v>339</v>
      </c>
      <c r="G937" s="6"/>
      <c r="M937" s="39"/>
      <c r="O937" s="39"/>
      <c r="Q937" s="39"/>
      <c r="S937" s="165"/>
    </row>
    <row r="938" spans="2:19">
      <c r="B938" s="18"/>
      <c r="G938" s="6"/>
      <c r="M938" s="39"/>
      <c r="O938" s="39"/>
      <c r="Q938" s="39"/>
      <c r="S938" s="165"/>
    </row>
    <row r="939" spans="2:19">
      <c r="B939" s="18"/>
      <c r="C939" s="1" t="s">
        <v>23</v>
      </c>
      <c r="G939" s="6"/>
    </row>
    <row r="940" spans="2:19">
      <c r="B940" s="82" t="s">
        <v>336</v>
      </c>
      <c r="C940" s="66" t="s">
        <v>207</v>
      </c>
      <c r="G940" s="6"/>
    </row>
    <row r="941" spans="2:19">
      <c r="B941" s="82" t="s">
        <v>336</v>
      </c>
      <c r="C941" s="66" t="s">
        <v>236</v>
      </c>
      <c r="G941" s="6"/>
      <c r="M941" s="39"/>
      <c r="P941" s="165"/>
    </row>
    <row r="942" spans="2:19" ht="13.5" thickBot="1">
      <c r="B942" s="19"/>
      <c r="C942" s="20"/>
      <c r="D942" s="20"/>
      <c r="E942" s="8"/>
      <c r="F942" s="20"/>
      <c r="G942" s="9"/>
      <c r="M942" s="39"/>
      <c r="P942" s="165"/>
    </row>
    <row r="943" spans="2:19">
      <c r="B943" s="5"/>
      <c r="C943" s="39"/>
      <c r="G943" s="6"/>
      <c r="M943" s="39"/>
      <c r="P943" s="39"/>
    </row>
    <row r="944" spans="2:19" ht="13.5" thickBot="1">
      <c r="B944" s="5"/>
      <c r="C944" s="39"/>
      <c r="G944" s="6"/>
      <c r="M944" s="39"/>
      <c r="P944" s="39"/>
    </row>
    <row r="945" spans="2:16" ht="13.5" thickBot="1">
      <c r="B945" s="236">
        <v>45157</v>
      </c>
      <c r="C945" s="237"/>
      <c r="D945" s="237"/>
      <c r="E945" s="237"/>
      <c r="F945" s="237"/>
      <c r="G945" s="238"/>
      <c r="M945" s="39"/>
      <c r="P945" s="39"/>
    </row>
    <row r="946" spans="2:16" ht="13.5" thickBot="1">
      <c r="B946" s="18"/>
      <c r="G946" s="6"/>
      <c r="M946" s="39"/>
      <c r="P946" s="39"/>
    </row>
    <row r="947" spans="2:16">
      <c r="B947" s="18"/>
      <c r="C947" s="21" t="s">
        <v>27</v>
      </c>
      <c r="D947" s="16"/>
      <c r="E947" s="80" t="s">
        <v>1</v>
      </c>
      <c r="F947" s="4">
        <v>29</v>
      </c>
      <c r="G947" s="6"/>
      <c r="M947" s="39"/>
      <c r="P947" s="39"/>
    </row>
    <row r="948" spans="2:16" ht="13.5" thickBot="1">
      <c r="B948" s="18"/>
      <c r="C948" s="7"/>
      <c r="D948" s="20"/>
      <c r="E948" s="83" t="s">
        <v>138</v>
      </c>
      <c r="F948" s="22">
        <v>15</v>
      </c>
      <c r="G948" s="6"/>
      <c r="M948" s="39"/>
      <c r="P948" s="39"/>
    </row>
    <row r="949" spans="2:16" ht="13.5" thickBot="1">
      <c r="B949" s="18"/>
      <c r="G949" s="6"/>
      <c r="M949" s="39"/>
      <c r="P949" s="39"/>
    </row>
    <row r="950" spans="2:16">
      <c r="B950" s="18"/>
      <c r="C950" s="3" t="s">
        <v>4</v>
      </c>
      <c r="D950" s="16"/>
      <c r="E950" s="80" t="s">
        <v>1</v>
      </c>
      <c r="F950" s="84" t="s">
        <v>205</v>
      </c>
      <c r="G950" s="6"/>
      <c r="M950" s="39"/>
      <c r="P950" s="39"/>
    </row>
    <row r="951" spans="2:16">
      <c r="B951" s="18"/>
      <c r="C951" s="5" t="s">
        <v>2</v>
      </c>
      <c r="E951" s="39" t="s">
        <v>404</v>
      </c>
      <c r="F951" s="6"/>
      <c r="G951" s="6"/>
      <c r="M951" s="39"/>
      <c r="P951" s="165"/>
    </row>
    <row r="952" spans="2:16" ht="13.5" thickBot="1">
      <c r="B952" s="18"/>
      <c r="C952" s="7" t="s">
        <v>3</v>
      </c>
      <c r="D952" s="20"/>
      <c r="E952" s="81" t="s">
        <v>326</v>
      </c>
      <c r="F952" s="9"/>
      <c r="G952" s="6"/>
      <c r="M952" s="39"/>
      <c r="P952" s="39"/>
    </row>
    <row r="953" spans="2:16" ht="13.5" thickBot="1">
      <c r="B953" s="18"/>
      <c r="G953" s="6"/>
      <c r="M953" s="39"/>
      <c r="P953" s="165"/>
    </row>
    <row r="954" spans="2:16" ht="13.5" thickBot="1">
      <c r="B954" s="18"/>
      <c r="C954" s="23" t="s">
        <v>29</v>
      </c>
      <c r="D954" s="24"/>
      <c r="E954" s="87" t="s">
        <v>215</v>
      </c>
      <c r="F954" s="25"/>
      <c r="G954" s="6"/>
      <c r="M954" s="39"/>
      <c r="P954" s="39"/>
    </row>
    <row r="955" spans="2:16">
      <c r="B955" s="18"/>
      <c r="G955" s="6"/>
      <c r="M955" s="39"/>
      <c r="P955" s="165"/>
    </row>
    <row r="956" spans="2:16">
      <c r="B956" s="18"/>
      <c r="C956" t="s">
        <v>5</v>
      </c>
      <c r="G956" s="6"/>
    </row>
    <row r="957" spans="2:16">
      <c r="B957" s="18"/>
      <c r="G957" s="6"/>
    </row>
    <row r="958" spans="2:16">
      <c r="B958" s="5">
        <v>1</v>
      </c>
      <c r="C958" s="39" t="s">
        <v>1172</v>
      </c>
      <c r="G958" s="6"/>
    </row>
    <row r="959" spans="2:16">
      <c r="B959" s="5">
        <v>2</v>
      </c>
      <c r="C959" s="39" t="s">
        <v>1113</v>
      </c>
      <c r="G959" s="6"/>
    </row>
    <row r="960" spans="2:16">
      <c r="B960" s="5">
        <v>3</v>
      </c>
      <c r="C960" s="39" t="s">
        <v>327</v>
      </c>
      <c r="G960" s="6"/>
    </row>
    <row r="961" spans="2:7">
      <c r="B961" s="5">
        <v>4</v>
      </c>
      <c r="C961" s="39" t="s">
        <v>1329</v>
      </c>
      <c r="G961" s="6"/>
    </row>
    <row r="962" spans="2:7">
      <c r="B962" s="5">
        <v>5</v>
      </c>
      <c r="C962" s="39" t="s">
        <v>207</v>
      </c>
      <c r="G962" s="6"/>
    </row>
    <row r="963" spans="2:7">
      <c r="B963" s="5">
        <v>6</v>
      </c>
      <c r="C963" s="39" t="s">
        <v>33</v>
      </c>
      <c r="G963" s="6"/>
    </row>
    <row r="964" spans="2:7">
      <c r="B964" s="5">
        <v>7</v>
      </c>
      <c r="C964" s="39" t="s">
        <v>1320</v>
      </c>
      <c r="G964" s="6"/>
    </row>
    <row r="965" spans="2:7">
      <c r="B965" s="5">
        <v>8</v>
      </c>
      <c r="C965" s="39" t="s">
        <v>1096</v>
      </c>
      <c r="G965" s="6"/>
    </row>
    <row r="966" spans="2:7">
      <c r="B966" s="5">
        <v>9</v>
      </c>
      <c r="C966" s="39" t="s">
        <v>1235</v>
      </c>
      <c r="G966" s="6"/>
    </row>
    <row r="967" spans="2:7">
      <c r="B967" s="5">
        <v>10</v>
      </c>
      <c r="C967" s="39" t="s">
        <v>607</v>
      </c>
      <c r="G967" s="6"/>
    </row>
    <row r="968" spans="2:7">
      <c r="B968" s="5">
        <v>11</v>
      </c>
      <c r="C968" s="39" t="s">
        <v>1340</v>
      </c>
      <c r="G968" s="6"/>
    </row>
    <row r="969" spans="2:7">
      <c r="B969" s="5">
        <v>12</v>
      </c>
      <c r="C969" s="39" t="s">
        <v>1112</v>
      </c>
      <c r="G969" s="6"/>
    </row>
    <row r="970" spans="2:7">
      <c r="B970" s="5">
        <v>13</v>
      </c>
      <c r="C970" s="39" t="s">
        <v>214</v>
      </c>
      <c r="G970" s="6"/>
    </row>
    <row r="971" spans="2:7">
      <c r="B971" s="5">
        <v>14</v>
      </c>
      <c r="C971" s="39" t="s">
        <v>1245</v>
      </c>
      <c r="G971" s="6"/>
    </row>
    <row r="972" spans="2:7">
      <c r="B972" s="5">
        <v>15</v>
      </c>
      <c r="C972" s="39" t="s">
        <v>1198</v>
      </c>
      <c r="G972" s="6"/>
    </row>
    <row r="973" spans="2:7">
      <c r="B973" s="18"/>
      <c r="G973" s="6"/>
    </row>
    <row r="974" spans="2:7">
      <c r="B974" s="18"/>
      <c r="C974" s="39" t="s">
        <v>325</v>
      </c>
      <c r="G974" s="6"/>
    </row>
    <row r="975" spans="2:7">
      <c r="B975" s="18"/>
      <c r="C975" s="39" t="s">
        <v>1373</v>
      </c>
      <c r="G975" s="6"/>
    </row>
    <row r="976" spans="2:7">
      <c r="B976" s="18"/>
      <c r="C976" s="39" t="s">
        <v>1338</v>
      </c>
      <c r="G976" s="6"/>
    </row>
    <row r="977" spans="1:7">
      <c r="B977" s="18"/>
      <c r="C977" s="39" t="s">
        <v>1336</v>
      </c>
      <c r="G977" s="6"/>
    </row>
    <row r="978" spans="1:7">
      <c r="B978" s="18"/>
      <c r="C978" s="39" t="s">
        <v>1369</v>
      </c>
      <c r="G978" s="6"/>
    </row>
    <row r="979" spans="1:7">
      <c r="B979" s="18"/>
      <c r="C979" s="39" t="s">
        <v>1372</v>
      </c>
      <c r="G979" s="6"/>
    </row>
    <row r="980" spans="1:7">
      <c r="B980" s="18"/>
      <c r="C980" s="39" t="s">
        <v>1374</v>
      </c>
      <c r="G980" s="6"/>
    </row>
    <row r="981" spans="1:7">
      <c r="B981" s="18"/>
      <c r="C981" s="39" t="s">
        <v>1375</v>
      </c>
      <c r="G981" s="6"/>
    </row>
    <row r="982" spans="1:7">
      <c r="B982" s="18"/>
      <c r="C982" s="39" t="s">
        <v>1376</v>
      </c>
      <c r="G982" s="6"/>
    </row>
    <row r="983" spans="1:7">
      <c r="B983" s="18"/>
      <c r="G983" s="6"/>
    </row>
    <row r="984" spans="1:7">
      <c r="B984" s="18"/>
      <c r="C984" s="2" t="s">
        <v>21</v>
      </c>
      <c r="G984" s="6"/>
    </row>
    <row r="985" spans="1:7">
      <c r="B985" s="82" t="s">
        <v>336</v>
      </c>
      <c r="C985" s="39" t="s">
        <v>33</v>
      </c>
      <c r="G985" s="6"/>
    </row>
    <row r="986" spans="1:7">
      <c r="B986" s="82" t="s">
        <v>336</v>
      </c>
      <c r="C986" s="39" t="s">
        <v>1113</v>
      </c>
      <c r="G986" s="6"/>
    </row>
    <row r="987" spans="1:7">
      <c r="B987" s="82" t="s">
        <v>336</v>
      </c>
      <c r="C987" s="39" t="s">
        <v>56</v>
      </c>
      <c r="G987" s="6"/>
    </row>
    <row r="988" spans="1:7">
      <c r="B988" s="82" t="s">
        <v>336</v>
      </c>
      <c r="C988" s="39" t="s">
        <v>607</v>
      </c>
      <c r="G988" s="6"/>
    </row>
    <row r="989" spans="1:7">
      <c r="A989" s="153"/>
      <c r="B989" s="82" t="s">
        <v>336</v>
      </c>
      <c r="C989" s="39" t="s">
        <v>214</v>
      </c>
      <c r="G989" s="6"/>
    </row>
    <row r="990" spans="1:7">
      <c r="B990" s="82"/>
      <c r="C990" s="39"/>
      <c r="G990" s="6"/>
    </row>
    <row r="991" spans="1:7">
      <c r="B991" s="18"/>
      <c r="C991" s="15" t="s">
        <v>337</v>
      </c>
      <c r="G991" s="6"/>
    </row>
    <row r="992" spans="1:7">
      <c r="B992" s="82" t="s">
        <v>352</v>
      </c>
      <c r="C992" s="39" t="s">
        <v>236</v>
      </c>
      <c r="G992" s="6"/>
    </row>
    <row r="993" spans="2:7">
      <c r="B993" s="18"/>
      <c r="G993" s="6"/>
    </row>
    <row r="994" spans="2:7">
      <c r="B994" s="18"/>
      <c r="C994" s="1" t="s">
        <v>22</v>
      </c>
      <c r="G994" s="6"/>
    </row>
    <row r="995" spans="2:7">
      <c r="B995" s="82"/>
      <c r="C995" s="39" t="s">
        <v>339</v>
      </c>
      <c r="G995" s="6"/>
    </row>
    <row r="996" spans="2:7">
      <c r="B996" s="18"/>
      <c r="G996" s="6"/>
    </row>
    <row r="997" spans="2:7">
      <c r="B997" s="18"/>
      <c r="C997" s="1" t="s">
        <v>23</v>
      </c>
      <c r="G997" s="6"/>
    </row>
    <row r="998" spans="2:7">
      <c r="B998" s="82" t="s">
        <v>336</v>
      </c>
      <c r="C998" s="66" t="s">
        <v>1245</v>
      </c>
      <c r="G998" s="6"/>
    </row>
    <row r="999" spans="2:7">
      <c r="B999" s="82" t="s">
        <v>336</v>
      </c>
      <c r="C999" s="66" t="s">
        <v>327</v>
      </c>
      <c r="G999" s="6"/>
    </row>
    <row r="1000" spans="2:7">
      <c r="B1000" s="82" t="s">
        <v>336</v>
      </c>
      <c r="C1000" s="66" t="s">
        <v>1235</v>
      </c>
      <c r="G1000" s="6"/>
    </row>
    <row r="1001" spans="2:7" ht="13.5" thickBot="1">
      <c r="B1001" s="19"/>
      <c r="C1001" s="20"/>
      <c r="D1001" s="20"/>
      <c r="E1001" s="8"/>
      <c r="F1001" s="20"/>
      <c r="G1001" s="9"/>
    </row>
    <row r="1002" spans="2:7">
      <c r="B1002" s="5"/>
      <c r="C1002" s="39"/>
      <c r="G1002" s="6"/>
    </row>
    <row r="1003" spans="2:7" ht="13.5" thickBot="1">
      <c r="B1003" s="5"/>
      <c r="C1003" s="39"/>
      <c r="G1003" s="6"/>
    </row>
    <row r="1004" spans="2:7" ht="13.5" thickBot="1">
      <c r="B1004" s="236">
        <v>45164</v>
      </c>
      <c r="C1004" s="237"/>
      <c r="D1004" s="237"/>
      <c r="E1004" s="237"/>
      <c r="F1004" s="237"/>
      <c r="G1004" s="238"/>
    </row>
    <row r="1005" spans="2:7" ht="13.5" thickBot="1">
      <c r="B1005" s="18"/>
      <c r="G1005" s="6"/>
    </row>
    <row r="1006" spans="2:7">
      <c r="B1006" s="18"/>
      <c r="C1006" s="21" t="s">
        <v>27</v>
      </c>
      <c r="D1006" s="16"/>
      <c r="E1006" s="80" t="s">
        <v>1103</v>
      </c>
      <c r="F1006" s="4">
        <v>28</v>
      </c>
      <c r="G1006" s="6"/>
    </row>
    <row r="1007" spans="2:7" ht="13.5" thickBot="1">
      <c r="B1007" s="18"/>
      <c r="C1007" s="7"/>
      <c r="D1007" s="20"/>
      <c r="E1007" s="83" t="s">
        <v>1</v>
      </c>
      <c r="F1007" s="22">
        <v>30</v>
      </c>
      <c r="G1007" s="6"/>
    </row>
    <row r="1008" spans="2:7" ht="13.5" thickBot="1">
      <c r="B1008" s="18"/>
      <c r="G1008" s="6"/>
    </row>
    <row r="1009" spans="2:7">
      <c r="B1009" s="18"/>
      <c r="C1009" s="3" t="s">
        <v>4</v>
      </c>
      <c r="D1009" s="16"/>
      <c r="E1009" s="80" t="s">
        <v>1103</v>
      </c>
      <c r="F1009" s="84"/>
      <c r="G1009" s="6"/>
    </row>
    <row r="1010" spans="2:7">
      <c r="B1010" s="18"/>
      <c r="C1010" s="5" t="s">
        <v>2</v>
      </c>
      <c r="E1010" s="39" t="s">
        <v>326</v>
      </c>
      <c r="F1010" s="6"/>
      <c r="G1010" s="6"/>
    </row>
    <row r="1011" spans="2:7" ht="13.5" thickBot="1">
      <c r="B1011" s="18"/>
      <c r="C1011" s="7" t="s">
        <v>3</v>
      </c>
      <c r="D1011" s="20"/>
      <c r="E1011" s="81" t="s">
        <v>326</v>
      </c>
      <c r="F1011" s="9"/>
      <c r="G1011" s="6"/>
    </row>
    <row r="1012" spans="2:7" ht="13.5" thickBot="1">
      <c r="B1012" s="18"/>
      <c r="G1012" s="6"/>
    </row>
    <row r="1013" spans="2:7" ht="13.5" thickBot="1">
      <c r="B1013" s="18"/>
      <c r="C1013" s="23" t="s">
        <v>29</v>
      </c>
      <c r="D1013" s="24"/>
      <c r="E1013" s="87" t="s">
        <v>1377</v>
      </c>
      <c r="F1013" s="25"/>
      <c r="G1013" s="6"/>
    </row>
    <row r="1014" spans="2:7">
      <c r="B1014" s="18"/>
      <c r="G1014" s="6"/>
    </row>
    <row r="1015" spans="2:7">
      <c r="B1015" s="18"/>
      <c r="C1015" t="s">
        <v>5</v>
      </c>
      <c r="G1015" s="6"/>
    </row>
    <row r="1016" spans="2:7">
      <c r="B1016" s="18"/>
      <c r="G1016" s="6"/>
    </row>
    <row r="1017" spans="2:7">
      <c r="B1017" s="5">
        <v>1</v>
      </c>
      <c r="C1017" s="39" t="s">
        <v>1172</v>
      </c>
      <c r="G1017" s="6"/>
    </row>
    <row r="1018" spans="2:7">
      <c r="B1018" s="5">
        <v>2</v>
      </c>
      <c r="C1018" s="39" t="s">
        <v>1113</v>
      </c>
      <c r="G1018" s="6"/>
    </row>
    <row r="1019" spans="2:7">
      <c r="B1019" s="5">
        <v>3</v>
      </c>
      <c r="C1019" s="39" t="s">
        <v>327</v>
      </c>
      <c r="G1019" s="6"/>
    </row>
    <row r="1020" spans="2:7">
      <c r="B1020" s="5">
        <v>4</v>
      </c>
      <c r="C1020" s="39" t="s">
        <v>1329</v>
      </c>
      <c r="G1020" s="6"/>
    </row>
    <row r="1021" spans="2:7">
      <c r="B1021" s="5">
        <v>5</v>
      </c>
      <c r="C1021" s="39" t="s">
        <v>207</v>
      </c>
      <c r="G1021" s="6"/>
    </row>
    <row r="1022" spans="2:7">
      <c r="B1022" s="5">
        <v>6</v>
      </c>
      <c r="C1022" s="39" t="s">
        <v>33</v>
      </c>
      <c r="G1022" s="6"/>
    </row>
    <row r="1023" spans="2:7">
      <c r="B1023" s="5">
        <v>7</v>
      </c>
      <c r="C1023" s="39" t="s">
        <v>1320</v>
      </c>
      <c r="G1023" s="6"/>
    </row>
    <row r="1024" spans="2:7">
      <c r="B1024" s="5">
        <v>8</v>
      </c>
      <c r="C1024" s="39" t="s">
        <v>1096</v>
      </c>
      <c r="G1024" s="6"/>
    </row>
    <row r="1025" spans="2:7">
      <c r="B1025" s="5">
        <v>9</v>
      </c>
      <c r="C1025" s="39" t="s">
        <v>1235</v>
      </c>
      <c r="G1025" s="6"/>
    </row>
    <row r="1026" spans="2:7">
      <c r="B1026" s="5">
        <v>10</v>
      </c>
      <c r="C1026" s="39" t="s">
        <v>607</v>
      </c>
      <c r="G1026" s="6"/>
    </row>
    <row r="1027" spans="2:7">
      <c r="B1027" s="5">
        <v>11</v>
      </c>
      <c r="C1027" s="39" t="s">
        <v>1340</v>
      </c>
      <c r="G1027" s="6"/>
    </row>
    <row r="1028" spans="2:7">
      <c r="B1028" s="5">
        <v>12</v>
      </c>
      <c r="C1028" s="39" t="s">
        <v>1112</v>
      </c>
      <c r="G1028" s="6"/>
    </row>
    <row r="1029" spans="2:7">
      <c r="B1029" s="5">
        <v>13</v>
      </c>
      <c r="C1029" s="39" t="s">
        <v>214</v>
      </c>
      <c r="G1029" s="6"/>
    </row>
    <row r="1030" spans="2:7">
      <c r="B1030" s="5">
        <v>14</v>
      </c>
      <c r="C1030" s="39" t="s">
        <v>1245</v>
      </c>
      <c r="G1030" s="6"/>
    </row>
    <row r="1031" spans="2:7">
      <c r="B1031" s="5">
        <v>15</v>
      </c>
      <c r="C1031" s="39" t="s">
        <v>1198</v>
      </c>
      <c r="G1031" s="6"/>
    </row>
    <row r="1032" spans="2:7">
      <c r="B1032" s="18"/>
      <c r="G1032" s="6"/>
    </row>
    <row r="1033" spans="2:7">
      <c r="B1033" s="18"/>
      <c r="C1033" s="39" t="s">
        <v>325</v>
      </c>
      <c r="G1033" s="6"/>
    </row>
    <row r="1034" spans="2:7">
      <c r="B1034" s="18"/>
      <c r="C1034" s="39" t="s">
        <v>1379</v>
      </c>
      <c r="G1034" s="6"/>
    </row>
    <row r="1035" spans="2:7">
      <c r="B1035" s="18"/>
      <c r="C1035" s="39" t="s">
        <v>1338</v>
      </c>
      <c r="G1035" s="6"/>
    </row>
    <row r="1036" spans="2:7">
      <c r="B1036" s="18"/>
      <c r="C1036" s="39" t="s">
        <v>1378</v>
      </c>
      <c r="G1036" s="6"/>
    </row>
    <row r="1037" spans="2:7">
      <c r="B1037" s="18"/>
      <c r="C1037" s="39" t="s">
        <v>1350</v>
      </c>
      <c r="G1037" s="6"/>
    </row>
    <row r="1038" spans="2:7">
      <c r="B1038" s="18"/>
      <c r="C1038" s="39" t="s">
        <v>1380</v>
      </c>
      <c r="G1038" s="6"/>
    </row>
    <row r="1039" spans="2:7">
      <c r="B1039" s="18"/>
      <c r="G1039" s="6"/>
    </row>
    <row r="1040" spans="2:7">
      <c r="B1040" s="18"/>
      <c r="C1040" s="2" t="s">
        <v>21</v>
      </c>
      <c r="G1040" s="6"/>
    </row>
    <row r="1041" spans="2:7">
      <c r="B1041" s="82" t="s">
        <v>336</v>
      </c>
      <c r="C1041" s="39" t="s">
        <v>1096</v>
      </c>
      <c r="G1041" s="6"/>
    </row>
    <row r="1042" spans="2:7">
      <c r="B1042" s="82" t="s">
        <v>336</v>
      </c>
      <c r="C1042" s="39" t="s">
        <v>1340</v>
      </c>
      <c r="G1042" s="6"/>
    </row>
    <row r="1043" spans="2:7">
      <c r="B1043" s="82" t="s">
        <v>336</v>
      </c>
      <c r="C1043" s="39" t="s">
        <v>236</v>
      </c>
      <c r="G1043" s="6"/>
    </row>
    <row r="1044" spans="2:7">
      <c r="B1044" s="82" t="s">
        <v>336</v>
      </c>
      <c r="C1044" s="39" t="s">
        <v>607</v>
      </c>
      <c r="G1044" s="6"/>
    </row>
    <row r="1045" spans="2:7">
      <c r="B1045" s="82"/>
      <c r="C1045" s="39"/>
      <c r="G1045" s="6"/>
    </row>
    <row r="1046" spans="2:7">
      <c r="B1046" s="18"/>
      <c r="C1046" s="15" t="s">
        <v>337</v>
      </c>
      <c r="G1046" s="6"/>
    </row>
    <row r="1047" spans="2:7">
      <c r="B1047" s="82" t="s">
        <v>352</v>
      </c>
      <c r="C1047" s="39" t="s">
        <v>236</v>
      </c>
      <c r="G1047" s="6"/>
    </row>
    <row r="1048" spans="2:7">
      <c r="B1048" s="18"/>
      <c r="G1048" s="6"/>
    </row>
    <row r="1049" spans="2:7">
      <c r="B1049" s="18"/>
      <c r="C1049" s="1" t="s">
        <v>22</v>
      </c>
      <c r="G1049" s="6"/>
    </row>
    <row r="1050" spans="2:7">
      <c r="B1050" s="82" t="s">
        <v>352</v>
      </c>
      <c r="C1050" s="39" t="s">
        <v>236</v>
      </c>
      <c r="G1050" s="6"/>
    </row>
    <row r="1051" spans="2:7">
      <c r="B1051" s="18"/>
      <c r="G1051" s="6"/>
    </row>
    <row r="1052" spans="2:7">
      <c r="B1052" s="18"/>
      <c r="C1052" s="1" t="s">
        <v>23</v>
      </c>
      <c r="G1052" s="6"/>
    </row>
    <row r="1053" spans="2:7">
      <c r="B1053" s="82"/>
      <c r="C1053" s="66" t="s">
        <v>339</v>
      </c>
      <c r="G1053" s="6"/>
    </row>
    <row r="1054" spans="2:7" ht="13.5" thickBot="1">
      <c r="B1054" s="19"/>
      <c r="C1054" s="20"/>
      <c r="D1054" s="20"/>
      <c r="E1054" s="8"/>
      <c r="F1054" s="20"/>
      <c r="G1054" s="9"/>
    </row>
    <row r="1055" spans="2:7">
      <c r="B1055" s="5"/>
      <c r="C1055" s="39"/>
      <c r="G1055" s="6"/>
    </row>
    <row r="1056" spans="2:7" ht="13.5" thickBot="1">
      <c r="B1056" s="18"/>
      <c r="G1056" s="6"/>
    </row>
    <row r="1057" spans="2:7" ht="13.5" thickBot="1">
      <c r="B1057" s="236">
        <v>45171</v>
      </c>
      <c r="C1057" s="237"/>
      <c r="D1057" s="237"/>
      <c r="E1057" s="237"/>
      <c r="F1057" s="237"/>
      <c r="G1057" s="238"/>
    </row>
    <row r="1058" spans="2:7" ht="13.5" thickBot="1">
      <c r="B1058" s="18"/>
      <c r="G1058" s="6"/>
    </row>
    <row r="1059" spans="2:7">
      <c r="B1059" s="18"/>
      <c r="C1059" s="21" t="s">
        <v>27</v>
      </c>
      <c r="D1059" s="16"/>
      <c r="E1059" s="80" t="s">
        <v>1</v>
      </c>
      <c r="F1059" s="4">
        <v>32</v>
      </c>
      <c r="G1059" s="6"/>
    </row>
    <row r="1060" spans="2:7" ht="13.5" thickBot="1">
      <c r="B1060" s="18"/>
      <c r="C1060" s="7"/>
      <c r="D1060" s="20"/>
      <c r="E1060" s="83" t="s">
        <v>805</v>
      </c>
      <c r="F1060" s="22">
        <v>17</v>
      </c>
      <c r="G1060" s="6"/>
    </row>
    <row r="1061" spans="2:7" ht="13.5" thickBot="1">
      <c r="B1061" s="18"/>
      <c r="G1061" s="6"/>
    </row>
    <row r="1062" spans="2:7">
      <c r="B1062" s="18"/>
      <c r="C1062" s="3" t="s">
        <v>4</v>
      </c>
      <c r="D1062" s="16"/>
      <c r="E1062" s="80" t="s">
        <v>1</v>
      </c>
      <c r="F1062" s="84" t="s">
        <v>205</v>
      </c>
      <c r="G1062" s="6"/>
    </row>
    <row r="1063" spans="2:7">
      <c r="B1063" s="18"/>
      <c r="C1063" s="5" t="s">
        <v>2</v>
      </c>
      <c r="E1063" s="39" t="s">
        <v>404</v>
      </c>
      <c r="F1063" s="6"/>
      <c r="G1063" s="6"/>
    </row>
    <row r="1064" spans="2:7" ht="13.5" thickBot="1">
      <c r="B1064" s="18"/>
      <c r="C1064" s="7" t="s">
        <v>3</v>
      </c>
      <c r="D1064" s="20"/>
      <c r="E1064" s="81" t="s">
        <v>326</v>
      </c>
      <c r="F1064" s="9"/>
      <c r="G1064" s="6"/>
    </row>
    <row r="1065" spans="2:7" ht="13.5" thickBot="1">
      <c r="B1065" s="18"/>
      <c r="G1065" s="6"/>
    </row>
    <row r="1066" spans="2:7" ht="13.5" thickBot="1">
      <c r="B1066" s="18"/>
      <c r="C1066" s="23" t="s">
        <v>29</v>
      </c>
      <c r="D1066" s="24"/>
      <c r="E1066" s="87" t="s">
        <v>1363</v>
      </c>
      <c r="F1066" s="25"/>
      <c r="G1066" s="6"/>
    </row>
    <row r="1067" spans="2:7">
      <c r="B1067" s="18"/>
      <c r="G1067" s="6"/>
    </row>
    <row r="1068" spans="2:7">
      <c r="B1068" s="18"/>
      <c r="C1068" t="s">
        <v>5</v>
      </c>
      <c r="G1068" s="6"/>
    </row>
    <row r="1069" spans="2:7">
      <c r="B1069" s="18"/>
      <c r="G1069" s="6"/>
    </row>
    <row r="1070" spans="2:7">
      <c r="B1070" s="5">
        <v>1</v>
      </c>
      <c r="C1070" s="39" t="s">
        <v>327</v>
      </c>
      <c r="G1070" s="6"/>
    </row>
    <row r="1071" spans="2:7">
      <c r="B1071" s="5">
        <v>2</v>
      </c>
      <c r="C1071" s="39" t="s">
        <v>1113</v>
      </c>
      <c r="G1071" s="6"/>
    </row>
    <row r="1072" spans="2:7">
      <c r="B1072" s="5">
        <v>3</v>
      </c>
      <c r="C1072" s="39" t="s">
        <v>1314</v>
      </c>
      <c r="G1072" s="6"/>
    </row>
    <row r="1073" spans="2:7">
      <c r="B1073" s="5">
        <v>4</v>
      </c>
      <c r="C1073" s="39" t="s">
        <v>1320</v>
      </c>
      <c r="G1073" s="6"/>
    </row>
    <row r="1074" spans="2:7">
      <c r="B1074" s="5">
        <v>5</v>
      </c>
      <c r="C1074" s="39" t="s">
        <v>207</v>
      </c>
      <c r="G1074" s="6"/>
    </row>
    <row r="1075" spans="2:7">
      <c r="B1075" s="5">
        <v>6</v>
      </c>
      <c r="C1075" s="39" t="s">
        <v>33</v>
      </c>
      <c r="G1075" s="6"/>
    </row>
    <row r="1076" spans="2:7">
      <c r="B1076" s="5">
        <v>7</v>
      </c>
      <c r="C1076" s="39" t="s">
        <v>1324</v>
      </c>
      <c r="G1076" s="6"/>
    </row>
    <row r="1077" spans="2:7">
      <c r="B1077" s="5">
        <v>8</v>
      </c>
      <c r="C1077" s="39" t="s">
        <v>1096</v>
      </c>
      <c r="G1077" s="6"/>
    </row>
    <row r="1078" spans="2:7">
      <c r="B1078" s="5">
        <v>9</v>
      </c>
      <c r="C1078" s="39" t="s">
        <v>1235</v>
      </c>
      <c r="G1078" s="6"/>
    </row>
    <row r="1079" spans="2:7">
      <c r="B1079" s="5">
        <v>10</v>
      </c>
      <c r="C1079" s="39" t="s">
        <v>607</v>
      </c>
      <c r="G1079" s="6"/>
    </row>
    <row r="1080" spans="2:7">
      <c r="B1080" s="5">
        <v>11</v>
      </c>
      <c r="C1080" s="39" t="s">
        <v>1340</v>
      </c>
      <c r="G1080" s="6"/>
    </row>
    <row r="1081" spans="2:7">
      <c r="B1081" s="5">
        <v>12</v>
      </c>
      <c r="C1081" s="39" t="s">
        <v>214</v>
      </c>
      <c r="G1081" s="6"/>
    </row>
    <row r="1082" spans="2:7">
      <c r="B1082" s="5">
        <v>13</v>
      </c>
      <c r="C1082" s="39" t="s">
        <v>144</v>
      </c>
      <c r="G1082" s="6"/>
    </row>
    <row r="1083" spans="2:7">
      <c r="B1083" s="5">
        <v>14</v>
      </c>
      <c r="C1083" s="39" t="s">
        <v>1245</v>
      </c>
      <c r="G1083" s="6"/>
    </row>
    <row r="1084" spans="2:7">
      <c r="B1084" s="5">
        <v>15</v>
      </c>
      <c r="C1084" s="39" t="s">
        <v>1198</v>
      </c>
      <c r="G1084" s="6"/>
    </row>
    <row r="1085" spans="2:7">
      <c r="B1085" s="18"/>
      <c r="G1085" s="6"/>
    </row>
    <row r="1086" spans="2:7">
      <c r="B1086" s="18"/>
      <c r="C1086" s="39" t="s">
        <v>325</v>
      </c>
      <c r="G1086" s="6"/>
    </row>
    <row r="1087" spans="2:7">
      <c r="B1087" s="18"/>
      <c r="C1087" s="39" t="s">
        <v>1381</v>
      </c>
      <c r="G1087" s="6"/>
    </row>
    <row r="1088" spans="2:7">
      <c r="B1088" s="18"/>
      <c r="C1088" s="39" t="s">
        <v>1338</v>
      </c>
      <c r="G1088" s="6"/>
    </row>
    <row r="1089" spans="2:7">
      <c r="B1089" s="18"/>
      <c r="C1089" s="39" t="s">
        <v>1365</v>
      </c>
      <c r="G1089" s="6"/>
    </row>
    <row r="1090" spans="2:7">
      <c r="B1090" s="18"/>
      <c r="C1090" s="39" t="s">
        <v>1336</v>
      </c>
      <c r="G1090" s="6"/>
    </row>
    <row r="1091" spans="2:7">
      <c r="B1091" s="18"/>
      <c r="C1091" s="39" t="s">
        <v>1285</v>
      </c>
      <c r="G1091" s="6"/>
    </row>
    <row r="1092" spans="2:7">
      <c r="B1092" s="18"/>
      <c r="G1092" s="6"/>
    </row>
    <row r="1093" spans="2:7">
      <c r="B1093" s="18"/>
      <c r="C1093" s="2" t="s">
        <v>21</v>
      </c>
      <c r="G1093" s="6"/>
    </row>
    <row r="1094" spans="2:7">
      <c r="B1094" s="82" t="s">
        <v>352</v>
      </c>
      <c r="C1094" s="39" t="s">
        <v>1096</v>
      </c>
      <c r="G1094" s="6"/>
    </row>
    <row r="1095" spans="2:7">
      <c r="B1095" s="82" t="s">
        <v>336</v>
      </c>
      <c r="C1095" s="39" t="s">
        <v>33</v>
      </c>
      <c r="G1095" s="6"/>
    </row>
    <row r="1096" spans="2:7">
      <c r="B1096" s="82" t="s">
        <v>336</v>
      </c>
      <c r="C1096" s="39" t="s">
        <v>607</v>
      </c>
      <c r="G1096" s="6"/>
    </row>
    <row r="1097" spans="2:7">
      <c r="B1097" s="82"/>
      <c r="C1097" s="39"/>
      <c r="G1097" s="6"/>
    </row>
    <row r="1098" spans="2:7">
      <c r="B1098" s="18"/>
      <c r="C1098" s="15" t="s">
        <v>337</v>
      </c>
      <c r="G1098" s="6"/>
    </row>
    <row r="1099" spans="2:7">
      <c r="B1099" s="82" t="s">
        <v>335</v>
      </c>
      <c r="C1099" s="39" t="s">
        <v>236</v>
      </c>
      <c r="G1099" s="6"/>
    </row>
    <row r="1100" spans="2:7">
      <c r="B1100" s="18"/>
      <c r="G1100" s="6"/>
    </row>
    <row r="1101" spans="2:7">
      <c r="B1101" s="18"/>
      <c r="C1101" s="1" t="s">
        <v>22</v>
      </c>
      <c r="G1101" s="6"/>
    </row>
    <row r="1102" spans="2:7">
      <c r="B1102" s="82" t="s">
        <v>352</v>
      </c>
      <c r="C1102" s="39" t="s">
        <v>236</v>
      </c>
      <c r="G1102" s="6"/>
    </row>
    <row r="1103" spans="2:7">
      <c r="B1103" s="18"/>
      <c r="G1103" s="6"/>
    </row>
    <row r="1104" spans="2:7">
      <c r="B1104" s="18"/>
      <c r="C1104" s="1" t="s">
        <v>23</v>
      </c>
      <c r="G1104" s="6"/>
    </row>
    <row r="1105" spans="2:7">
      <c r="B1105" s="82" t="s">
        <v>336</v>
      </c>
      <c r="C1105" s="66" t="s">
        <v>1371</v>
      </c>
      <c r="G1105" s="6"/>
    </row>
    <row r="1106" spans="2:7" ht="13.5" thickBot="1">
      <c r="B1106" s="19"/>
      <c r="C1106" s="20"/>
      <c r="D1106" s="20"/>
      <c r="E1106" s="8"/>
      <c r="F1106" s="20"/>
      <c r="G1106" s="9"/>
    </row>
    <row r="1107" spans="2:7">
      <c r="B1107" s="18"/>
      <c r="C1107" s="39"/>
      <c r="G1107" s="6"/>
    </row>
    <row r="1108" spans="2:7" ht="13.5" thickBot="1">
      <c r="B1108" s="18"/>
      <c r="C1108" s="39"/>
      <c r="G1108" s="6"/>
    </row>
    <row r="1109" spans="2:7" ht="13.5" thickBot="1">
      <c r="B1109" s="236">
        <v>45185</v>
      </c>
      <c r="C1109" s="237"/>
      <c r="D1109" s="237"/>
      <c r="E1109" s="237"/>
      <c r="F1109" s="237"/>
      <c r="G1109" s="238"/>
    </row>
    <row r="1110" spans="2:7" ht="13.5" thickBot="1">
      <c r="B1110" s="18"/>
      <c r="G1110" s="6"/>
    </row>
    <row r="1111" spans="2:7">
      <c r="B1111" s="18"/>
      <c r="C1111" s="21" t="s">
        <v>27</v>
      </c>
      <c r="D1111" s="16"/>
      <c r="E1111" s="80" t="s">
        <v>185</v>
      </c>
      <c r="F1111" s="4">
        <v>36</v>
      </c>
      <c r="G1111" s="6"/>
    </row>
    <row r="1112" spans="2:7" ht="13.5" thickBot="1">
      <c r="B1112" s="18"/>
      <c r="C1112" s="7"/>
      <c r="D1112" s="20"/>
      <c r="E1112" s="83" t="s">
        <v>1</v>
      </c>
      <c r="F1112" s="22">
        <v>33</v>
      </c>
      <c r="G1112" s="6"/>
    </row>
    <row r="1113" spans="2:7" ht="13.5" thickBot="1">
      <c r="B1113" s="18"/>
      <c r="G1113" s="6"/>
    </row>
    <row r="1114" spans="2:7">
      <c r="B1114" s="18"/>
      <c r="C1114" s="3" t="s">
        <v>4</v>
      </c>
      <c r="D1114" s="16"/>
      <c r="E1114" s="80" t="s">
        <v>185</v>
      </c>
      <c r="F1114" s="84"/>
      <c r="G1114" s="6"/>
    </row>
    <row r="1115" spans="2:7">
      <c r="B1115" s="18"/>
      <c r="C1115" s="5" t="s">
        <v>2</v>
      </c>
      <c r="E1115" s="39" t="s">
        <v>326</v>
      </c>
      <c r="F1115" s="6"/>
      <c r="G1115" s="6"/>
    </row>
    <row r="1116" spans="2:7" ht="13.5" thickBot="1">
      <c r="B1116" s="18"/>
      <c r="C1116" s="7" t="s">
        <v>3</v>
      </c>
      <c r="D1116" s="20"/>
      <c r="E1116" s="81" t="s">
        <v>326</v>
      </c>
      <c r="F1116" s="9"/>
      <c r="G1116" s="6"/>
    </row>
    <row r="1117" spans="2:7" ht="13.5" thickBot="1">
      <c r="B1117" s="18"/>
      <c r="G1117" s="6"/>
    </row>
    <row r="1118" spans="2:7" ht="13.5" thickBot="1">
      <c r="B1118" s="18"/>
      <c r="C1118" s="23" t="s">
        <v>29</v>
      </c>
      <c r="D1118" s="24"/>
      <c r="E1118" s="87" t="s">
        <v>251</v>
      </c>
      <c r="F1118" s="25"/>
      <c r="G1118" s="6"/>
    </row>
    <row r="1119" spans="2:7">
      <c r="B1119" s="18"/>
      <c r="G1119" s="6"/>
    </row>
    <row r="1120" spans="2:7">
      <c r="B1120" s="18"/>
      <c r="C1120" t="s">
        <v>5</v>
      </c>
      <c r="G1120" s="6"/>
    </row>
    <row r="1121" spans="2:7">
      <c r="B1121" s="18"/>
      <c r="G1121" s="6"/>
    </row>
    <row r="1122" spans="2:7">
      <c r="B1122" s="5">
        <v>1</v>
      </c>
      <c r="C1122" s="39" t="s">
        <v>327</v>
      </c>
      <c r="G1122" s="6"/>
    </row>
    <row r="1123" spans="2:7">
      <c r="B1123" s="5">
        <v>2</v>
      </c>
      <c r="C1123" s="39" t="s">
        <v>1113</v>
      </c>
      <c r="G1123" s="6"/>
    </row>
    <row r="1124" spans="2:7">
      <c r="B1124" s="5">
        <v>3</v>
      </c>
      <c r="C1124" s="39" t="s">
        <v>1314</v>
      </c>
      <c r="G1124" s="6"/>
    </row>
    <row r="1125" spans="2:7">
      <c r="B1125" s="5">
        <v>4</v>
      </c>
      <c r="C1125" s="39" t="s">
        <v>1329</v>
      </c>
      <c r="G1125" s="6"/>
    </row>
    <row r="1126" spans="2:7">
      <c r="B1126" s="5">
        <v>5</v>
      </c>
      <c r="C1126" s="39" t="s">
        <v>207</v>
      </c>
      <c r="G1126" s="6"/>
    </row>
    <row r="1127" spans="2:7">
      <c r="B1127" s="5">
        <v>6</v>
      </c>
      <c r="C1127" s="39" t="s">
        <v>33</v>
      </c>
      <c r="G1127" s="6"/>
    </row>
    <row r="1128" spans="2:7">
      <c r="B1128" s="5">
        <v>7</v>
      </c>
      <c r="C1128" s="39" t="s">
        <v>1320</v>
      </c>
      <c r="G1128" s="6"/>
    </row>
    <row r="1129" spans="2:7">
      <c r="B1129" s="5">
        <v>8</v>
      </c>
      <c r="C1129" s="39" t="s">
        <v>1096</v>
      </c>
      <c r="G1129" s="6"/>
    </row>
    <row r="1130" spans="2:7">
      <c r="B1130" s="5">
        <v>9</v>
      </c>
      <c r="C1130" s="39" t="s">
        <v>1235</v>
      </c>
      <c r="G1130" s="6"/>
    </row>
    <row r="1131" spans="2:7">
      <c r="B1131" s="5">
        <v>10</v>
      </c>
      <c r="C1131" s="39" t="s">
        <v>607</v>
      </c>
      <c r="G1131" s="6"/>
    </row>
    <row r="1132" spans="2:7">
      <c r="B1132" s="5">
        <v>11</v>
      </c>
      <c r="C1132" s="39" t="s">
        <v>1340</v>
      </c>
      <c r="G1132" s="6"/>
    </row>
    <row r="1133" spans="2:7">
      <c r="B1133" s="5">
        <v>12</v>
      </c>
      <c r="C1133" s="39" t="s">
        <v>1112</v>
      </c>
      <c r="G1133" s="6"/>
    </row>
    <row r="1134" spans="2:7">
      <c r="B1134" s="5">
        <v>13</v>
      </c>
      <c r="C1134" s="39" t="s">
        <v>214</v>
      </c>
      <c r="G1134" s="6"/>
    </row>
    <row r="1135" spans="2:7">
      <c r="B1135" s="5">
        <v>14</v>
      </c>
      <c r="C1135" s="39" t="s">
        <v>144</v>
      </c>
      <c r="G1135" s="6"/>
    </row>
    <row r="1136" spans="2:7">
      <c r="B1136" s="5">
        <v>15</v>
      </c>
      <c r="C1136" s="39" t="s">
        <v>1198</v>
      </c>
      <c r="G1136" s="6"/>
    </row>
    <row r="1137" spans="2:7">
      <c r="B1137" s="18"/>
      <c r="G1137" s="6"/>
    </row>
    <row r="1138" spans="2:7">
      <c r="B1138" s="18"/>
      <c r="C1138" s="39" t="s">
        <v>325</v>
      </c>
      <c r="G1138" s="6"/>
    </row>
    <row r="1139" spans="2:7">
      <c r="B1139" s="18"/>
      <c r="C1139" s="39" t="s">
        <v>1347</v>
      </c>
      <c r="G1139" s="6"/>
    </row>
    <row r="1140" spans="2:7">
      <c r="B1140" s="18"/>
      <c r="C1140" s="39" t="s">
        <v>1338</v>
      </c>
      <c r="G1140" s="6"/>
    </row>
    <row r="1141" spans="2:7">
      <c r="B1141" s="18"/>
      <c r="C1141" s="39" t="s">
        <v>1382</v>
      </c>
      <c r="G1141" s="6"/>
    </row>
    <row r="1142" spans="2:7">
      <c r="B1142" s="18"/>
      <c r="C1142" s="39" t="s">
        <v>1383</v>
      </c>
      <c r="G1142" s="6"/>
    </row>
    <row r="1143" spans="2:7">
      <c r="B1143" s="18"/>
      <c r="G1143" s="6"/>
    </row>
    <row r="1144" spans="2:7">
      <c r="B1144" s="18"/>
      <c r="C1144" s="2" t="s">
        <v>21</v>
      </c>
      <c r="G1144" s="6"/>
    </row>
    <row r="1145" spans="2:7">
      <c r="B1145" s="82" t="s">
        <v>336</v>
      </c>
      <c r="C1145" s="39" t="s">
        <v>1096</v>
      </c>
      <c r="G1145" s="6"/>
    </row>
    <row r="1146" spans="2:7">
      <c r="B1146" s="82" t="s">
        <v>336</v>
      </c>
      <c r="C1146" s="39" t="s">
        <v>33</v>
      </c>
      <c r="G1146" s="6"/>
    </row>
    <row r="1147" spans="2:7">
      <c r="B1147" s="82" t="s">
        <v>336</v>
      </c>
      <c r="C1147" s="39" t="s">
        <v>56</v>
      </c>
      <c r="G1147" s="6"/>
    </row>
    <row r="1148" spans="2:7">
      <c r="B1148" s="82" t="s">
        <v>336</v>
      </c>
      <c r="C1148" s="39" t="s">
        <v>214</v>
      </c>
      <c r="G1148" s="6"/>
    </row>
    <row r="1149" spans="2:7">
      <c r="B1149" s="82" t="s">
        <v>336</v>
      </c>
      <c r="C1149" s="39" t="s">
        <v>1340</v>
      </c>
      <c r="G1149" s="6"/>
    </row>
    <row r="1150" spans="2:7">
      <c r="B1150" s="82"/>
      <c r="C1150" s="39"/>
      <c r="G1150" s="6"/>
    </row>
    <row r="1151" spans="2:7">
      <c r="B1151" s="18"/>
      <c r="C1151" s="15" t="s">
        <v>337</v>
      </c>
      <c r="G1151" s="6"/>
    </row>
    <row r="1152" spans="2:7">
      <c r="B1152" s="82" t="s">
        <v>335</v>
      </c>
      <c r="C1152" s="39" t="s">
        <v>236</v>
      </c>
      <c r="G1152" s="6"/>
    </row>
    <row r="1153" spans="2:7">
      <c r="B1153" s="18"/>
      <c r="G1153" s="6"/>
    </row>
    <row r="1154" spans="2:7">
      <c r="B1154" s="18"/>
      <c r="C1154" s="1" t="s">
        <v>22</v>
      </c>
      <c r="G1154" s="6"/>
    </row>
    <row r="1155" spans="2:7">
      <c r="B1155" s="82"/>
      <c r="C1155" s="39" t="s">
        <v>339</v>
      </c>
      <c r="G1155" s="6"/>
    </row>
    <row r="1156" spans="2:7">
      <c r="B1156" s="18"/>
      <c r="G1156" s="6"/>
    </row>
    <row r="1157" spans="2:7">
      <c r="B1157" s="18"/>
      <c r="C1157" s="1" t="s">
        <v>23</v>
      </c>
      <c r="G1157" s="6"/>
    </row>
    <row r="1158" spans="2:7">
      <c r="B1158" s="82" t="s">
        <v>336</v>
      </c>
      <c r="C1158" s="66" t="s">
        <v>1235</v>
      </c>
      <c r="G1158" s="6"/>
    </row>
    <row r="1159" spans="2:7" ht="13.5" thickBot="1">
      <c r="B1159" s="19"/>
      <c r="C1159" s="20"/>
      <c r="D1159" s="20"/>
      <c r="E1159" s="8"/>
      <c r="F1159" s="20"/>
      <c r="G1159" s="9"/>
    </row>
    <row r="1160" spans="2:7">
      <c r="B1160" s="18"/>
      <c r="C1160" s="39"/>
      <c r="G1160" s="6"/>
    </row>
    <row r="1161" spans="2:7" ht="13.5" thickBot="1">
      <c r="B1161" s="18"/>
      <c r="C1161" s="39"/>
      <c r="G1161" s="6"/>
    </row>
    <row r="1162" spans="2:7" ht="13.5" thickBot="1">
      <c r="B1162" s="236">
        <v>45192</v>
      </c>
      <c r="C1162" s="237"/>
      <c r="D1162" s="237"/>
      <c r="E1162" s="237"/>
      <c r="F1162" s="237"/>
      <c r="G1162" s="238"/>
    </row>
    <row r="1163" spans="2:7" ht="13.5" thickBot="1">
      <c r="B1163" s="18"/>
      <c r="G1163" s="6"/>
    </row>
    <row r="1164" spans="2:7">
      <c r="B1164" s="18"/>
      <c r="C1164" s="21" t="s">
        <v>27</v>
      </c>
      <c r="D1164" s="16"/>
      <c r="E1164" s="80" t="s">
        <v>1</v>
      </c>
      <c r="F1164" s="4">
        <v>13</v>
      </c>
      <c r="G1164" s="6"/>
    </row>
    <row r="1165" spans="2:7" ht="13.5" thickBot="1">
      <c r="B1165" s="18"/>
      <c r="C1165" s="7"/>
      <c r="D1165" s="20"/>
      <c r="E1165" s="83" t="s">
        <v>118</v>
      </c>
      <c r="F1165" s="22">
        <v>23</v>
      </c>
      <c r="G1165" s="6"/>
    </row>
    <row r="1166" spans="2:7" ht="13.5" thickBot="1">
      <c r="B1166" s="18"/>
      <c r="G1166" s="6"/>
    </row>
    <row r="1167" spans="2:7">
      <c r="B1167" s="18"/>
      <c r="C1167" s="3" t="s">
        <v>4</v>
      </c>
      <c r="D1167" s="16"/>
      <c r="E1167" s="80" t="s">
        <v>1</v>
      </c>
      <c r="F1167" s="84" t="s">
        <v>205</v>
      </c>
      <c r="G1167" s="6"/>
    </row>
    <row r="1168" spans="2:7">
      <c r="B1168" s="18"/>
      <c r="C1168" s="5" t="s">
        <v>2</v>
      </c>
      <c r="E1168" s="39" t="s">
        <v>404</v>
      </c>
      <c r="F1168" s="6"/>
      <c r="G1168" s="6"/>
    </row>
    <row r="1169" spans="2:7" ht="13.5" thickBot="1">
      <c r="B1169" s="18"/>
      <c r="C1169" s="7" t="s">
        <v>3</v>
      </c>
      <c r="D1169" s="20"/>
      <c r="E1169" s="81" t="s">
        <v>326</v>
      </c>
      <c r="F1169" s="9"/>
      <c r="G1169" s="6"/>
    </row>
    <row r="1170" spans="2:7" ht="13.5" thickBot="1">
      <c r="B1170" s="18"/>
      <c r="G1170" s="6"/>
    </row>
    <row r="1171" spans="2:7" ht="13.5" thickBot="1">
      <c r="B1171" s="18"/>
      <c r="C1171" s="23" t="s">
        <v>29</v>
      </c>
      <c r="D1171" s="24"/>
      <c r="E1171" s="87" t="s">
        <v>215</v>
      </c>
      <c r="F1171" s="25"/>
      <c r="G1171" s="6"/>
    </row>
    <row r="1172" spans="2:7">
      <c r="B1172" s="18"/>
      <c r="G1172" s="6"/>
    </row>
    <row r="1173" spans="2:7">
      <c r="B1173" s="18"/>
      <c r="C1173" t="s">
        <v>5</v>
      </c>
      <c r="G1173" s="6"/>
    </row>
    <row r="1174" spans="2:7">
      <c r="B1174" s="18"/>
      <c r="G1174" s="6"/>
    </row>
    <row r="1175" spans="2:7">
      <c r="B1175" s="5">
        <v>1</v>
      </c>
      <c r="C1175" s="39" t="s">
        <v>327</v>
      </c>
      <c r="G1175" s="6"/>
    </row>
    <row r="1176" spans="2:7">
      <c r="B1176" s="5">
        <v>2</v>
      </c>
      <c r="C1176" s="39" t="s">
        <v>1113</v>
      </c>
      <c r="G1176" s="6"/>
    </row>
    <row r="1177" spans="2:7">
      <c r="B1177" s="5">
        <v>3</v>
      </c>
      <c r="C1177" s="39" t="s">
        <v>1314</v>
      </c>
      <c r="G1177" s="6"/>
    </row>
    <row r="1178" spans="2:7">
      <c r="B1178" s="5">
        <v>4</v>
      </c>
      <c r="C1178" s="39" t="s">
        <v>1320</v>
      </c>
      <c r="G1178" s="6"/>
    </row>
    <row r="1179" spans="2:7">
      <c r="B1179" s="5">
        <v>5</v>
      </c>
      <c r="C1179" s="39" t="s">
        <v>207</v>
      </c>
      <c r="G1179" s="6"/>
    </row>
    <row r="1180" spans="2:7">
      <c r="B1180" s="5">
        <v>6</v>
      </c>
      <c r="C1180" s="39" t="s">
        <v>33</v>
      </c>
      <c r="G1180" s="6"/>
    </row>
    <row r="1181" spans="2:7">
      <c r="B1181" s="5">
        <v>7</v>
      </c>
      <c r="C1181" s="39" t="s">
        <v>1315</v>
      </c>
      <c r="G1181" s="6"/>
    </row>
    <row r="1182" spans="2:7">
      <c r="B1182" s="5">
        <v>8</v>
      </c>
      <c r="C1182" s="39" t="s">
        <v>1096</v>
      </c>
      <c r="G1182" s="6"/>
    </row>
    <row r="1183" spans="2:7">
      <c r="B1183" s="5">
        <v>9</v>
      </c>
      <c r="C1183" s="39" t="s">
        <v>1235</v>
      </c>
      <c r="G1183" s="6"/>
    </row>
    <row r="1184" spans="2:7">
      <c r="B1184" s="5">
        <v>10</v>
      </c>
      <c r="C1184" s="39" t="s">
        <v>607</v>
      </c>
      <c r="G1184" s="6"/>
    </row>
    <row r="1185" spans="2:7">
      <c r="B1185" s="5">
        <v>11</v>
      </c>
      <c r="C1185" s="39" t="s">
        <v>1340</v>
      </c>
      <c r="G1185" s="6"/>
    </row>
    <row r="1186" spans="2:7">
      <c r="B1186" s="5">
        <v>12</v>
      </c>
      <c r="C1186" s="39" t="s">
        <v>142</v>
      </c>
      <c r="G1186" s="6"/>
    </row>
    <row r="1187" spans="2:7">
      <c r="B1187" s="5">
        <v>13</v>
      </c>
      <c r="C1187" s="39" t="s">
        <v>214</v>
      </c>
      <c r="G1187" s="6"/>
    </row>
    <row r="1188" spans="2:7">
      <c r="B1188" s="5">
        <v>14</v>
      </c>
      <c r="C1188" s="39" t="s">
        <v>144</v>
      </c>
      <c r="G1188" s="6"/>
    </row>
    <row r="1189" spans="2:7">
      <c r="B1189" s="5">
        <v>15</v>
      </c>
      <c r="C1189" s="39" t="s">
        <v>1198</v>
      </c>
      <c r="G1189" s="6"/>
    </row>
    <row r="1190" spans="2:7">
      <c r="B1190" s="18"/>
      <c r="G1190" s="6"/>
    </row>
    <row r="1191" spans="2:7">
      <c r="B1191" s="18"/>
      <c r="C1191" s="39" t="s">
        <v>325</v>
      </c>
      <c r="G1191" s="6"/>
    </row>
    <row r="1192" spans="2:7">
      <c r="B1192" s="18"/>
      <c r="C1192" s="39" t="s">
        <v>1347</v>
      </c>
      <c r="G1192" s="6"/>
    </row>
    <row r="1193" spans="2:7">
      <c r="B1193" s="18"/>
      <c r="C1193" s="39" t="s">
        <v>1338</v>
      </c>
      <c r="G1193" s="6"/>
    </row>
    <row r="1194" spans="2:7">
      <c r="B1194" s="18"/>
      <c r="C1194" s="39" t="s">
        <v>1384</v>
      </c>
      <c r="G1194" s="6"/>
    </row>
    <row r="1195" spans="2:7">
      <c r="B1195" s="18"/>
      <c r="C1195" s="39" t="s">
        <v>1385</v>
      </c>
      <c r="G1195" s="6"/>
    </row>
    <row r="1196" spans="2:7">
      <c r="B1196" s="18"/>
      <c r="C1196" s="39" t="s">
        <v>1336</v>
      </c>
      <c r="G1196" s="6"/>
    </row>
    <row r="1197" spans="2:7">
      <c r="B1197" s="18"/>
      <c r="C1197" s="39" t="s">
        <v>1350</v>
      </c>
      <c r="G1197" s="6"/>
    </row>
    <row r="1198" spans="2:7">
      <c r="B1198" s="18"/>
      <c r="G1198" s="6"/>
    </row>
    <row r="1199" spans="2:7">
      <c r="B1199" s="18"/>
      <c r="C1199" s="2" t="s">
        <v>21</v>
      </c>
      <c r="G1199" s="6"/>
    </row>
    <row r="1200" spans="2:7">
      <c r="B1200" s="82" t="s">
        <v>336</v>
      </c>
      <c r="C1200" s="39" t="s">
        <v>1113</v>
      </c>
      <c r="G1200" s="6"/>
    </row>
    <row r="1201" spans="2:7">
      <c r="B1201" s="82"/>
      <c r="C1201" s="39"/>
      <c r="G1201" s="6"/>
    </row>
    <row r="1202" spans="2:7">
      <c r="B1202" s="18"/>
      <c r="C1202" s="15" t="s">
        <v>337</v>
      </c>
      <c r="G1202" s="6"/>
    </row>
    <row r="1203" spans="2:7">
      <c r="B1203" s="82" t="s">
        <v>336</v>
      </c>
      <c r="C1203" s="39" t="s">
        <v>236</v>
      </c>
      <c r="G1203" s="6"/>
    </row>
    <row r="1204" spans="2:7">
      <c r="B1204" s="18"/>
      <c r="G1204" s="6"/>
    </row>
    <row r="1205" spans="2:7">
      <c r="B1205" s="18"/>
      <c r="C1205" s="1" t="s">
        <v>22</v>
      </c>
      <c r="G1205" s="6"/>
    </row>
    <row r="1206" spans="2:7">
      <c r="B1206" s="82" t="s">
        <v>352</v>
      </c>
      <c r="C1206" s="39" t="s">
        <v>236</v>
      </c>
      <c r="G1206" s="6"/>
    </row>
    <row r="1207" spans="2:7">
      <c r="B1207" s="18"/>
      <c r="G1207" s="6"/>
    </row>
    <row r="1208" spans="2:7">
      <c r="B1208" s="18"/>
      <c r="C1208" s="1" t="s">
        <v>23</v>
      </c>
      <c r="G1208" s="6"/>
    </row>
    <row r="1209" spans="2:7">
      <c r="B1209" s="82" t="s">
        <v>336</v>
      </c>
      <c r="C1209" s="66" t="s">
        <v>207</v>
      </c>
      <c r="G1209" s="6"/>
    </row>
    <row r="1210" spans="2:7" ht="13.5" thickBot="1">
      <c r="B1210" s="19"/>
      <c r="C1210" s="20"/>
      <c r="D1210" s="20"/>
      <c r="E1210" s="8"/>
      <c r="F1210" s="20"/>
      <c r="G1210" s="9"/>
    </row>
    <row r="1211" spans="2:7">
      <c r="B1211" s="18"/>
      <c r="G1211" s="6"/>
    </row>
    <row r="1212" spans="2:7" ht="13.5" thickBot="1">
      <c r="B1212" s="18"/>
      <c r="C1212" s="39"/>
      <c r="G1212" s="6"/>
    </row>
    <row r="1213" spans="2:7" ht="13.5" thickBot="1">
      <c r="B1213" s="236">
        <v>45199</v>
      </c>
      <c r="C1213" s="237"/>
      <c r="D1213" s="237"/>
      <c r="E1213" s="237"/>
      <c r="F1213" s="237"/>
      <c r="G1213" s="238"/>
    </row>
    <row r="1214" spans="2:7" ht="13.5" thickBot="1">
      <c r="B1214" s="18"/>
      <c r="G1214" s="6"/>
    </row>
    <row r="1215" spans="2:7">
      <c r="B1215" s="18"/>
      <c r="C1215" s="21" t="s">
        <v>27</v>
      </c>
      <c r="D1215" s="16"/>
      <c r="E1215" s="80" t="s">
        <v>1301</v>
      </c>
      <c r="F1215" s="4">
        <v>29</v>
      </c>
      <c r="G1215" s="6"/>
    </row>
    <row r="1216" spans="2:7" ht="13.5" thickBot="1">
      <c r="B1216" s="18"/>
      <c r="C1216" s="7"/>
      <c r="D1216" s="20"/>
      <c r="E1216" s="83" t="s">
        <v>1</v>
      </c>
      <c r="F1216" s="22">
        <v>23</v>
      </c>
      <c r="G1216" s="6"/>
    </row>
    <row r="1217" spans="2:7" ht="13.5" thickBot="1">
      <c r="B1217" s="18"/>
      <c r="G1217" s="6"/>
    </row>
    <row r="1218" spans="2:7">
      <c r="B1218" s="18"/>
      <c r="C1218" s="3" t="s">
        <v>4</v>
      </c>
      <c r="D1218" s="16"/>
      <c r="E1218" s="80" t="s">
        <v>1301</v>
      </c>
      <c r="F1218" s="84"/>
      <c r="G1218" s="6"/>
    </row>
    <row r="1219" spans="2:7">
      <c r="B1219" s="18"/>
      <c r="C1219" s="5" t="s">
        <v>2</v>
      </c>
      <c r="E1219" s="39" t="s">
        <v>326</v>
      </c>
      <c r="F1219" s="6"/>
      <c r="G1219" s="6"/>
    </row>
    <row r="1220" spans="2:7" ht="13.5" thickBot="1">
      <c r="B1220" s="18"/>
      <c r="C1220" s="7" t="s">
        <v>3</v>
      </c>
      <c r="D1220" s="20"/>
      <c r="E1220" s="81" t="s">
        <v>326</v>
      </c>
      <c r="F1220" s="9"/>
      <c r="G1220" s="6"/>
    </row>
    <row r="1221" spans="2:7" ht="13.5" thickBot="1">
      <c r="B1221" s="18"/>
      <c r="G1221" s="6"/>
    </row>
    <row r="1222" spans="2:7" ht="13.5" thickBot="1">
      <c r="B1222" s="18"/>
      <c r="C1222" s="23" t="s">
        <v>29</v>
      </c>
      <c r="D1222" s="24"/>
      <c r="E1222" s="87" t="s">
        <v>1333</v>
      </c>
      <c r="F1222" s="25"/>
      <c r="G1222" s="6"/>
    </row>
    <row r="1223" spans="2:7">
      <c r="B1223" s="18"/>
      <c r="G1223" s="6"/>
    </row>
    <row r="1224" spans="2:7">
      <c r="B1224" s="18"/>
      <c r="C1224" t="s">
        <v>5</v>
      </c>
      <c r="G1224" s="6"/>
    </row>
    <row r="1225" spans="2:7">
      <c r="B1225" s="18"/>
      <c r="G1225" s="6"/>
    </row>
    <row r="1226" spans="2:7">
      <c r="B1226" s="5">
        <v>1</v>
      </c>
      <c r="C1226" s="39" t="s">
        <v>327</v>
      </c>
      <c r="G1226" s="6"/>
    </row>
    <row r="1227" spans="2:7">
      <c r="B1227" s="5">
        <v>2</v>
      </c>
      <c r="C1227" s="39" t="s">
        <v>1113</v>
      </c>
      <c r="G1227" s="6"/>
    </row>
    <row r="1228" spans="2:7">
      <c r="B1228" s="5">
        <v>3</v>
      </c>
      <c r="C1228" s="39" t="s">
        <v>1314</v>
      </c>
      <c r="G1228" s="6"/>
    </row>
    <row r="1229" spans="2:7">
      <c r="B1229" s="5">
        <v>4</v>
      </c>
      <c r="C1229" s="39" t="s">
        <v>1320</v>
      </c>
      <c r="G1229" s="6"/>
    </row>
    <row r="1230" spans="2:7">
      <c r="B1230" s="5">
        <v>5</v>
      </c>
      <c r="C1230" s="39" t="s">
        <v>1286</v>
      </c>
      <c r="G1230" s="6"/>
    </row>
    <row r="1231" spans="2:7">
      <c r="B1231" s="5">
        <v>6</v>
      </c>
      <c r="C1231" s="39" t="s">
        <v>1324</v>
      </c>
      <c r="G1231" s="6"/>
    </row>
    <row r="1232" spans="2:7">
      <c r="B1232" s="5">
        <v>7</v>
      </c>
      <c r="C1232" s="39" t="s">
        <v>1315</v>
      </c>
      <c r="G1232" s="6"/>
    </row>
    <row r="1233" spans="2:7">
      <c r="B1233" s="5">
        <v>8</v>
      </c>
      <c r="C1233" s="39" t="s">
        <v>33</v>
      </c>
      <c r="G1233" s="6"/>
    </row>
    <row r="1234" spans="2:7">
      <c r="B1234" s="5">
        <v>9</v>
      </c>
      <c r="C1234" s="39" t="s">
        <v>1235</v>
      </c>
      <c r="G1234" s="6"/>
    </row>
    <row r="1235" spans="2:7">
      <c r="B1235" s="5">
        <v>10</v>
      </c>
      <c r="C1235" s="39" t="s">
        <v>607</v>
      </c>
      <c r="G1235" s="6"/>
    </row>
    <row r="1236" spans="2:7">
      <c r="B1236" s="5">
        <v>11</v>
      </c>
      <c r="C1236" s="39" t="s">
        <v>1340</v>
      </c>
      <c r="G1236" s="6"/>
    </row>
    <row r="1237" spans="2:7">
      <c r="B1237" s="5">
        <v>12</v>
      </c>
      <c r="C1237" s="39" t="s">
        <v>142</v>
      </c>
      <c r="G1237" s="6"/>
    </row>
    <row r="1238" spans="2:7">
      <c r="B1238" s="5">
        <v>13</v>
      </c>
      <c r="C1238" s="39" t="s">
        <v>214</v>
      </c>
      <c r="G1238" s="6"/>
    </row>
    <row r="1239" spans="2:7">
      <c r="B1239" s="5">
        <v>14</v>
      </c>
      <c r="C1239" s="39" t="s">
        <v>144</v>
      </c>
      <c r="G1239" s="6"/>
    </row>
    <row r="1240" spans="2:7">
      <c r="B1240" s="5">
        <v>15</v>
      </c>
      <c r="C1240" s="39" t="s">
        <v>1198</v>
      </c>
      <c r="G1240" s="6"/>
    </row>
    <row r="1241" spans="2:7">
      <c r="B1241" s="18"/>
      <c r="G1241" s="6"/>
    </row>
    <row r="1242" spans="2:7">
      <c r="B1242" s="18"/>
      <c r="C1242" s="39" t="s">
        <v>325</v>
      </c>
      <c r="G1242" s="6"/>
    </row>
    <row r="1243" spans="2:7">
      <c r="B1243" s="18"/>
      <c r="C1243" s="39" t="s">
        <v>1347</v>
      </c>
      <c r="G1243" s="6"/>
    </row>
    <row r="1244" spans="2:7">
      <c r="B1244" s="18"/>
      <c r="C1244" s="39" t="s">
        <v>1338</v>
      </c>
      <c r="G1244" s="6"/>
    </row>
    <row r="1245" spans="2:7">
      <c r="B1245" s="18"/>
      <c r="C1245" s="39" t="s">
        <v>1384</v>
      </c>
      <c r="G1245" s="6"/>
    </row>
    <row r="1246" spans="2:7">
      <c r="B1246" s="18"/>
      <c r="C1246" s="39" t="s">
        <v>1386</v>
      </c>
      <c r="G1246" s="6"/>
    </row>
    <row r="1247" spans="2:7">
      <c r="B1247" s="18"/>
      <c r="C1247" s="39" t="s">
        <v>1336</v>
      </c>
      <c r="G1247" s="6"/>
    </row>
    <row r="1248" spans="2:7">
      <c r="B1248" s="18"/>
      <c r="C1248" s="39" t="s">
        <v>1387</v>
      </c>
      <c r="G1248" s="6"/>
    </row>
    <row r="1249" spans="2:7">
      <c r="B1249" s="18"/>
      <c r="G1249" s="6"/>
    </row>
    <row r="1250" spans="2:7">
      <c r="B1250" s="18"/>
      <c r="C1250" s="2" t="s">
        <v>21</v>
      </c>
      <c r="G1250" s="6"/>
    </row>
    <row r="1251" spans="2:7">
      <c r="B1251" s="82" t="s">
        <v>336</v>
      </c>
      <c r="C1251" s="39" t="s">
        <v>33</v>
      </c>
      <c r="G1251" s="6"/>
    </row>
    <row r="1252" spans="2:7">
      <c r="B1252" s="82" t="s">
        <v>336</v>
      </c>
      <c r="C1252" s="39" t="s">
        <v>236</v>
      </c>
      <c r="G1252" s="6"/>
    </row>
    <row r="1253" spans="2:7">
      <c r="B1253" s="82" t="s">
        <v>336</v>
      </c>
      <c r="C1253" s="39" t="s">
        <v>142</v>
      </c>
      <c r="G1253" s="6"/>
    </row>
    <row r="1254" spans="2:7">
      <c r="B1254" s="82"/>
      <c r="C1254" s="39"/>
      <c r="G1254" s="6"/>
    </row>
    <row r="1255" spans="2:7">
      <c r="B1255" s="18"/>
      <c r="C1255" s="15" t="s">
        <v>337</v>
      </c>
      <c r="G1255" s="6"/>
    </row>
    <row r="1256" spans="2:7">
      <c r="B1256" s="82" t="s">
        <v>336</v>
      </c>
      <c r="C1256" s="39" t="s">
        <v>236</v>
      </c>
      <c r="G1256" s="6"/>
    </row>
    <row r="1257" spans="2:7">
      <c r="B1257" s="18"/>
      <c r="G1257" s="6"/>
    </row>
    <row r="1258" spans="2:7">
      <c r="B1258" s="18"/>
      <c r="C1258" s="1" t="s">
        <v>22</v>
      </c>
      <c r="G1258" s="6"/>
    </row>
    <row r="1259" spans="2:7">
      <c r="B1259" s="82" t="s">
        <v>352</v>
      </c>
      <c r="C1259" s="39" t="s">
        <v>236</v>
      </c>
      <c r="G1259" s="6"/>
    </row>
    <row r="1260" spans="2:7">
      <c r="B1260" s="18"/>
      <c r="G1260" s="6"/>
    </row>
    <row r="1261" spans="2:7">
      <c r="B1261" s="18"/>
      <c r="C1261" s="1" t="s">
        <v>23</v>
      </c>
      <c r="G1261" s="6"/>
    </row>
    <row r="1262" spans="2:7">
      <c r="B1262" s="82"/>
      <c r="C1262" s="66" t="s">
        <v>339</v>
      </c>
      <c r="G1262" s="6"/>
    </row>
    <row r="1263" spans="2:7" ht="13.5" thickBot="1">
      <c r="B1263" s="19"/>
      <c r="C1263" s="20"/>
      <c r="D1263" s="20"/>
      <c r="E1263" s="8"/>
      <c r="F1263" s="20"/>
      <c r="G1263" s="9"/>
    </row>
    <row r="1264" spans="2:7">
      <c r="B1264" s="5"/>
      <c r="C1264" s="39"/>
      <c r="G1264" s="6"/>
    </row>
    <row r="1265" spans="2:7" ht="13.5" thickBot="1">
      <c r="B1265" s="5"/>
      <c r="C1265" s="39"/>
      <c r="G1265" s="6"/>
    </row>
    <row r="1266" spans="2:7" ht="13.5" thickBot="1">
      <c r="B1266" s="236">
        <v>45220</v>
      </c>
      <c r="C1266" s="237"/>
      <c r="D1266" s="237"/>
      <c r="E1266" s="237"/>
      <c r="F1266" s="237"/>
      <c r="G1266" s="238"/>
    </row>
    <row r="1267" spans="2:7" ht="13.5" thickBot="1">
      <c r="B1267" s="18"/>
      <c r="G1267" s="6"/>
    </row>
    <row r="1268" spans="2:7">
      <c r="B1268" s="18"/>
      <c r="C1268" s="21" t="s">
        <v>27</v>
      </c>
      <c r="D1268" s="16"/>
      <c r="E1268" s="80" t="s">
        <v>1</v>
      </c>
      <c r="F1268" s="4">
        <v>33</v>
      </c>
      <c r="G1268" s="6"/>
    </row>
    <row r="1269" spans="2:7" ht="13.5" thickBot="1">
      <c r="B1269" s="18"/>
      <c r="C1269" s="7"/>
      <c r="D1269" s="20"/>
      <c r="E1269" s="83" t="s">
        <v>49</v>
      </c>
      <c r="F1269" s="22">
        <v>26</v>
      </c>
      <c r="G1269" s="6"/>
    </row>
    <row r="1270" spans="2:7" ht="13.5" thickBot="1">
      <c r="B1270" s="18"/>
      <c r="G1270" s="6"/>
    </row>
    <row r="1271" spans="2:7">
      <c r="B1271" s="18"/>
      <c r="C1271" s="3" t="s">
        <v>4</v>
      </c>
      <c r="D1271" s="16"/>
      <c r="E1271" s="80" t="s">
        <v>1</v>
      </c>
      <c r="F1271" s="84" t="s">
        <v>205</v>
      </c>
      <c r="G1271" s="6"/>
    </row>
    <row r="1272" spans="2:7">
      <c r="B1272" s="18"/>
      <c r="C1272" s="5" t="s">
        <v>2</v>
      </c>
      <c r="E1272" s="39" t="s">
        <v>326</v>
      </c>
      <c r="F1272" s="6"/>
      <c r="G1272" s="6"/>
    </row>
    <row r="1273" spans="2:7" ht="13.5" thickBot="1">
      <c r="B1273" s="18"/>
      <c r="C1273" s="7" t="s">
        <v>3</v>
      </c>
      <c r="D1273" s="20"/>
      <c r="E1273" s="81" t="s">
        <v>326</v>
      </c>
      <c r="F1273" s="9"/>
      <c r="G1273" s="6"/>
    </row>
    <row r="1274" spans="2:7" ht="13.5" thickBot="1">
      <c r="B1274" s="18"/>
      <c r="G1274" s="6"/>
    </row>
    <row r="1275" spans="2:7" ht="13.5" thickBot="1">
      <c r="B1275" s="18"/>
      <c r="C1275" s="23" t="s">
        <v>29</v>
      </c>
      <c r="D1275" s="24"/>
      <c r="E1275" s="87" t="s">
        <v>1388</v>
      </c>
      <c r="F1275" s="25"/>
      <c r="G1275" s="6"/>
    </row>
    <row r="1276" spans="2:7">
      <c r="B1276" s="18"/>
      <c r="G1276" s="6"/>
    </row>
    <row r="1277" spans="2:7">
      <c r="B1277" s="18"/>
      <c r="C1277" t="s">
        <v>5</v>
      </c>
      <c r="G1277" s="6"/>
    </row>
    <row r="1278" spans="2:7">
      <c r="B1278" s="18"/>
      <c r="G1278" s="6"/>
    </row>
    <row r="1279" spans="2:7">
      <c r="B1279" s="5">
        <v>1</v>
      </c>
      <c r="C1279" s="39" t="s">
        <v>1172</v>
      </c>
      <c r="G1279" s="6"/>
    </row>
    <row r="1280" spans="2:7">
      <c r="B1280" s="5">
        <v>2</v>
      </c>
      <c r="C1280" s="39" t="s">
        <v>1113</v>
      </c>
      <c r="G1280" s="6"/>
    </row>
    <row r="1281" spans="2:7">
      <c r="B1281" s="5">
        <v>3</v>
      </c>
      <c r="C1281" s="39" t="s">
        <v>1314</v>
      </c>
      <c r="G1281" s="6"/>
    </row>
    <row r="1282" spans="2:7">
      <c r="B1282" s="5">
        <v>4</v>
      </c>
      <c r="C1282" s="39" t="s">
        <v>207</v>
      </c>
      <c r="G1282" s="6"/>
    </row>
    <row r="1283" spans="2:7">
      <c r="B1283" s="5">
        <v>5</v>
      </c>
      <c r="C1283" s="39" t="s">
        <v>1286</v>
      </c>
      <c r="G1283" s="6"/>
    </row>
    <row r="1284" spans="2:7">
      <c r="B1284" s="5">
        <v>6</v>
      </c>
      <c r="C1284" s="39" t="s">
        <v>33</v>
      </c>
      <c r="G1284" s="6"/>
    </row>
    <row r="1285" spans="2:7">
      <c r="B1285" s="5">
        <v>7</v>
      </c>
      <c r="C1285" s="39" t="s">
        <v>1320</v>
      </c>
      <c r="G1285" s="6"/>
    </row>
    <row r="1286" spans="2:7">
      <c r="B1286" s="5">
        <v>8</v>
      </c>
      <c r="C1286" s="39" t="s">
        <v>1329</v>
      </c>
      <c r="G1286" s="6"/>
    </row>
    <row r="1287" spans="2:7">
      <c r="B1287" s="5">
        <v>9</v>
      </c>
      <c r="C1287" s="39" t="s">
        <v>1235</v>
      </c>
      <c r="G1287" s="6"/>
    </row>
    <row r="1288" spans="2:7">
      <c r="B1288" s="5">
        <v>10</v>
      </c>
      <c r="C1288" s="39" t="s">
        <v>607</v>
      </c>
      <c r="G1288" s="6"/>
    </row>
    <row r="1289" spans="2:7">
      <c r="B1289" s="5">
        <v>11</v>
      </c>
      <c r="C1289" s="39" t="s">
        <v>1340</v>
      </c>
      <c r="G1289" s="6"/>
    </row>
    <row r="1290" spans="2:7">
      <c r="B1290" s="5">
        <v>12</v>
      </c>
      <c r="C1290" s="39" t="s">
        <v>1344</v>
      </c>
      <c r="G1290" s="6"/>
    </row>
    <row r="1291" spans="2:7">
      <c r="B1291" s="5">
        <v>13</v>
      </c>
      <c r="C1291" s="39" t="s">
        <v>214</v>
      </c>
      <c r="G1291" s="6"/>
    </row>
    <row r="1292" spans="2:7">
      <c r="B1292" s="5">
        <v>14</v>
      </c>
      <c r="C1292" s="39" t="s">
        <v>144</v>
      </c>
      <c r="G1292" s="6"/>
    </row>
    <row r="1293" spans="2:7">
      <c r="B1293" s="5">
        <v>15</v>
      </c>
      <c r="C1293" s="39" t="s">
        <v>1198</v>
      </c>
      <c r="G1293" s="6"/>
    </row>
    <row r="1294" spans="2:7">
      <c r="B1294" s="18"/>
      <c r="G1294" s="6"/>
    </row>
    <row r="1295" spans="2:7">
      <c r="B1295" s="18"/>
      <c r="C1295" s="39" t="s">
        <v>325</v>
      </c>
      <c r="G1295" s="6"/>
    </row>
    <row r="1296" spans="2:7">
      <c r="B1296" s="18"/>
      <c r="C1296" s="39" t="s">
        <v>1332</v>
      </c>
      <c r="G1296" s="6"/>
    </row>
    <row r="1297" spans="2:7">
      <c r="B1297" s="18"/>
      <c r="C1297" s="39" t="s">
        <v>1389</v>
      </c>
      <c r="G1297" s="6"/>
    </row>
    <row r="1298" spans="2:7">
      <c r="B1298" s="18"/>
      <c r="C1298" s="39" t="s">
        <v>1390</v>
      </c>
      <c r="G1298" s="6"/>
    </row>
    <row r="1299" spans="2:7">
      <c r="B1299" s="18"/>
      <c r="C1299" s="39" t="s">
        <v>1370</v>
      </c>
      <c r="G1299" s="6"/>
    </row>
    <row r="1300" spans="2:7">
      <c r="B1300" s="18"/>
      <c r="C1300" s="39" t="s">
        <v>1336</v>
      </c>
      <c r="G1300" s="6"/>
    </row>
    <row r="1301" spans="2:7">
      <c r="B1301" s="18"/>
      <c r="C1301" s="39" t="s">
        <v>1241</v>
      </c>
      <c r="G1301" s="6"/>
    </row>
    <row r="1302" spans="2:7">
      <c r="B1302" s="18"/>
      <c r="G1302" s="6"/>
    </row>
    <row r="1303" spans="2:7">
      <c r="B1303" s="18"/>
      <c r="C1303" s="2" t="s">
        <v>21</v>
      </c>
      <c r="G1303" s="6"/>
    </row>
    <row r="1304" spans="2:7">
      <c r="B1304" s="82" t="s">
        <v>336</v>
      </c>
      <c r="C1304" s="39" t="s">
        <v>1235</v>
      </c>
      <c r="G1304" s="6"/>
    </row>
    <row r="1305" spans="2:7">
      <c r="B1305" s="82" t="s">
        <v>336</v>
      </c>
      <c r="C1305" s="39" t="s">
        <v>144</v>
      </c>
      <c r="G1305" s="6"/>
    </row>
    <row r="1306" spans="2:7">
      <c r="B1306" s="82" t="s">
        <v>336</v>
      </c>
      <c r="C1306" s="39" t="s">
        <v>236</v>
      </c>
      <c r="G1306" s="6"/>
    </row>
    <row r="1307" spans="2:7">
      <c r="B1307" s="82" t="s">
        <v>336</v>
      </c>
      <c r="C1307" s="39" t="s">
        <v>33</v>
      </c>
      <c r="G1307" s="6"/>
    </row>
    <row r="1308" spans="2:7">
      <c r="B1308" s="82" t="s">
        <v>336</v>
      </c>
      <c r="C1308" s="39" t="s">
        <v>1113</v>
      </c>
      <c r="G1308" s="6"/>
    </row>
    <row r="1309" spans="2:7">
      <c r="B1309" s="82"/>
      <c r="C1309" s="39"/>
      <c r="G1309" s="6"/>
    </row>
    <row r="1310" spans="2:7">
      <c r="B1310" s="82"/>
      <c r="C1310" s="39"/>
      <c r="G1310" s="6"/>
    </row>
    <row r="1311" spans="2:7">
      <c r="B1311" s="18"/>
      <c r="C1311" s="15" t="s">
        <v>337</v>
      </c>
      <c r="G1311" s="6"/>
    </row>
    <row r="1312" spans="2:7">
      <c r="B1312" s="82" t="s">
        <v>338</v>
      </c>
      <c r="C1312" s="39" t="s">
        <v>236</v>
      </c>
      <c r="G1312" s="6"/>
    </row>
    <row r="1313" spans="2:7">
      <c r="B1313" s="18"/>
      <c r="G1313" s="6"/>
    </row>
    <row r="1314" spans="2:7">
      <c r="B1314" s="18"/>
      <c r="C1314" s="1" t="s">
        <v>22</v>
      </c>
      <c r="G1314" s="6"/>
    </row>
    <row r="1315" spans="2:7">
      <c r="B1315" s="82"/>
      <c r="C1315" s="39" t="s">
        <v>339</v>
      </c>
      <c r="G1315" s="6"/>
    </row>
    <row r="1316" spans="2:7">
      <c r="B1316" s="18"/>
      <c r="G1316" s="6"/>
    </row>
    <row r="1317" spans="2:7">
      <c r="B1317" s="18"/>
      <c r="C1317" s="1" t="s">
        <v>23</v>
      </c>
      <c r="G1317" s="6"/>
    </row>
    <row r="1318" spans="2:7">
      <c r="B1318" s="18" t="s">
        <v>336</v>
      </c>
      <c r="C1318" s="154" t="s">
        <v>214</v>
      </c>
      <c r="G1318" s="6"/>
    </row>
    <row r="1319" spans="2:7">
      <c r="B1319" s="82" t="s">
        <v>336</v>
      </c>
      <c r="C1319" s="66" t="s">
        <v>1339</v>
      </c>
      <c r="G1319" s="6"/>
    </row>
    <row r="1320" spans="2:7" ht="13.5" thickBot="1">
      <c r="B1320" s="19"/>
      <c r="C1320" s="20"/>
      <c r="D1320" s="20"/>
      <c r="E1320" s="8"/>
      <c r="F1320" s="20"/>
      <c r="G1320" s="9"/>
    </row>
    <row r="1321" spans="2:7">
      <c r="B1321" s="5"/>
      <c r="C1321" s="39"/>
      <c r="G1321" s="6"/>
    </row>
    <row r="1322" spans="2:7" ht="13.5" thickBot="1">
      <c r="B1322" s="5"/>
      <c r="C1322" s="39"/>
      <c r="G1322" s="6"/>
    </row>
    <row r="1323" spans="2:7" ht="13.5" thickBot="1">
      <c r="B1323" s="236">
        <v>45227</v>
      </c>
      <c r="C1323" s="237"/>
      <c r="D1323" s="237"/>
      <c r="E1323" s="237"/>
      <c r="F1323" s="237"/>
      <c r="G1323" s="238"/>
    </row>
    <row r="1324" spans="2:7" ht="13.5" thickBot="1">
      <c r="B1324" s="18"/>
      <c r="G1324" s="6"/>
    </row>
    <row r="1325" spans="2:7">
      <c r="B1325" s="18"/>
      <c r="C1325" s="21" t="s">
        <v>27</v>
      </c>
      <c r="D1325" s="16"/>
      <c r="E1325" s="80" t="s">
        <v>92</v>
      </c>
      <c r="F1325" s="4">
        <v>33</v>
      </c>
      <c r="G1325" s="6"/>
    </row>
    <row r="1326" spans="2:7" ht="13.5" thickBot="1">
      <c r="B1326" s="18"/>
      <c r="C1326" s="7"/>
      <c r="D1326" s="20"/>
      <c r="E1326" s="83" t="s">
        <v>1</v>
      </c>
      <c r="F1326" s="22">
        <v>36</v>
      </c>
      <c r="G1326" s="6"/>
    </row>
    <row r="1327" spans="2:7" ht="13.5" thickBot="1">
      <c r="B1327" s="18"/>
      <c r="G1327" s="6"/>
    </row>
    <row r="1328" spans="2:7">
      <c r="B1328" s="18"/>
      <c r="C1328" s="3" t="s">
        <v>4</v>
      </c>
      <c r="D1328" s="16"/>
      <c r="E1328" s="80" t="s">
        <v>92</v>
      </c>
      <c r="F1328" s="84"/>
      <c r="G1328" s="6"/>
    </row>
    <row r="1329" spans="2:7">
      <c r="B1329" s="18"/>
      <c r="C1329" s="5" t="s">
        <v>2</v>
      </c>
      <c r="E1329" s="39" t="s">
        <v>326</v>
      </c>
      <c r="F1329" s="6"/>
      <c r="G1329" s="6"/>
    </row>
    <row r="1330" spans="2:7" ht="13.5" thickBot="1">
      <c r="B1330" s="18"/>
      <c r="C1330" s="7" t="s">
        <v>3</v>
      </c>
      <c r="D1330" s="20"/>
      <c r="E1330" s="81" t="s">
        <v>326</v>
      </c>
      <c r="F1330" s="9"/>
      <c r="G1330" s="6"/>
    </row>
    <row r="1331" spans="2:7" ht="13.5" thickBot="1">
      <c r="B1331" s="18"/>
      <c r="G1331" s="6"/>
    </row>
    <row r="1332" spans="2:7" ht="13.5" thickBot="1">
      <c r="B1332" s="18"/>
      <c r="C1332" s="23" t="s">
        <v>29</v>
      </c>
      <c r="D1332" s="24"/>
      <c r="E1332" s="87" t="s">
        <v>1392</v>
      </c>
      <c r="F1332" s="25"/>
      <c r="G1332" s="6"/>
    </row>
    <row r="1333" spans="2:7">
      <c r="B1333" s="18"/>
      <c r="G1333" s="6"/>
    </row>
    <row r="1334" spans="2:7">
      <c r="B1334" s="18"/>
      <c r="C1334" t="s">
        <v>5</v>
      </c>
      <c r="G1334" s="6"/>
    </row>
    <row r="1335" spans="2:7">
      <c r="B1335" s="18"/>
      <c r="G1335" s="6"/>
    </row>
    <row r="1336" spans="2:7">
      <c r="B1336" s="5">
        <v>1</v>
      </c>
      <c r="C1336" s="39" t="s">
        <v>1172</v>
      </c>
      <c r="G1336" s="6"/>
    </row>
    <row r="1337" spans="2:7">
      <c r="B1337" s="5">
        <v>2</v>
      </c>
      <c r="C1337" s="39" t="s">
        <v>1113</v>
      </c>
      <c r="G1337" s="6"/>
    </row>
    <row r="1338" spans="2:7">
      <c r="B1338" s="5">
        <v>3</v>
      </c>
      <c r="C1338" s="39" t="s">
        <v>1314</v>
      </c>
      <c r="G1338" s="6"/>
    </row>
    <row r="1339" spans="2:7">
      <c r="B1339" s="5">
        <v>4</v>
      </c>
      <c r="C1339" s="39" t="s">
        <v>207</v>
      </c>
      <c r="G1339" s="6"/>
    </row>
    <row r="1340" spans="2:7">
      <c r="B1340" s="5">
        <v>5</v>
      </c>
      <c r="C1340" s="39" t="s">
        <v>1286</v>
      </c>
      <c r="G1340" s="6"/>
    </row>
    <row r="1341" spans="2:7">
      <c r="B1341" s="5">
        <v>6</v>
      </c>
      <c r="C1341" s="39" t="s">
        <v>1324</v>
      </c>
      <c r="G1341" s="6"/>
    </row>
    <row r="1342" spans="2:7">
      <c r="B1342" s="5">
        <v>7</v>
      </c>
      <c r="C1342" s="39" t="s">
        <v>1320</v>
      </c>
      <c r="G1342" s="6"/>
    </row>
    <row r="1343" spans="2:7">
      <c r="B1343" s="5">
        <v>8</v>
      </c>
      <c r="C1343" s="39" t="s">
        <v>1096</v>
      </c>
      <c r="G1343" s="6"/>
    </row>
    <row r="1344" spans="2:7">
      <c r="B1344" s="5">
        <v>9</v>
      </c>
      <c r="C1344" s="39" t="s">
        <v>1235</v>
      </c>
      <c r="G1344" s="6"/>
    </row>
    <row r="1345" spans="2:7">
      <c r="B1345" s="5">
        <v>10</v>
      </c>
      <c r="C1345" s="39" t="s">
        <v>607</v>
      </c>
      <c r="G1345" s="6"/>
    </row>
    <row r="1346" spans="2:7">
      <c r="B1346" s="5">
        <v>11</v>
      </c>
      <c r="C1346" s="39" t="s">
        <v>1340</v>
      </c>
      <c r="G1346" s="6"/>
    </row>
    <row r="1347" spans="2:7">
      <c r="B1347" s="5">
        <v>12</v>
      </c>
      <c r="C1347" s="39" t="s">
        <v>1112</v>
      </c>
      <c r="G1347" s="6"/>
    </row>
    <row r="1348" spans="2:7">
      <c r="B1348" s="5">
        <v>13</v>
      </c>
      <c r="C1348" s="39" t="s">
        <v>214</v>
      </c>
      <c r="G1348" s="6"/>
    </row>
    <row r="1349" spans="2:7">
      <c r="B1349" s="5">
        <v>14</v>
      </c>
      <c r="C1349" s="39" t="s">
        <v>144</v>
      </c>
      <c r="G1349" s="6"/>
    </row>
    <row r="1350" spans="2:7">
      <c r="B1350" s="5">
        <v>15</v>
      </c>
      <c r="C1350" s="39" t="s">
        <v>1198</v>
      </c>
      <c r="G1350" s="6"/>
    </row>
    <row r="1351" spans="2:7">
      <c r="B1351" s="18"/>
      <c r="G1351" s="6"/>
    </row>
    <row r="1352" spans="2:7">
      <c r="B1352" s="18"/>
      <c r="C1352" s="39" t="s">
        <v>325</v>
      </c>
      <c r="G1352" s="6"/>
    </row>
    <row r="1353" spans="2:7">
      <c r="B1353" s="18"/>
      <c r="C1353" s="39" t="s">
        <v>1332</v>
      </c>
      <c r="G1353" s="6"/>
    </row>
    <row r="1354" spans="2:7">
      <c r="B1354" s="18"/>
      <c r="C1354" s="39" t="s">
        <v>1338</v>
      </c>
      <c r="G1354" s="6"/>
    </row>
    <row r="1355" spans="2:7">
      <c r="B1355" s="18"/>
      <c r="C1355" s="39" t="s">
        <v>1289</v>
      </c>
      <c r="G1355" s="6"/>
    </row>
    <row r="1356" spans="2:7">
      <c r="B1356" s="18"/>
      <c r="C1356" s="39" t="s">
        <v>1393</v>
      </c>
      <c r="G1356" s="6"/>
    </row>
    <row r="1357" spans="2:7">
      <c r="B1357" s="18"/>
      <c r="C1357" s="39" t="s">
        <v>1336</v>
      </c>
      <c r="G1357" s="6"/>
    </row>
    <row r="1358" spans="2:7">
      <c r="B1358" s="18"/>
      <c r="C1358" s="39" t="s">
        <v>1394</v>
      </c>
      <c r="G1358" s="6"/>
    </row>
    <row r="1359" spans="2:7">
      <c r="B1359" s="18"/>
      <c r="C1359" s="39" t="s">
        <v>1197</v>
      </c>
      <c r="G1359" s="6"/>
    </row>
    <row r="1360" spans="2:7">
      <c r="B1360" s="18"/>
      <c r="C1360" s="39" t="s">
        <v>1395</v>
      </c>
      <c r="G1360" s="6"/>
    </row>
    <row r="1361" spans="2:7">
      <c r="B1361" s="18"/>
      <c r="G1361" s="6"/>
    </row>
    <row r="1362" spans="2:7">
      <c r="B1362" s="18"/>
      <c r="C1362" s="2" t="s">
        <v>21</v>
      </c>
      <c r="G1362" s="6"/>
    </row>
    <row r="1363" spans="2:7">
      <c r="B1363" s="82" t="s">
        <v>336</v>
      </c>
      <c r="C1363" s="39" t="s">
        <v>1113</v>
      </c>
      <c r="G1363" s="6"/>
    </row>
    <row r="1364" spans="2:7">
      <c r="B1364" s="82" t="s">
        <v>336</v>
      </c>
      <c r="C1364" s="39" t="s">
        <v>207</v>
      </c>
      <c r="G1364" s="6"/>
    </row>
    <row r="1365" spans="2:7">
      <c r="B1365" s="82" t="s">
        <v>352</v>
      </c>
      <c r="C1365" s="39" t="s">
        <v>1096</v>
      </c>
      <c r="G1365" s="6"/>
    </row>
    <row r="1366" spans="2:7">
      <c r="B1366" s="82" t="s">
        <v>336</v>
      </c>
      <c r="C1366" s="39" t="s">
        <v>56</v>
      </c>
      <c r="G1366" s="6"/>
    </row>
    <row r="1367" spans="2:7">
      <c r="B1367" s="82"/>
      <c r="C1367" s="39"/>
      <c r="G1367" s="6"/>
    </row>
    <row r="1368" spans="2:7">
      <c r="B1368" s="18"/>
      <c r="C1368" s="15" t="s">
        <v>337</v>
      </c>
      <c r="G1368" s="6"/>
    </row>
    <row r="1369" spans="2:7">
      <c r="B1369" s="82" t="s">
        <v>335</v>
      </c>
      <c r="C1369" s="39" t="s">
        <v>236</v>
      </c>
      <c r="G1369" s="6"/>
    </row>
    <row r="1370" spans="2:7">
      <c r="B1370" s="18"/>
      <c r="G1370" s="6"/>
    </row>
    <row r="1371" spans="2:7">
      <c r="B1371" s="18"/>
      <c r="C1371" s="1" t="s">
        <v>22</v>
      </c>
      <c r="G1371" s="6"/>
    </row>
    <row r="1372" spans="2:7">
      <c r="B1372" s="82" t="s">
        <v>336</v>
      </c>
      <c r="C1372" s="39" t="s">
        <v>236</v>
      </c>
      <c r="G1372" s="6"/>
    </row>
    <row r="1373" spans="2:7">
      <c r="B1373" s="18"/>
      <c r="G1373" s="6"/>
    </row>
    <row r="1374" spans="2:7">
      <c r="B1374" s="18"/>
      <c r="C1374" s="1" t="s">
        <v>23</v>
      </c>
      <c r="G1374" s="6"/>
    </row>
    <row r="1375" spans="2:7">
      <c r="B1375" s="82" t="s">
        <v>336</v>
      </c>
      <c r="C1375" s="66" t="s">
        <v>1339</v>
      </c>
      <c r="G1375" s="6"/>
    </row>
    <row r="1376" spans="2:7" ht="13.5" thickBot="1">
      <c r="B1376" s="19"/>
      <c r="C1376" s="20"/>
      <c r="D1376" s="20"/>
      <c r="E1376" s="8"/>
      <c r="F1376" s="20"/>
      <c r="G1376" s="9"/>
    </row>
    <row r="1378" spans="2:7" ht="13.5" thickBot="1"/>
    <row r="1379" spans="2:7" ht="13.5" thickBot="1">
      <c r="B1379" s="236" t="s">
        <v>1397</v>
      </c>
      <c r="C1379" s="237"/>
      <c r="D1379" s="237"/>
      <c r="E1379" s="237"/>
      <c r="F1379" s="237"/>
      <c r="G1379" s="238"/>
    </row>
    <row r="1380" spans="2:7" ht="13.5" thickBot="1">
      <c r="B1380" s="18"/>
      <c r="G1380" s="6"/>
    </row>
    <row r="1381" spans="2:7">
      <c r="B1381" s="18"/>
      <c r="C1381" s="21" t="s">
        <v>27</v>
      </c>
      <c r="D1381" s="16"/>
      <c r="E1381" s="80" t="s">
        <v>118</v>
      </c>
      <c r="F1381" s="4">
        <v>25</v>
      </c>
      <c r="G1381" s="6"/>
    </row>
    <row r="1382" spans="2:7" ht="13.5" thickBot="1">
      <c r="B1382" s="18"/>
      <c r="C1382" s="7"/>
      <c r="D1382" s="20"/>
      <c r="E1382" s="83" t="s">
        <v>1</v>
      </c>
      <c r="F1382" s="22">
        <v>23</v>
      </c>
      <c r="G1382" s="6"/>
    </row>
    <row r="1383" spans="2:7" ht="13.5" thickBot="1">
      <c r="B1383" s="18"/>
      <c r="G1383" s="6"/>
    </row>
    <row r="1384" spans="2:7">
      <c r="B1384" s="18"/>
      <c r="C1384" s="3" t="s">
        <v>4</v>
      </c>
      <c r="D1384" s="16"/>
      <c r="E1384" s="80" t="s">
        <v>118</v>
      </c>
      <c r="F1384" s="84"/>
      <c r="G1384" s="6"/>
    </row>
    <row r="1385" spans="2:7">
      <c r="B1385" s="18"/>
      <c r="C1385" s="5" t="s">
        <v>2</v>
      </c>
      <c r="E1385" s="39" t="s">
        <v>326</v>
      </c>
      <c r="F1385" s="6"/>
      <c r="G1385" s="6"/>
    </row>
    <row r="1386" spans="2:7" ht="13.5" thickBot="1">
      <c r="B1386" s="18"/>
      <c r="C1386" s="7" t="s">
        <v>3</v>
      </c>
      <c r="D1386" s="20"/>
      <c r="E1386" s="81" t="s">
        <v>326</v>
      </c>
      <c r="F1386" s="9"/>
      <c r="G1386" s="6"/>
    </row>
    <row r="1387" spans="2:7" ht="13.5" thickBot="1">
      <c r="B1387" s="18"/>
      <c r="G1387" s="6"/>
    </row>
    <row r="1388" spans="2:7" ht="13.5" thickBot="1">
      <c r="B1388" s="18"/>
      <c r="C1388" s="23" t="s">
        <v>29</v>
      </c>
      <c r="D1388" s="24"/>
      <c r="E1388" s="87" t="s">
        <v>263</v>
      </c>
      <c r="F1388" s="25"/>
      <c r="G1388" s="6"/>
    </row>
    <row r="1389" spans="2:7">
      <c r="B1389" s="18"/>
      <c r="G1389" s="6"/>
    </row>
    <row r="1390" spans="2:7">
      <c r="B1390" s="18"/>
      <c r="C1390" t="s">
        <v>5</v>
      </c>
      <c r="G1390" s="6"/>
    </row>
    <row r="1391" spans="2:7">
      <c r="B1391" s="18"/>
      <c r="G1391" s="6"/>
    </row>
    <row r="1392" spans="2:7">
      <c r="B1392" s="5">
        <v>1</v>
      </c>
      <c r="C1392" s="39" t="s">
        <v>327</v>
      </c>
      <c r="G1392" s="6"/>
    </row>
    <row r="1393" spans="2:7">
      <c r="B1393" s="5">
        <v>2</v>
      </c>
      <c r="C1393" s="39" t="s">
        <v>1113</v>
      </c>
      <c r="G1393" s="6"/>
    </row>
    <row r="1394" spans="2:7">
      <c r="B1394" s="5">
        <v>3</v>
      </c>
      <c r="C1394" s="39" t="s">
        <v>1314</v>
      </c>
      <c r="G1394" s="6"/>
    </row>
    <row r="1395" spans="2:7">
      <c r="B1395" s="5">
        <v>4</v>
      </c>
      <c r="C1395" s="39" t="s">
        <v>207</v>
      </c>
      <c r="G1395" s="6"/>
    </row>
    <row r="1396" spans="2:7">
      <c r="B1396" s="5">
        <v>5</v>
      </c>
      <c r="C1396" s="39" t="s">
        <v>1286</v>
      </c>
      <c r="G1396" s="6"/>
    </row>
    <row r="1397" spans="2:7">
      <c r="B1397" s="5">
        <v>6</v>
      </c>
      <c r="C1397" s="39" t="s">
        <v>33</v>
      </c>
      <c r="G1397" s="6"/>
    </row>
    <row r="1398" spans="2:7">
      <c r="B1398" s="5">
        <v>7</v>
      </c>
      <c r="C1398" s="39" t="s">
        <v>1320</v>
      </c>
      <c r="G1398" s="6"/>
    </row>
    <row r="1399" spans="2:7">
      <c r="B1399" s="5">
        <v>8</v>
      </c>
      <c r="C1399" s="39" t="s">
        <v>1096</v>
      </c>
      <c r="G1399" s="6"/>
    </row>
    <row r="1400" spans="2:7">
      <c r="B1400" s="5">
        <v>9</v>
      </c>
      <c r="C1400" s="39" t="s">
        <v>1235</v>
      </c>
      <c r="G1400" s="6"/>
    </row>
    <row r="1401" spans="2:7">
      <c r="B1401" s="5">
        <v>10</v>
      </c>
      <c r="C1401" s="39" t="s">
        <v>607</v>
      </c>
      <c r="G1401" s="6"/>
    </row>
    <row r="1402" spans="2:7">
      <c r="B1402" s="5">
        <v>11</v>
      </c>
      <c r="C1402" s="39" t="s">
        <v>1340</v>
      </c>
      <c r="G1402" s="6"/>
    </row>
    <row r="1403" spans="2:7">
      <c r="B1403" s="5">
        <v>12</v>
      </c>
      <c r="C1403" s="39" t="s">
        <v>1112</v>
      </c>
      <c r="G1403" s="6"/>
    </row>
    <row r="1404" spans="2:7">
      <c r="B1404" s="5">
        <v>13</v>
      </c>
      <c r="C1404" s="39" t="s">
        <v>214</v>
      </c>
      <c r="G1404" s="6"/>
    </row>
    <row r="1405" spans="2:7">
      <c r="B1405" s="5">
        <v>14</v>
      </c>
      <c r="C1405" s="39" t="s">
        <v>144</v>
      </c>
      <c r="G1405" s="6"/>
    </row>
    <row r="1406" spans="2:7">
      <c r="B1406" s="5">
        <v>15</v>
      </c>
      <c r="C1406" s="39" t="s">
        <v>1198</v>
      </c>
      <c r="G1406" s="6"/>
    </row>
    <row r="1407" spans="2:7">
      <c r="B1407" s="18"/>
      <c r="G1407" s="6"/>
    </row>
    <row r="1408" spans="2:7">
      <c r="B1408" s="18"/>
      <c r="C1408" s="39" t="s">
        <v>325</v>
      </c>
      <c r="G1408" s="6"/>
    </row>
    <row r="1409" spans="2:7">
      <c r="B1409" s="18"/>
      <c r="C1409" s="39" t="s">
        <v>1332</v>
      </c>
      <c r="G1409" s="6"/>
    </row>
    <row r="1410" spans="2:7">
      <c r="B1410" s="18"/>
      <c r="C1410" s="39" t="s">
        <v>1338</v>
      </c>
      <c r="G1410" s="6"/>
    </row>
    <row r="1411" spans="2:7">
      <c r="B1411" s="18"/>
      <c r="C1411" s="39" t="s">
        <v>1398</v>
      </c>
      <c r="G1411" s="6"/>
    </row>
    <row r="1412" spans="2:7">
      <c r="B1412" s="18"/>
      <c r="C1412" s="39" t="s">
        <v>1372</v>
      </c>
      <c r="G1412" s="6"/>
    </row>
    <row r="1413" spans="2:7">
      <c r="B1413" s="18"/>
      <c r="C1413" s="39" t="s">
        <v>1399</v>
      </c>
      <c r="G1413" s="6"/>
    </row>
    <row r="1414" spans="2:7">
      <c r="B1414" s="18"/>
      <c r="C1414" s="39" t="s">
        <v>1349</v>
      </c>
      <c r="G1414" s="6"/>
    </row>
    <row r="1415" spans="2:7">
      <c r="B1415" s="18"/>
      <c r="G1415" s="6"/>
    </row>
    <row r="1416" spans="2:7">
      <c r="B1416" s="18"/>
      <c r="C1416" s="2" t="s">
        <v>21</v>
      </c>
      <c r="G1416" s="6"/>
    </row>
    <row r="1417" spans="2:7">
      <c r="B1417" s="82" t="s">
        <v>336</v>
      </c>
      <c r="C1417" s="39" t="s">
        <v>1320</v>
      </c>
      <c r="G1417" s="6"/>
    </row>
    <row r="1418" spans="2:7">
      <c r="B1418" s="82" t="s">
        <v>336</v>
      </c>
      <c r="C1418" s="39" t="s">
        <v>207</v>
      </c>
      <c r="G1418" s="6"/>
    </row>
    <row r="1419" spans="2:7">
      <c r="B1419" s="82"/>
      <c r="C1419" s="39"/>
      <c r="G1419" s="6"/>
    </row>
    <row r="1420" spans="2:7">
      <c r="B1420" s="18"/>
      <c r="C1420" s="15" t="s">
        <v>337</v>
      </c>
      <c r="G1420" s="6"/>
    </row>
    <row r="1421" spans="2:7">
      <c r="B1421" s="82" t="s">
        <v>352</v>
      </c>
      <c r="C1421" s="39" t="s">
        <v>236</v>
      </c>
      <c r="G1421" s="6"/>
    </row>
    <row r="1422" spans="2:7">
      <c r="B1422" s="18"/>
      <c r="G1422" s="6"/>
    </row>
    <row r="1423" spans="2:7">
      <c r="B1423" s="18"/>
      <c r="C1423" s="1" t="s">
        <v>22</v>
      </c>
      <c r="G1423" s="6"/>
    </row>
    <row r="1424" spans="2:7">
      <c r="B1424" s="82" t="s">
        <v>335</v>
      </c>
      <c r="C1424" s="39" t="s">
        <v>236</v>
      </c>
      <c r="G1424" s="6"/>
    </row>
    <row r="1425" spans="2:7">
      <c r="B1425" s="18"/>
      <c r="G1425" s="6"/>
    </row>
    <row r="1426" spans="2:7">
      <c r="B1426" s="18"/>
      <c r="C1426" s="1" t="s">
        <v>23</v>
      </c>
      <c r="G1426" s="6"/>
    </row>
    <row r="1427" spans="2:7">
      <c r="B1427" s="82" t="s">
        <v>336</v>
      </c>
      <c r="C1427" s="66" t="s">
        <v>327</v>
      </c>
      <c r="G1427" s="6"/>
    </row>
    <row r="1428" spans="2:7" ht="13.5" thickBot="1">
      <c r="B1428" s="19"/>
      <c r="C1428" s="20"/>
      <c r="D1428" s="20"/>
      <c r="E1428" s="8"/>
      <c r="F1428" s="20"/>
      <c r="G1428" s="9"/>
    </row>
  </sheetData>
  <mergeCells count="27">
    <mergeCell ref="B1379:G1379"/>
    <mergeCell ref="B838:G838"/>
    <mergeCell ref="B890:G890"/>
    <mergeCell ref="B1057:G1057"/>
    <mergeCell ref="B945:G945"/>
    <mergeCell ref="B1004:G1004"/>
    <mergeCell ref="B1323:G1323"/>
    <mergeCell ref="B1109:G1109"/>
    <mergeCell ref="B1162:G1162"/>
    <mergeCell ref="B1213:G1213"/>
    <mergeCell ref="B1266:G1266"/>
    <mergeCell ref="B528:G528"/>
    <mergeCell ref="B578:G578"/>
    <mergeCell ref="B629:G629"/>
    <mergeCell ref="B732:G732"/>
    <mergeCell ref="B785:G785"/>
    <mergeCell ref="B682:G682"/>
    <mergeCell ref="B422:G422"/>
    <mergeCell ref="B476:G476"/>
    <mergeCell ref="B261:G261"/>
    <mergeCell ref="B369:G369"/>
    <mergeCell ref="B2:G2"/>
    <mergeCell ref="B52:G52"/>
    <mergeCell ref="B105:G105"/>
    <mergeCell ref="B157:G157"/>
    <mergeCell ref="B210:G210"/>
    <mergeCell ref="B318:G318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Z1439"/>
  <sheetViews>
    <sheetView topLeftCell="F3" workbookViewId="0">
      <selection activeCell="P17" sqref="P17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  <col min="9" max="9" width="11.42578125" style="197"/>
    <col min="10" max="12" width="11.42578125" style="1"/>
    <col min="15" max="15" width="11.42578125" style="223"/>
  </cols>
  <sheetData>
    <row r="1" spans="2:17" ht="13.5" thickBot="1"/>
    <row r="2" spans="2:17" ht="13.5" thickBot="1">
      <c r="B2" s="236" t="s">
        <v>1412</v>
      </c>
      <c r="C2" s="237"/>
      <c r="D2" s="237"/>
      <c r="E2" s="237"/>
      <c r="F2" s="237"/>
      <c r="G2" s="238"/>
    </row>
    <row r="3" spans="2:17" ht="13.5" thickBot="1">
      <c r="B3" s="18"/>
      <c r="G3" s="6"/>
    </row>
    <row r="4" spans="2:17">
      <c r="B4" s="18"/>
      <c r="C4" s="21" t="s">
        <v>27</v>
      </c>
      <c r="D4" s="16"/>
      <c r="E4" s="80" t="s">
        <v>40</v>
      </c>
      <c r="F4" s="4">
        <v>15</v>
      </c>
      <c r="G4" s="6"/>
      <c r="H4">
        <v>1</v>
      </c>
      <c r="I4" s="197" t="s">
        <v>40</v>
      </c>
      <c r="J4" s="1" t="s">
        <v>1073</v>
      </c>
      <c r="K4" s="1">
        <v>19</v>
      </c>
      <c r="L4" s="1">
        <v>15</v>
      </c>
      <c r="O4" s="223">
        <v>4</v>
      </c>
    </row>
    <row r="5" spans="2:17" ht="13.5" thickBot="1">
      <c r="B5" s="18"/>
      <c r="C5" s="7"/>
      <c r="D5" s="20"/>
      <c r="E5" s="83" t="s">
        <v>1</v>
      </c>
      <c r="F5" s="22">
        <v>19</v>
      </c>
      <c r="G5" s="6"/>
      <c r="H5">
        <v>2</v>
      </c>
      <c r="I5" s="197" t="s">
        <v>47</v>
      </c>
      <c r="J5" s="1" t="s">
        <v>1065</v>
      </c>
      <c r="K5" s="1">
        <v>20</v>
      </c>
      <c r="L5" s="1">
        <v>18</v>
      </c>
      <c r="O5" s="223">
        <v>4</v>
      </c>
    </row>
    <row r="6" spans="2:17" ht="13.5" thickBot="1">
      <c r="B6" s="18"/>
      <c r="G6" s="6"/>
      <c r="H6">
        <v>3</v>
      </c>
      <c r="I6" s="197" t="s">
        <v>49</v>
      </c>
      <c r="J6" s="1" t="s">
        <v>1065</v>
      </c>
      <c r="K6" s="1">
        <v>23</v>
      </c>
      <c r="L6" s="1">
        <v>18</v>
      </c>
      <c r="O6" s="223">
        <v>4</v>
      </c>
    </row>
    <row r="7" spans="2:17">
      <c r="B7" s="18"/>
      <c r="C7" s="3" t="s">
        <v>4</v>
      </c>
      <c r="D7" s="16"/>
      <c r="E7" s="80" t="s">
        <v>40</v>
      </c>
      <c r="F7" s="84"/>
      <c r="G7" s="6"/>
      <c r="H7">
        <v>4</v>
      </c>
      <c r="I7" s="197" t="s">
        <v>175</v>
      </c>
      <c r="J7" s="1" t="s">
        <v>1065</v>
      </c>
      <c r="K7" s="1">
        <v>26</v>
      </c>
      <c r="L7" s="1">
        <v>25</v>
      </c>
      <c r="O7" s="223">
        <v>4</v>
      </c>
    </row>
    <row r="8" spans="2:17">
      <c r="B8" s="18"/>
      <c r="C8" s="5" t="s">
        <v>2</v>
      </c>
      <c r="E8" s="39" t="s">
        <v>326</v>
      </c>
      <c r="F8" s="6"/>
      <c r="G8" s="6"/>
      <c r="H8">
        <v>5</v>
      </c>
      <c r="I8" s="197" t="s">
        <v>229</v>
      </c>
      <c r="J8" s="1" t="s">
        <v>1073</v>
      </c>
      <c r="K8" s="1">
        <v>24</v>
      </c>
      <c r="L8" s="1">
        <v>23</v>
      </c>
      <c r="O8" s="223">
        <v>4</v>
      </c>
    </row>
    <row r="9" spans="2:17" ht="13.5" thickBot="1">
      <c r="B9" s="18"/>
      <c r="C9" s="7" t="s">
        <v>3</v>
      </c>
      <c r="D9" s="20"/>
      <c r="E9" s="81" t="s">
        <v>326</v>
      </c>
      <c r="F9" s="9"/>
      <c r="G9" s="6"/>
      <c r="H9">
        <v>6</v>
      </c>
      <c r="I9" s="197" t="s">
        <v>103</v>
      </c>
      <c r="J9" s="1" t="s">
        <v>1065</v>
      </c>
      <c r="K9" s="1">
        <v>13</v>
      </c>
      <c r="L9" s="1">
        <v>10</v>
      </c>
      <c r="O9" s="223">
        <v>4</v>
      </c>
    </row>
    <row r="10" spans="2:17" ht="13.5" thickBot="1">
      <c r="B10" s="18"/>
      <c r="G10" s="6"/>
      <c r="H10">
        <v>7</v>
      </c>
      <c r="I10" s="197" t="s">
        <v>1078</v>
      </c>
      <c r="J10" s="1" t="s">
        <v>1073</v>
      </c>
      <c r="K10" s="1">
        <v>14</v>
      </c>
      <c r="L10" s="1">
        <v>15</v>
      </c>
      <c r="O10" s="223">
        <v>1</v>
      </c>
    </row>
    <row r="11" spans="2:17" ht="13.5" thickBot="1">
      <c r="B11" s="18"/>
      <c r="C11" s="23" t="s">
        <v>29</v>
      </c>
      <c r="D11" s="24"/>
      <c r="E11" s="87" t="s">
        <v>1410</v>
      </c>
      <c r="F11" s="25"/>
      <c r="G11" s="6"/>
      <c r="H11">
        <v>8</v>
      </c>
      <c r="I11" s="197" t="s">
        <v>1077</v>
      </c>
      <c r="J11" s="1" t="s">
        <v>1065</v>
      </c>
      <c r="K11" s="1">
        <v>16</v>
      </c>
      <c r="L11" s="1">
        <v>38</v>
      </c>
      <c r="O11" s="223">
        <v>0</v>
      </c>
    </row>
    <row r="12" spans="2:17">
      <c r="B12" s="18"/>
      <c r="G12" s="6"/>
      <c r="H12">
        <v>9</v>
      </c>
      <c r="I12" s="197" t="s">
        <v>185</v>
      </c>
      <c r="J12" s="1" t="s">
        <v>1073</v>
      </c>
      <c r="K12" s="1">
        <v>19</v>
      </c>
      <c r="L12" s="1">
        <v>62</v>
      </c>
      <c r="O12" s="223">
        <v>0</v>
      </c>
    </row>
    <row r="13" spans="2:17">
      <c r="B13" s="203"/>
      <c r="C13" t="s">
        <v>5</v>
      </c>
      <c r="D13" s="197"/>
      <c r="E13" s="197"/>
      <c r="F13" s="197"/>
      <c r="G13" s="204"/>
      <c r="H13">
        <v>10</v>
      </c>
      <c r="I13" s="197" t="s">
        <v>92</v>
      </c>
      <c r="J13" s="1" t="s">
        <v>1065</v>
      </c>
      <c r="K13" s="1">
        <v>37</v>
      </c>
      <c r="L13" s="1">
        <v>30</v>
      </c>
      <c r="O13" s="223">
        <v>4</v>
      </c>
    </row>
    <row r="14" spans="2:17">
      <c r="B14" s="203"/>
      <c r="D14" s="197"/>
      <c r="E14" s="197"/>
      <c r="F14" s="197"/>
      <c r="G14" s="204"/>
      <c r="H14">
        <v>11</v>
      </c>
      <c r="I14" s="197" t="s">
        <v>102</v>
      </c>
      <c r="J14" s="1" t="s">
        <v>1073</v>
      </c>
      <c r="K14" s="1">
        <v>33</v>
      </c>
      <c r="L14" s="1">
        <v>40</v>
      </c>
      <c r="M14" s="223">
        <f>311+21+29</f>
        <v>361</v>
      </c>
      <c r="N14" s="223">
        <f>193+18+25</f>
        <v>236</v>
      </c>
      <c r="O14" s="223">
        <v>1</v>
      </c>
      <c r="P14">
        <f>+M14/14</f>
        <v>25.785714285714285</v>
      </c>
      <c r="Q14">
        <f>+N14/14</f>
        <v>16.857142857142858</v>
      </c>
    </row>
    <row r="15" spans="2:17">
      <c r="B15" s="5">
        <v>1</v>
      </c>
      <c r="C15" s="39" t="s">
        <v>327</v>
      </c>
      <c r="D15" s="197"/>
      <c r="E15" s="197"/>
      <c r="F15" s="197"/>
      <c r="G15" s="204"/>
      <c r="H15">
        <v>12</v>
      </c>
      <c r="I15" s="197" t="s">
        <v>1301</v>
      </c>
      <c r="J15" s="1" t="s">
        <v>1065</v>
      </c>
      <c r="K15" s="1">
        <v>30</v>
      </c>
      <c r="L15" s="1">
        <v>41</v>
      </c>
      <c r="O15" s="223">
        <v>0</v>
      </c>
    </row>
    <row r="16" spans="2:17">
      <c r="B16" s="5">
        <v>2</v>
      </c>
      <c r="C16" s="39" t="s">
        <v>1113</v>
      </c>
      <c r="D16" s="197"/>
      <c r="E16" s="197"/>
      <c r="F16" s="197"/>
      <c r="G16" s="204"/>
      <c r="H16">
        <v>13</v>
      </c>
      <c r="I16" s="197" t="s">
        <v>261</v>
      </c>
      <c r="J16" s="1" t="s">
        <v>1073</v>
      </c>
      <c r="K16" s="1">
        <v>42</v>
      </c>
      <c r="L16" s="1">
        <v>20</v>
      </c>
      <c r="M16">
        <f>SUM(K4:K17)</f>
        <v>337</v>
      </c>
      <c r="N16">
        <f>SUM(L4:L17)</f>
        <v>379</v>
      </c>
      <c r="O16" s="223">
        <v>5</v>
      </c>
      <c r="P16">
        <f>+M16/13</f>
        <v>25.923076923076923</v>
      </c>
      <c r="Q16">
        <f>+N16/13</f>
        <v>29.153846153846153</v>
      </c>
    </row>
    <row r="17" spans="2:15">
      <c r="B17" s="5">
        <v>3</v>
      </c>
      <c r="C17" s="39" t="s">
        <v>1314</v>
      </c>
      <c r="D17" s="197"/>
      <c r="E17" s="197"/>
      <c r="F17" s="197"/>
      <c r="G17" s="204"/>
      <c r="H17">
        <v>14</v>
      </c>
      <c r="I17" s="197" t="s">
        <v>47</v>
      </c>
      <c r="J17" s="1" t="s">
        <v>1073</v>
      </c>
      <c r="K17" s="1">
        <v>21</v>
      </c>
      <c r="L17" s="1">
        <v>24</v>
      </c>
      <c r="O17" s="223">
        <v>1</v>
      </c>
    </row>
    <row r="18" spans="2:15">
      <c r="B18" s="5">
        <v>4</v>
      </c>
      <c r="C18" s="39" t="s">
        <v>1106</v>
      </c>
      <c r="D18" s="197"/>
      <c r="E18" s="197"/>
      <c r="F18" s="197"/>
      <c r="G18" s="204"/>
      <c r="H18">
        <v>15</v>
      </c>
      <c r="I18" s="197" t="s">
        <v>40</v>
      </c>
      <c r="J18" s="1" t="s">
        <v>1065</v>
      </c>
      <c r="K18" s="1">
        <v>46</v>
      </c>
      <c r="L18" s="1">
        <v>23</v>
      </c>
      <c r="O18" s="223">
        <v>5</v>
      </c>
    </row>
    <row r="19" spans="2:15">
      <c r="B19" s="5">
        <v>5</v>
      </c>
      <c r="C19" s="39" t="s">
        <v>1404</v>
      </c>
      <c r="D19" s="197"/>
      <c r="E19" s="197"/>
      <c r="F19" s="197"/>
      <c r="G19" s="204"/>
      <c r="H19">
        <v>16</v>
      </c>
      <c r="I19" s="197" t="s">
        <v>49</v>
      </c>
      <c r="J19" s="1" t="s">
        <v>1073</v>
      </c>
      <c r="K19" s="1">
        <v>31</v>
      </c>
      <c r="L19" s="1">
        <v>26</v>
      </c>
      <c r="O19" s="223">
        <v>5</v>
      </c>
    </row>
    <row r="20" spans="2:15">
      <c r="B20" s="5">
        <v>6</v>
      </c>
      <c r="C20" s="39" t="s">
        <v>18</v>
      </c>
      <c r="D20" s="197"/>
      <c r="E20" s="197"/>
      <c r="F20" s="197"/>
      <c r="G20" s="204"/>
      <c r="H20">
        <v>17</v>
      </c>
      <c r="I20" s="197" t="s">
        <v>175</v>
      </c>
      <c r="J20" s="1" t="s">
        <v>1073</v>
      </c>
      <c r="O20" s="223">
        <v>0</v>
      </c>
    </row>
    <row r="21" spans="2:15">
      <c r="B21" s="5">
        <v>7</v>
      </c>
      <c r="C21" s="39" t="s">
        <v>1324</v>
      </c>
      <c r="D21" s="197"/>
      <c r="E21" s="197"/>
      <c r="F21" s="197"/>
      <c r="G21" s="204"/>
      <c r="H21">
        <v>18</v>
      </c>
      <c r="I21" s="197" t="s">
        <v>229</v>
      </c>
      <c r="J21" s="1" t="s">
        <v>1073</v>
      </c>
      <c r="O21" s="223">
        <v>0</v>
      </c>
    </row>
    <row r="22" spans="2:15">
      <c r="B22" s="5">
        <v>8</v>
      </c>
      <c r="C22" s="39" t="s">
        <v>1329</v>
      </c>
      <c r="D22" s="197"/>
      <c r="E22" s="197"/>
      <c r="F22" s="197"/>
      <c r="G22" s="204"/>
      <c r="H22">
        <v>19</v>
      </c>
      <c r="I22" s="197" t="s">
        <v>103</v>
      </c>
      <c r="J22" s="1" t="s">
        <v>1073</v>
      </c>
      <c r="O22" s="223">
        <v>0</v>
      </c>
    </row>
    <row r="23" spans="2:15">
      <c r="B23" s="5">
        <v>9</v>
      </c>
      <c r="C23" s="39" t="s">
        <v>1235</v>
      </c>
      <c r="D23" s="197"/>
      <c r="E23" s="197"/>
      <c r="F23" s="197"/>
      <c r="G23" s="204"/>
      <c r="H23">
        <v>20</v>
      </c>
      <c r="I23" s="197" t="s">
        <v>1078</v>
      </c>
      <c r="J23" s="1" t="s">
        <v>1065</v>
      </c>
      <c r="O23" s="223">
        <v>0</v>
      </c>
    </row>
    <row r="24" spans="2:15">
      <c r="B24" s="5">
        <v>10</v>
      </c>
      <c r="C24" s="39" t="s">
        <v>607</v>
      </c>
      <c r="D24" s="197"/>
      <c r="E24" s="197"/>
      <c r="F24" s="197"/>
      <c r="G24" s="204"/>
      <c r="H24">
        <v>21</v>
      </c>
      <c r="I24" s="197" t="s">
        <v>1077</v>
      </c>
      <c r="J24" s="1" t="s">
        <v>1073</v>
      </c>
      <c r="O24" s="223">
        <v>1</v>
      </c>
    </row>
    <row r="25" spans="2:15">
      <c r="B25" s="5">
        <v>11</v>
      </c>
      <c r="C25" s="39" t="s">
        <v>1402</v>
      </c>
      <c r="D25" s="197"/>
      <c r="E25" s="197"/>
      <c r="F25" s="197"/>
      <c r="G25" s="204"/>
      <c r="H25">
        <v>22</v>
      </c>
      <c r="I25" s="197" t="s">
        <v>185</v>
      </c>
      <c r="J25" s="1" t="s">
        <v>1065</v>
      </c>
      <c r="O25" s="223">
        <v>0</v>
      </c>
    </row>
    <row r="26" spans="2:15">
      <c r="B26" s="5">
        <v>12</v>
      </c>
      <c r="C26" s="39" t="s">
        <v>140</v>
      </c>
      <c r="D26" s="197"/>
      <c r="E26" s="197"/>
      <c r="F26" s="197"/>
      <c r="G26" s="204"/>
      <c r="H26">
        <v>23</v>
      </c>
      <c r="I26" s="197" t="s">
        <v>92</v>
      </c>
      <c r="J26" s="1" t="s">
        <v>1073</v>
      </c>
      <c r="O26" s="223">
        <v>0</v>
      </c>
    </row>
    <row r="27" spans="2:15">
      <c r="B27" s="5">
        <v>13</v>
      </c>
      <c r="C27" s="39" t="s">
        <v>1112</v>
      </c>
      <c r="D27" s="197"/>
      <c r="E27" s="197"/>
      <c r="F27" s="197"/>
      <c r="G27" s="204"/>
      <c r="H27">
        <v>24</v>
      </c>
      <c r="I27" s="197" t="s">
        <v>102</v>
      </c>
      <c r="J27" s="1" t="s">
        <v>1065</v>
      </c>
      <c r="O27" s="223">
        <v>1</v>
      </c>
    </row>
    <row r="28" spans="2:15">
      <c r="B28" s="5">
        <v>14</v>
      </c>
      <c r="C28" s="39" t="s">
        <v>1403</v>
      </c>
      <c r="D28" s="197"/>
      <c r="E28" s="197"/>
      <c r="F28" s="197"/>
      <c r="G28" s="204"/>
      <c r="H28">
        <v>25</v>
      </c>
      <c r="I28" s="197" t="s">
        <v>1301</v>
      </c>
      <c r="J28" s="1" t="s">
        <v>1073</v>
      </c>
      <c r="O28" s="223">
        <v>1</v>
      </c>
    </row>
    <row r="29" spans="2:15">
      <c r="B29" s="5">
        <v>15</v>
      </c>
      <c r="C29" s="39" t="s">
        <v>1340</v>
      </c>
      <c r="D29" s="197"/>
      <c r="E29" s="197"/>
      <c r="F29" s="197"/>
      <c r="G29" s="204"/>
      <c r="H29">
        <v>26</v>
      </c>
      <c r="I29" s="197" t="s">
        <v>261</v>
      </c>
      <c r="J29" s="1" t="s">
        <v>1065</v>
      </c>
      <c r="O29" s="223">
        <v>4</v>
      </c>
    </row>
    <row r="30" spans="2:15">
      <c r="B30" s="203"/>
      <c r="C30" s="197"/>
      <c r="D30" s="197"/>
      <c r="E30" s="197"/>
      <c r="F30" s="197"/>
      <c r="G30" s="204"/>
      <c r="O30" s="223">
        <f>SUM(O4:O29)</f>
        <v>53</v>
      </c>
    </row>
    <row r="31" spans="2:15">
      <c r="B31" s="203"/>
      <c r="C31" s="39" t="s">
        <v>325</v>
      </c>
      <c r="D31" s="197"/>
      <c r="E31" s="197"/>
      <c r="F31" s="197"/>
      <c r="G31" s="204"/>
    </row>
    <row r="32" spans="2:15">
      <c r="B32" s="203"/>
      <c r="C32" s="198" t="s">
        <v>1405</v>
      </c>
      <c r="D32" s="197"/>
      <c r="E32" s="197"/>
      <c r="F32" s="197"/>
      <c r="G32" s="204"/>
    </row>
    <row r="33" spans="2:7">
      <c r="B33" s="203"/>
      <c r="C33" s="198" t="s">
        <v>1406</v>
      </c>
      <c r="D33" s="197"/>
      <c r="E33" s="197"/>
      <c r="F33" s="197"/>
      <c r="G33" s="204"/>
    </row>
    <row r="34" spans="2:7">
      <c r="B34" s="203"/>
      <c r="C34" s="198" t="s">
        <v>1347</v>
      </c>
      <c r="D34" s="197"/>
      <c r="E34" s="197"/>
      <c r="F34" s="197"/>
      <c r="G34" s="204"/>
    </row>
    <row r="35" spans="2:7">
      <c r="B35" s="203"/>
      <c r="C35" s="198" t="s">
        <v>1407</v>
      </c>
      <c r="D35" s="197"/>
      <c r="E35" s="197"/>
      <c r="F35" s="197"/>
      <c r="G35" s="204"/>
    </row>
    <row r="36" spans="2:7">
      <c r="B36" s="203"/>
      <c r="C36" s="198" t="s">
        <v>1408</v>
      </c>
      <c r="D36" s="197"/>
      <c r="E36" s="197"/>
      <c r="F36" s="197"/>
      <c r="G36" s="204"/>
    </row>
    <row r="37" spans="2:7">
      <c r="B37" s="203"/>
      <c r="C37" s="197"/>
      <c r="D37" s="197"/>
      <c r="E37" s="197"/>
      <c r="F37" s="197"/>
      <c r="G37" s="204"/>
    </row>
    <row r="38" spans="2:7">
      <c r="B38" s="203"/>
      <c r="C38" s="2" t="s">
        <v>21</v>
      </c>
      <c r="D38" s="197"/>
      <c r="E38" s="197"/>
      <c r="F38" s="197"/>
      <c r="G38" s="204"/>
    </row>
    <row r="39" spans="2:7">
      <c r="B39" s="82" t="s">
        <v>336</v>
      </c>
      <c r="C39" s="197" t="s">
        <v>1324</v>
      </c>
      <c r="D39" s="197"/>
      <c r="E39" s="197"/>
      <c r="F39" s="197"/>
      <c r="G39" s="204"/>
    </row>
    <row r="40" spans="2:7">
      <c r="B40" s="82" t="s">
        <v>336</v>
      </c>
      <c r="C40" s="197" t="s">
        <v>1112</v>
      </c>
      <c r="D40" s="197"/>
      <c r="E40" s="197"/>
      <c r="F40" s="197"/>
      <c r="G40" s="204"/>
    </row>
    <row r="41" spans="2:7">
      <c r="B41" s="82" t="s">
        <v>336</v>
      </c>
      <c r="C41" s="197" t="s">
        <v>59</v>
      </c>
      <c r="D41" s="197"/>
      <c r="E41" s="197"/>
      <c r="F41" s="197"/>
      <c r="G41" s="204"/>
    </row>
    <row r="42" spans="2:7">
      <c r="B42" s="18"/>
      <c r="C42" s="39"/>
      <c r="D42" s="197"/>
      <c r="E42" s="197"/>
      <c r="F42" s="197"/>
      <c r="G42" s="204"/>
    </row>
    <row r="43" spans="2:7">
      <c r="B43" s="18"/>
      <c r="C43" s="15" t="s">
        <v>337</v>
      </c>
      <c r="D43" s="197"/>
      <c r="E43" s="197"/>
      <c r="F43" s="197"/>
      <c r="G43" s="204"/>
    </row>
    <row r="44" spans="2:7">
      <c r="B44" s="82" t="s">
        <v>352</v>
      </c>
      <c r="C44" s="197" t="s">
        <v>607</v>
      </c>
      <c r="D44" s="197"/>
      <c r="E44" s="197"/>
      <c r="F44" s="197"/>
      <c r="G44" s="204"/>
    </row>
    <row r="45" spans="2:7">
      <c r="B45" s="18"/>
      <c r="D45" s="197"/>
      <c r="E45" s="197"/>
      <c r="F45" s="197"/>
      <c r="G45" s="204"/>
    </row>
    <row r="46" spans="2:7">
      <c r="B46" s="18"/>
      <c r="C46" s="1" t="s">
        <v>22</v>
      </c>
      <c r="D46" s="197"/>
      <c r="E46" s="197"/>
      <c r="F46" s="197"/>
      <c r="G46" s="204"/>
    </row>
    <row r="47" spans="2:7">
      <c r="B47" s="203"/>
      <c r="C47" s="39" t="s">
        <v>339</v>
      </c>
      <c r="D47" s="197"/>
      <c r="E47" s="197"/>
      <c r="F47" s="197"/>
      <c r="G47" s="204"/>
    </row>
    <row r="48" spans="2:7">
      <c r="B48" s="203"/>
      <c r="D48" s="197"/>
      <c r="E48" s="197"/>
      <c r="F48" s="197"/>
      <c r="G48" s="204"/>
    </row>
    <row r="49" spans="2:7">
      <c r="B49" s="203"/>
      <c r="C49" s="1" t="s">
        <v>23</v>
      </c>
      <c r="D49" s="197"/>
      <c r="E49" s="197"/>
      <c r="F49" s="197"/>
      <c r="G49" s="204"/>
    </row>
    <row r="50" spans="2:7">
      <c r="B50" s="82" t="s">
        <v>336</v>
      </c>
      <c r="C50" s="66" t="s">
        <v>1403</v>
      </c>
      <c r="D50" s="197"/>
      <c r="E50" s="197"/>
      <c r="F50" s="197"/>
      <c r="G50" s="204"/>
    </row>
    <row r="51" spans="2:7">
      <c r="B51" s="82" t="s">
        <v>336</v>
      </c>
      <c r="C51" s="66" t="s">
        <v>1106</v>
      </c>
      <c r="D51" s="197"/>
      <c r="E51" s="197"/>
      <c r="F51" s="197"/>
      <c r="G51" s="204"/>
    </row>
    <row r="52" spans="2:7">
      <c r="B52" s="203"/>
      <c r="C52" s="66"/>
      <c r="D52" s="197"/>
      <c r="E52" s="197"/>
      <c r="F52" s="197"/>
      <c r="G52" s="204"/>
    </row>
    <row r="53" spans="2:7" ht="13.5" thickBot="1">
      <c r="B53" s="205"/>
      <c r="C53" s="20"/>
      <c r="D53" s="206"/>
      <c r="E53" s="206"/>
      <c r="F53" s="206"/>
      <c r="G53" s="207"/>
    </row>
    <row r="55" spans="2:7" ht="13.5" thickBot="1"/>
    <row r="56" spans="2:7" ht="13.5" thickBot="1">
      <c r="B56" s="236">
        <v>45367</v>
      </c>
      <c r="C56" s="237"/>
      <c r="D56" s="237"/>
      <c r="E56" s="237"/>
      <c r="F56" s="237"/>
      <c r="G56" s="238"/>
    </row>
    <row r="57" spans="2:7" ht="13.5" thickBot="1">
      <c r="B57" s="18"/>
      <c r="G57" s="6"/>
    </row>
    <row r="58" spans="2:7">
      <c r="B58" s="18"/>
      <c r="C58" s="21" t="s">
        <v>27</v>
      </c>
      <c r="D58" s="16"/>
      <c r="E58" s="80" t="s">
        <v>1</v>
      </c>
      <c r="F58" s="4">
        <v>20</v>
      </c>
      <c r="G58" s="6"/>
    </row>
    <row r="59" spans="2:7" ht="13.5" thickBot="1">
      <c r="B59" s="18"/>
      <c r="C59" s="7"/>
      <c r="D59" s="20"/>
      <c r="E59" s="83" t="s">
        <v>47</v>
      </c>
      <c r="F59" s="22">
        <v>18</v>
      </c>
      <c r="G59" s="6"/>
    </row>
    <row r="60" spans="2:7" ht="13.5" thickBot="1">
      <c r="B60" s="18"/>
      <c r="G60" s="6"/>
    </row>
    <row r="61" spans="2:7">
      <c r="B61" s="18"/>
      <c r="C61" s="3" t="s">
        <v>4</v>
      </c>
      <c r="D61" s="16"/>
      <c r="E61" s="80" t="s">
        <v>1</v>
      </c>
      <c r="F61" s="84" t="s">
        <v>205</v>
      </c>
      <c r="G61" s="6"/>
    </row>
    <row r="62" spans="2:7">
      <c r="B62" s="18"/>
      <c r="C62" s="5" t="s">
        <v>2</v>
      </c>
      <c r="E62" s="39" t="s">
        <v>326</v>
      </c>
      <c r="F62" s="6"/>
      <c r="G62" s="6"/>
    </row>
    <row r="63" spans="2:7" ht="13.5" thickBot="1">
      <c r="B63" s="18"/>
      <c r="C63" s="7" t="s">
        <v>3</v>
      </c>
      <c r="D63" s="20"/>
      <c r="E63" s="81" t="s">
        <v>757</v>
      </c>
      <c r="F63" s="9"/>
      <c r="G63" s="6"/>
    </row>
    <row r="64" spans="2:7" ht="13.5" thickBot="1">
      <c r="B64" s="18"/>
      <c r="G64" s="6"/>
    </row>
    <row r="65" spans="2:7" ht="13.5" thickBot="1">
      <c r="B65" s="18"/>
      <c r="C65" s="23" t="s">
        <v>29</v>
      </c>
      <c r="D65" s="24"/>
      <c r="E65" s="87" t="s">
        <v>1411</v>
      </c>
      <c r="F65" s="25"/>
      <c r="G65" s="6"/>
    </row>
    <row r="66" spans="2:7">
      <c r="B66" s="18"/>
      <c r="G66" s="6"/>
    </row>
    <row r="67" spans="2:7">
      <c r="B67" s="203"/>
      <c r="C67" t="s">
        <v>5</v>
      </c>
      <c r="D67" s="197"/>
      <c r="E67" s="197"/>
      <c r="F67" s="197"/>
      <c r="G67" s="204"/>
    </row>
    <row r="68" spans="2:7">
      <c r="B68" s="203"/>
      <c r="D68" s="197"/>
      <c r="E68" s="197"/>
      <c r="F68" s="197"/>
      <c r="G68" s="204"/>
    </row>
    <row r="69" spans="2:7">
      <c r="B69" s="5">
        <v>1</v>
      </c>
      <c r="C69" s="39" t="s">
        <v>327</v>
      </c>
      <c r="D69" s="197"/>
      <c r="E69" s="197"/>
      <c r="F69" s="197"/>
      <c r="G69" s="204"/>
    </row>
    <row r="70" spans="2:7">
      <c r="B70" s="5">
        <v>2</v>
      </c>
      <c r="C70" s="39" t="s">
        <v>1113</v>
      </c>
      <c r="D70" s="197"/>
      <c r="E70" s="197"/>
      <c r="F70" s="197"/>
      <c r="G70" s="204"/>
    </row>
    <row r="71" spans="2:7">
      <c r="B71" s="5">
        <v>3</v>
      </c>
      <c r="C71" s="39" t="s">
        <v>1314</v>
      </c>
      <c r="D71" s="197"/>
      <c r="E71" s="197"/>
      <c r="F71" s="197"/>
      <c r="G71" s="204"/>
    </row>
    <row r="72" spans="2:7">
      <c r="B72" s="5">
        <v>4</v>
      </c>
      <c r="C72" s="39" t="s">
        <v>1106</v>
      </c>
      <c r="D72" s="197"/>
      <c r="E72" s="197"/>
      <c r="F72" s="197"/>
      <c r="G72" s="204"/>
    </row>
    <row r="73" spans="2:7">
      <c r="B73" s="5">
        <v>5</v>
      </c>
      <c r="C73" s="39" t="s">
        <v>207</v>
      </c>
      <c r="D73" s="197"/>
      <c r="E73" s="197"/>
      <c r="F73" s="197"/>
      <c r="G73" s="204"/>
    </row>
    <row r="74" spans="2:7">
      <c r="B74" s="5">
        <v>6</v>
      </c>
      <c r="C74" s="39" t="s">
        <v>18</v>
      </c>
      <c r="D74" s="197"/>
      <c r="E74" s="197"/>
      <c r="F74" s="197"/>
      <c r="G74" s="204"/>
    </row>
    <row r="75" spans="2:7">
      <c r="B75" s="5">
        <v>7</v>
      </c>
      <c r="C75" s="39" t="s">
        <v>1324</v>
      </c>
      <c r="D75" s="197"/>
      <c r="E75" s="197"/>
      <c r="F75" s="197"/>
      <c r="G75" s="204"/>
    </row>
    <row r="76" spans="2:7">
      <c r="B76" s="5">
        <v>8</v>
      </c>
      <c r="C76" s="39" t="s">
        <v>1329</v>
      </c>
      <c r="D76" s="197"/>
      <c r="E76" s="197"/>
      <c r="F76" s="197"/>
      <c r="G76" s="204"/>
    </row>
    <row r="77" spans="2:7">
      <c r="B77" s="5">
        <v>9</v>
      </c>
      <c r="C77" s="39" t="s">
        <v>1235</v>
      </c>
      <c r="D77" s="197"/>
      <c r="E77" s="197"/>
      <c r="F77" s="197"/>
      <c r="G77" s="204"/>
    </row>
    <row r="78" spans="2:7">
      <c r="B78" s="5">
        <v>10</v>
      </c>
      <c r="C78" s="39" t="s">
        <v>607</v>
      </c>
      <c r="D78" s="197"/>
      <c r="E78" s="197"/>
      <c r="F78" s="197"/>
      <c r="G78" s="204"/>
    </row>
    <row r="79" spans="2:7">
      <c r="B79" s="5">
        <v>11</v>
      </c>
      <c r="C79" s="39" t="s">
        <v>214</v>
      </c>
      <c r="D79" s="197"/>
      <c r="E79" s="197"/>
      <c r="F79" s="197"/>
      <c r="G79" s="204"/>
    </row>
    <row r="80" spans="2:7">
      <c r="B80" s="5">
        <v>12</v>
      </c>
      <c r="C80" s="39" t="s">
        <v>1198</v>
      </c>
      <c r="D80" s="197"/>
      <c r="E80" s="197"/>
      <c r="F80" s="197"/>
      <c r="G80" s="204"/>
    </row>
    <row r="81" spans="2:7">
      <c r="B81" s="5">
        <v>13</v>
      </c>
      <c r="C81" s="39" t="s">
        <v>1112</v>
      </c>
      <c r="D81" s="197"/>
      <c r="E81" s="197"/>
      <c r="F81" s="197"/>
      <c r="G81" s="204"/>
    </row>
    <row r="82" spans="2:7">
      <c r="B82" s="5">
        <v>14</v>
      </c>
      <c r="C82" s="39" t="s">
        <v>1403</v>
      </c>
      <c r="D82" s="197"/>
      <c r="E82" s="197"/>
      <c r="F82" s="197"/>
      <c r="G82" s="204"/>
    </row>
    <row r="83" spans="2:7">
      <c r="B83" s="5">
        <v>15</v>
      </c>
      <c r="C83" s="39" t="s">
        <v>1340</v>
      </c>
      <c r="D83" s="197"/>
      <c r="E83" s="197"/>
      <c r="F83" s="197"/>
      <c r="G83" s="204"/>
    </row>
    <row r="84" spans="2:7">
      <c r="B84" s="203"/>
      <c r="C84" s="197"/>
      <c r="D84" s="197"/>
      <c r="E84" s="197"/>
      <c r="F84" s="197"/>
      <c r="G84" s="204"/>
    </row>
    <row r="85" spans="2:7">
      <c r="B85" s="203"/>
      <c r="C85" s="39" t="s">
        <v>325</v>
      </c>
      <c r="D85" s="197"/>
      <c r="E85" s="197"/>
      <c r="F85" s="197"/>
      <c r="G85" s="204"/>
    </row>
    <row r="86" spans="2:7">
      <c r="B86" s="203"/>
      <c r="C86" s="198" t="s">
        <v>1405</v>
      </c>
      <c r="D86" s="197"/>
      <c r="E86" s="197"/>
      <c r="F86" s="197"/>
      <c r="G86" s="204"/>
    </row>
    <row r="87" spans="2:7">
      <c r="B87" s="203"/>
      <c r="C87" s="198" t="s">
        <v>1406</v>
      </c>
      <c r="D87" s="197"/>
      <c r="E87" s="197"/>
      <c r="F87" s="197"/>
      <c r="G87" s="204"/>
    </row>
    <row r="88" spans="2:7">
      <c r="B88" s="203"/>
      <c r="C88" s="198" t="s">
        <v>1347</v>
      </c>
      <c r="D88" s="197"/>
      <c r="E88" s="197"/>
      <c r="F88" s="197"/>
      <c r="G88" s="204"/>
    </row>
    <row r="89" spans="2:7">
      <c r="B89" s="203"/>
      <c r="C89" s="198" t="s">
        <v>1414</v>
      </c>
      <c r="D89" s="197"/>
      <c r="E89" s="197"/>
      <c r="F89" s="197"/>
      <c r="G89" s="204"/>
    </row>
    <row r="90" spans="2:7">
      <c r="B90" s="203"/>
      <c r="C90" s="198" t="s">
        <v>1413</v>
      </c>
      <c r="D90" s="197"/>
      <c r="E90" s="197"/>
      <c r="F90" s="197"/>
      <c r="G90" s="204"/>
    </row>
    <row r="91" spans="2:7">
      <c r="B91" s="203"/>
      <c r="C91" s="197"/>
      <c r="D91" s="197"/>
      <c r="E91" s="197"/>
      <c r="F91" s="197"/>
      <c r="G91" s="204"/>
    </row>
    <row r="92" spans="2:7">
      <c r="B92" s="203"/>
      <c r="C92" s="2" t="s">
        <v>21</v>
      </c>
      <c r="D92" s="197"/>
      <c r="E92" s="197"/>
      <c r="F92" s="197"/>
      <c r="G92" s="204"/>
    </row>
    <row r="93" spans="2:7">
      <c r="B93" s="82" t="s">
        <v>336</v>
      </c>
      <c r="C93" s="197" t="s">
        <v>1403</v>
      </c>
      <c r="D93" s="197"/>
      <c r="E93" s="197"/>
      <c r="F93" s="197"/>
      <c r="G93" s="204"/>
    </row>
    <row r="94" spans="2:7">
      <c r="B94" s="82" t="s">
        <v>336</v>
      </c>
      <c r="C94" s="197" t="s">
        <v>56</v>
      </c>
      <c r="D94" s="197"/>
      <c r="E94" s="197"/>
      <c r="F94" s="197"/>
      <c r="G94" s="204"/>
    </row>
    <row r="95" spans="2:7">
      <c r="B95" s="82" t="s">
        <v>336</v>
      </c>
      <c r="C95" s="197" t="s">
        <v>1113</v>
      </c>
      <c r="D95" s="197"/>
      <c r="E95" s="197"/>
      <c r="F95" s="197"/>
      <c r="G95" s="204"/>
    </row>
    <row r="96" spans="2:7">
      <c r="B96" s="18"/>
      <c r="C96" s="39"/>
      <c r="D96" s="197"/>
      <c r="E96" s="197"/>
      <c r="F96" s="197"/>
      <c r="G96" s="204"/>
    </row>
    <row r="97" spans="2:7">
      <c r="B97" s="18"/>
      <c r="C97" s="15" t="s">
        <v>337</v>
      </c>
      <c r="D97" s="197"/>
      <c r="E97" s="197"/>
      <c r="F97" s="197"/>
      <c r="G97" s="204"/>
    </row>
    <row r="98" spans="2:7">
      <c r="B98" s="82"/>
      <c r="C98" s="197" t="s">
        <v>339</v>
      </c>
      <c r="D98" s="197"/>
      <c r="E98" s="197"/>
      <c r="F98" s="197"/>
      <c r="G98" s="204"/>
    </row>
    <row r="99" spans="2:7">
      <c r="B99" s="18"/>
      <c r="D99" s="197"/>
      <c r="E99" s="197"/>
      <c r="F99" s="197"/>
      <c r="G99" s="204"/>
    </row>
    <row r="100" spans="2:7">
      <c r="B100" s="18"/>
      <c r="C100" s="1" t="s">
        <v>22</v>
      </c>
      <c r="D100" s="197"/>
      <c r="E100" s="197"/>
      <c r="F100" s="197"/>
      <c r="G100" s="204"/>
    </row>
    <row r="101" spans="2:7">
      <c r="B101" s="18" t="s">
        <v>336</v>
      </c>
      <c r="C101" s="39" t="s">
        <v>607</v>
      </c>
      <c r="D101" s="197"/>
      <c r="E101" s="197"/>
      <c r="F101" s="197"/>
      <c r="G101" s="204"/>
    </row>
    <row r="102" spans="2:7">
      <c r="B102" s="203"/>
      <c r="D102" s="197"/>
      <c r="E102" s="197"/>
      <c r="F102" s="197"/>
      <c r="G102" s="204"/>
    </row>
    <row r="103" spans="2:7">
      <c r="B103" s="203"/>
      <c r="C103" s="1" t="s">
        <v>23</v>
      </c>
      <c r="D103" s="197"/>
      <c r="E103" s="197"/>
      <c r="F103" s="197"/>
      <c r="G103" s="204"/>
    </row>
    <row r="104" spans="2:7">
      <c r="B104" s="82" t="s">
        <v>336</v>
      </c>
      <c r="C104" s="66" t="s">
        <v>1113</v>
      </c>
      <c r="D104" s="197"/>
      <c r="E104" s="197"/>
      <c r="F104" s="197"/>
      <c r="G104" s="204"/>
    </row>
    <row r="105" spans="2:7">
      <c r="B105" s="82" t="s">
        <v>336</v>
      </c>
      <c r="C105" s="66" t="s">
        <v>1409</v>
      </c>
      <c r="D105" s="197"/>
      <c r="E105" s="197"/>
      <c r="F105" s="197"/>
      <c r="G105" s="204"/>
    </row>
    <row r="106" spans="2:7" ht="13.5" thickBot="1">
      <c r="B106" s="205"/>
      <c r="C106" s="20"/>
      <c r="D106" s="206"/>
      <c r="E106" s="206"/>
      <c r="F106" s="206"/>
      <c r="G106" s="207"/>
    </row>
    <row r="107" spans="2:7">
      <c r="B107" s="197"/>
      <c r="D107" s="197"/>
      <c r="E107" s="197"/>
      <c r="F107" s="197"/>
      <c r="G107" s="197"/>
    </row>
    <row r="108" spans="2:7" ht="13.5" thickBot="1"/>
    <row r="109" spans="2:7" ht="13.5" thickBot="1">
      <c r="B109" s="236">
        <v>45388</v>
      </c>
      <c r="C109" s="237"/>
      <c r="D109" s="237"/>
      <c r="E109" s="237"/>
      <c r="F109" s="237"/>
      <c r="G109" s="238"/>
    </row>
    <row r="110" spans="2:7" ht="13.5" thickBot="1">
      <c r="B110" s="18"/>
      <c r="G110" s="6"/>
    </row>
    <row r="111" spans="2:7">
      <c r="B111" s="18"/>
      <c r="C111" s="21" t="s">
        <v>27</v>
      </c>
      <c r="D111" s="16"/>
      <c r="E111" s="80" t="s">
        <v>1</v>
      </c>
      <c r="F111" s="4">
        <v>23</v>
      </c>
      <c r="G111" s="6"/>
    </row>
    <row r="112" spans="2:7" ht="13.5" thickBot="1">
      <c r="B112" s="18"/>
      <c r="C112" s="7"/>
      <c r="D112" s="20"/>
      <c r="E112" s="83" t="s">
        <v>49</v>
      </c>
      <c r="F112" s="22">
        <v>18</v>
      </c>
      <c r="G112" s="6"/>
    </row>
    <row r="113" spans="2:7" ht="13.5" thickBot="1">
      <c r="B113" s="18"/>
      <c r="G113" s="6"/>
    </row>
    <row r="114" spans="2:7">
      <c r="B114" s="18"/>
      <c r="C114" s="3" t="s">
        <v>4</v>
      </c>
      <c r="D114" s="16"/>
      <c r="E114" s="80" t="s">
        <v>1</v>
      </c>
      <c r="F114" s="84" t="s">
        <v>205</v>
      </c>
      <c r="G114" s="6"/>
    </row>
    <row r="115" spans="2:7">
      <c r="B115" s="18"/>
      <c r="C115" s="5" t="s">
        <v>2</v>
      </c>
      <c r="E115" s="39" t="s">
        <v>326</v>
      </c>
      <c r="F115" s="6"/>
      <c r="G115" s="6"/>
    </row>
    <row r="116" spans="2:7" ht="13.5" thickBot="1">
      <c r="B116" s="18"/>
      <c r="C116" s="7" t="s">
        <v>3</v>
      </c>
      <c r="D116" s="20"/>
      <c r="E116" s="81" t="s">
        <v>326</v>
      </c>
      <c r="F116" s="9"/>
      <c r="G116" s="6"/>
    </row>
    <row r="117" spans="2:7" ht="13.5" thickBot="1">
      <c r="B117" s="18"/>
      <c r="G117" s="6"/>
    </row>
    <row r="118" spans="2:7" ht="13.5" thickBot="1">
      <c r="B118" s="18"/>
      <c r="C118" s="23"/>
      <c r="D118" s="24"/>
      <c r="E118" s="87" t="s">
        <v>1417</v>
      </c>
      <c r="F118" s="25"/>
      <c r="G118" s="6"/>
    </row>
    <row r="119" spans="2:7">
      <c r="B119" s="18"/>
      <c r="G119" s="6"/>
    </row>
    <row r="120" spans="2:7">
      <c r="B120" s="203"/>
      <c r="C120" t="s">
        <v>5</v>
      </c>
      <c r="G120" s="6"/>
    </row>
    <row r="121" spans="2:7">
      <c r="B121" s="203"/>
      <c r="G121" s="6"/>
    </row>
    <row r="122" spans="2:7">
      <c r="B122" s="5">
        <v>1</v>
      </c>
      <c r="C122" s="39" t="s">
        <v>327</v>
      </c>
      <c r="G122" s="6"/>
    </row>
    <row r="123" spans="2:7">
      <c r="B123" s="5">
        <v>2</v>
      </c>
      <c r="C123" s="39" t="s">
        <v>1113</v>
      </c>
      <c r="G123" s="6"/>
    </row>
    <row r="124" spans="2:7">
      <c r="B124" s="5">
        <v>3</v>
      </c>
      <c r="C124" s="39" t="s">
        <v>1314</v>
      </c>
      <c r="G124" s="6"/>
    </row>
    <row r="125" spans="2:7">
      <c r="B125" s="5">
        <v>4</v>
      </c>
      <c r="C125" s="39" t="s">
        <v>1106</v>
      </c>
      <c r="G125" s="6"/>
    </row>
    <row r="126" spans="2:7">
      <c r="B126" s="5">
        <v>5</v>
      </c>
      <c r="C126" s="39" t="s">
        <v>207</v>
      </c>
      <c r="G126" s="6"/>
    </row>
    <row r="127" spans="2:7">
      <c r="B127" s="5">
        <v>6</v>
      </c>
      <c r="C127" s="39" t="s">
        <v>18</v>
      </c>
      <c r="G127" s="6"/>
    </row>
    <row r="128" spans="2:7">
      <c r="B128" s="5">
        <v>7</v>
      </c>
      <c r="C128" s="39" t="s">
        <v>1415</v>
      </c>
      <c r="G128" s="6"/>
    </row>
    <row r="129" spans="2:7">
      <c r="B129" s="5">
        <v>8</v>
      </c>
      <c r="C129" s="39" t="s">
        <v>1329</v>
      </c>
      <c r="G129" s="6"/>
    </row>
    <row r="130" spans="2:7">
      <c r="B130" s="5">
        <v>9</v>
      </c>
      <c r="C130" s="39" t="s">
        <v>1235</v>
      </c>
      <c r="G130" s="6"/>
    </row>
    <row r="131" spans="2:7">
      <c r="B131" s="5">
        <v>10</v>
      </c>
      <c r="C131" s="39" t="s">
        <v>607</v>
      </c>
      <c r="G131" s="6"/>
    </row>
    <row r="132" spans="2:7">
      <c r="B132" s="5">
        <v>11</v>
      </c>
      <c r="C132" s="39" t="s">
        <v>214</v>
      </c>
      <c r="G132" s="6"/>
    </row>
    <row r="133" spans="2:7">
      <c r="B133" s="5">
        <v>12</v>
      </c>
      <c r="C133" s="39" t="s">
        <v>1198</v>
      </c>
      <c r="G133" s="6"/>
    </row>
    <row r="134" spans="2:7">
      <c r="B134" s="5">
        <v>13</v>
      </c>
      <c r="C134" s="39" t="s">
        <v>1112</v>
      </c>
      <c r="G134" s="6"/>
    </row>
    <row r="135" spans="2:7">
      <c r="B135" s="5">
        <v>14</v>
      </c>
      <c r="C135" s="39" t="s">
        <v>1403</v>
      </c>
      <c r="G135" s="6"/>
    </row>
    <row r="136" spans="2:7">
      <c r="B136" s="5">
        <v>15</v>
      </c>
      <c r="C136" s="39" t="s">
        <v>1340</v>
      </c>
      <c r="G136" s="6"/>
    </row>
    <row r="137" spans="2:7">
      <c r="B137" s="18"/>
      <c r="G137" s="6"/>
    </row>
    <row r="138" spans="2:7">
      <c r="B138" s="18"/>
      <c r="C138" s="39" t="s">
        <v>325</v>
      </c>
      <c r="G138" s="6"/>
    </row>
    <row r="139" spans="2:7">
      <c r="B139" s="18"/>
      <c r="C139" s="198" t="s">
        <v>1405</v>
      </c>
      <c r="G139" s="6"/>
    </row>
    <row r="140" spans="2:7">
      <c r="B140" s="18"/>
      <c r="C140" s="198" t="s">
        <v>1406</v>
      </c>
      <c r="G140" s="6"/>
    </row>
    <row r="141" spans="2:7">
      <c r="B141" s="18"/>
      <c r="C141" s="198" t="s">
        <v>1347</v>
      </c>
      <c r="G141" s="6"/>
    </row>
    <row r="142" spans="2:7">
      <c r="B142" s="18"/>
      <c r="G142" s="6"/>
    </row>
    <row r="143" spans="2:7">
      <c r="B143" s="203"/>
      <c r="C143" s="2" t="s">
        <v>21</v>
      </c>
      <c r="G143" s="6"/>
    </row>
    <row r="144" spans="2:7">
      <c r="B144" s="82" t="s">
        <v>336</v>
      </c>
      <c r="C144" s="198" t="s">
        <v>1113</v>
      </c>
      <c r="G144" s="6"/>
    </row>
    <row r="145" spans="2:7">
      <c r="B145" s="82" t="s">
        <v>336</v>
      </c>
      <c r="C145" s="198" t="s">
        <v>214</v>
      </c>
      <c r="G145" s="6"/>
    </row>
    <row r="146" spans="2:7">
      <c r="B146" s="82" t="s">
        <v>336</v>
      </c>
      <c r="C146" s="198" t="s">
        <v>1235</v>
      </c>
      <c r="G146" s="6"/>
    </row>
    <row r="147" spans="2:7">
      <c r="B147" s="18"/>
      <c r="C147" s="39"/>
      <c r="G147" s="6"/>
    </row>
    <row r="148" spans="2:7">
      <c r="B148" s="18"/>
      <c r="C148" s="15" t="s">
        <v>337</v>
      </c>
      <c r="G148" s="6"/>
    </row>
    <row r="149" spans="2:7">
      <c r="B149" s="82" t="s">
        <v>336</v>
      </c>
      <c r="C149" s="198" t="s">
        <v>236</v>
      </c>
      <c r="G149" s="6"/>
    </row>
    <row r="150" spans="2:7">
      <c r="B150" s="18"/>
      <c r="G150" s="6"/>
    </row>
    <row r="151" spans="2:7">
      <c r="B151" s="18"/>
      <c r="C151" s="15" t="s">
        <v>22</v>
      </c>
      <c r="G151" s="6"/>
    </row>
    <row r="152" spans="2:7">
      <c r="B152" s="82" t="s">
        <v>336</v>
      </c>
      <c r="C152" s="39" t="s">
        <v>236</v>
      </c>
      <c r="G152" s="6"/>
    </row>
    <row r="153" spans="2:7">
      <c r="B153" s="18"/>
      <c r="G153" s="6"/>
    </row>
    <row r="154" spans="2:7">
      <c r="B154" s="18"/>
      <c r="C154" s="15" t="s">
        <v>24</v>
      </c>
      <c r="G154" s="6"/>
    </row>
    <row r="155" spans="2:7">
      <c r="B155" s="82" t="s">
        <v>336</v>
      </c>
      <c r="C155" s="66" t="s">
        <v>607</v>
      </c>
      <c r="G155" s="6"/>
    </row>
    <row r="156" spans="2:7">
      <c r="B156" s="82"/>
      <c r="C156" s="66"/>
      <c r="G156" s="6"/>
    </row>
    <row r="157" spans="2:7">
      <c r="B157" s="82"/>
      <c r="C157" s="15" t="s">
        <v>23</v>
      </c>
      <c r="G157" s="6"/>
    </row>
    <row r="158" spans="2:7">
      <c r="B158" s="82" t="s">
        <v>336</v>
      </c>
      <c r="C158" s="66" t="s">
        <v>327</v>
      </c>
      <c r="G158" s="6"/>
    </row>
    <row r="159" spans="2:7" ht="13.5" thickBot="1">
      <c r="B159" s="163"/>
      <c r="C159" s="20"/>
      <c r="D159" s="20"/>
      <c r="E159" s="8"/>
      <c r="F159" s="20"/>
      <c r="G159" s="9"/>
    </row>
    <row r="161" spans="2:7" ht="13.5" thickBot="1"/>
    <row r="162" spans="2:7" ht="13.5" thickBot="1">
      <c r="B162" s="236">
        <v>45395</v>
      </c>
      <c r="C162" s="237"/>
      <c r="D162" s="237"/>
      <c r="E162" s="237"/>
      <c r="F162" s="237"/>
      <c r="G162" s="238"/>
    </row>
    <row r="163" spans="2:7" ht="13.5" thickBot="1">
      <c r="B163" s="18"/>
      <c r="G163" s="6"/>
    </row>
    <row r="164" spans="2:7">
      <c r="B164" s="18"/>
      <c r="C164" s="21" t="s">
        <v>27</v>
      </c>
      <c r="D164" s="16"/>
      <c r="E164" s="80" t="s">
        <v>1</v>
      </c>
      <c r="F164" s="4">
        <v>26</v>
      </c>
      <c r="G164" s="6"/>
    </row>
    <row r="165" spans="2:7" ht="13.5" thickBot="1">
      <c r="B165" s="18"/>
      <c r="C165" s="7"/>
      <c r="D165" s="20"/>
      <c r="E165" s="83" t="s">
        <v>1401</v>
      </c>
      <c r="F165" s="22">
        <v>25</v>
      </c>
      <c r="G165" s="6"/>
    </row>
    <row r="166" spans="2:7" ht="13.5" thickBot="1">
      <c r="B166" s="18"/>
      <c r="G166" s="6"/>
    </row>
    <row r="167" spans="2:7">
      <c r="B167" s="18"/>
      <c r="C167" s="3" t="s">
        <v>4</v>
      </c>
      <c r="D167" s="16"/>
      <c r="E167" s="80" t="s">
        <v>1</v>
      </c>
      <c r="F167" s="84" t="s">
        <v>205</v>
      </c>
      <c r="G167" s="6"/>
    </row>
    <row r="168" spans="2:7">
      <c r="B168" s="18"/>
      <c r="C168" s="5" t="s">
        <v>2</v>
      </c>
      <c r="E168" s="39" t="s">
        <v>865</v>
      </c>
      <c r="F168" s="6"/>
      <c r="G168" s="6"/>
    </row>
    <row r="169" spans="2:7" ht="13.5" thickBot="1">
      <c r="B169" s="18"/>
      <c r="C169" s="7" t="s">
        <v>3</v>
      </c>
      <c r="D169" s="20"/>
      <c r="E169" s="81" t="s">
        <v>757</v>
      </c>
      <c r="F169" s="9"/>
      <c r="G169" s="6"/>
    </row>
    <row r="170" spans="2:7" ht="13.5" thickBot="1">
      <c r="B170" s="18"/>
      <c r="G170" s="6"/>
    </row>
    <row r="171" spans="2:7" ht="13.5" thickBot="1">
      <c r="B171" s="18"/>
      <c r="C171" s="23"/>
      <c r="D171" s="24"/>
      <c r="E171" s="87" t="s">
        <v>1333</v>
      </c>
      <c r="F171" s="25"/>
      <c r="G171" s="6"/>
    </row>
    <row r="172" spans="2:7">
      <c r="B172" s="18"/>
      <c r="G172" s="6"/>
    </row>
    <row r="173" spans="2:7">
      <c r="B173" s="203"/>
      <c r="C173" t="s">
        <v>5</v>
      </c>
      <c r="G173" s="6"/>
    </row>
    <row r="174" spans="2:7">
      <c r="B174" s="203"/>
      <c r="G174" s="6"/>
    </row>
    <row r="175" spans="2:7">
      <c r="B175" s="5">
        <v>1</v>
      </c>
      <c r="C175" s="39" t="s">
        <v>327</v>
      </c>
      <c r="G175" s="6"/>
    </row>
    <row r="176" spans="2:7">
      <c r="B176" s="5">
        <v>2</v>
      </c>
      <c r="C176" s="39" t="s">
        <v>1113</v>
      </c>
      <c r="G176" s="6"/>
    </row>
    <row r="177" spans="2:7">
      <c r="B177" s="5">
        <v>3</v>
      </c>
      <c r="C177" s="39" t="s">
        <v>1314</v>
      </c>
      <c r="G177" s="6"/>
    </row>
    <row r="178" spans="2:7">
      <c r="B178" s="5">
        <v>4</v>
      </c>
      <c r="C178" s="39" t="s">
        <v>1106</v>
      </c>
      <c r="G178" s="6"/>
    </row>
    <row r="179" spans="2:7">
      <c r="B179" s="5">
        <v>5</v>
      </c>
      <c r="C179" s="39" t="s">
        <v>207</v>
      </c>
      <c r="G179" s="6"/>
    </row>
    <row r="180" spans="2:7">
      <c r="B180" s="5">
        <v>6</v>
      </c>
      <c r="C180" s="39" t="s">
        <v>18</v>
      </c>
      <c r="G180" s="6"/>
    </row>
    <row r="181" spans="2:7">
      <c r="B181" s="5">
        <v>7</v>
      </c>
      <c r="C181" s="39" t="s">
        <v>1415</v>
      </c>
      <c r="G181" s="6"/>
    </row>
    <row r="182" spans="2:7">
      <c r="B182" s="5">
        <v>8</v>
      </c>
      <c r="C182" s="39" t="s">
        <v>1329</v>
      </c>
      <c r="G182" s="6"/>
    </row>
    <row r="183" spans="2:7">
      <c r="B183" s="5">
        <v>9</v>
      </c>
      <c r="C183" s="39" t="s">
        <v>1235</v>
      </c>
      <c r="G183" s="6"/>
    </row>
    <row r="184" spans="2:7">
      <c r="B184" s="5">
        <v>10</v>
      </c>
      <c r="C184" s="39" t="s">
        <v>607</v>
      </c>
      <c r="G184" s="6"/>
    </row>
    <row r="185" spans="2:7">
      <c r="B185" s="5">
        <v>11</v>
      </c>
      <c r="C185" s="39" t="s">
        <v>214</v>
      </c>
      <c r="G185" s="6"/>
    </row>
    <row r="186" spans="2:7">
      <c r="B186" s="5">
        <v>12</v>
      </c>
      <c r="C186" s="39" t="s">
        <v>1198</v>
      </c>
      <c r="G186" s="6"/>
    </row>
    <row r="187" spans="2:7">
      <c r="B187" s="5">
        <v>13</v>
      </c>
      <c r="C187" s="39" t="s">
        <v>1112</v>
      </c>
      <c r="G187" s="6"/>
    </row>
    <row r="188" spans="2:7">
      <c r="B188" s="5">
        <v>14</v>
      </c>
      <c r="C188" s="39" t="s">
        <v>1403</v>
      </c>
      <c r="G188" s="6"/>
    </row>
    <row r="189" spans="2:7">
      <c r="B189" s="5">
        <v>15</v>
      </c>
      <c r="C189" s="39" t="s">
        <v>1340</v>
      </c>
      <c r="G189" s="6"/>
    </row>
    <row r="190" spans="2:7">
      <c r="B190" s="18"/>
      <c r="G190" s="6"/>
    </row>
    <row r="191" spans="2:7">
      <c r="B191" s="18"/>
      <c r="C191" s="39" t="s">
        <v>325</v>
      </c>
      <c r="G191" s="6"/>
    </row>
    <row r="192" spans="2:7">
      <c r="B192" s="18"/>
      <c r="C192" s="198" t="s">
        <v>1405</v>
      </c>
      <c r="G192" s="6"/>
    </row>
    <row r="193" spans="2:7">
      <c r="B193" s="18"/>
      <c r="C193" s="198" t="s">
        <v>1406</v>
      </c>
      <c r="G193" s="6"/>
    </row>
    <row r="194" spans="2:7">
      <c r="B194" s="18"/>
      <c r="C194" s="198" t="s">
        <v>1347</v>
      </c>
      <c r="G194" s="6"/>
    </row>
    <row r="195" spans="2:7">
      <c r="B195" s="18"/>
      <c r="C195" s="198" t="s">
        <v>1418</v>
      </c>
      <c r="G195" s="6"/>
    </row>
    <row r="196" spans="2:7">
      <c r="B196" s="18"/>
      <c r="C196" s="198" t="s">
        <v>1419</v>
      </c>
      <c r="G196" s="6"/>
    </row>
    <row r="197" spans="2:7">
      <c r="B197" s="18"/>
      <c r="G197" s="6"/>
    </row>
    <row r="198" spans="2:7">
      <c r="B198" s="203"/>
      <c r="C198" s="2" t="s">
        <v>21</v>
      </c>
      <c r="G198" s="6"/>
    </row>
    <row r="199" spans="2:7">
      <c r="B199" s="82" t="s">
        <v>336</v>
      </c>
      <c r="C199" s="198" t="s">
        <v>236</v>
      </c>
      <c r="G199" s="6"/>
    </row>
    <row r="200" spans="2:7">
      <c r="B200" s="82" t="s">
        <v>336</v>
      </c>
      <c r="C200" s="198" t="s">
        <v>56</v>
      </c>
      <c r="G200" s="6"/>
    </row>
    <row r="201" spans="2:7">
      <c r="B201" s="18"/>
      <c r="C201" s="39"/>
      <c r="G201" s="6"/>
    </row>
    <row r="202" spans="2:7">
      <c r="B202" s="18"/>
      <c r="C202" s="15" t="s">
        <v>337</v>
      </c>
      <c r="G202" s="6"/>
    </row>
    <row r="203" spans="2:7">
      <c r="B203" s="82" t="s">
        <v>336</v>
      </c>
      <c r="C203" s="198" t="s">
        <v>236</v>
      </c>
      <c r="G203" s="6"/>
    </row>
    <row r="204" spans="2:7">
      <c r="B204" s="18"/>
      <c r="G204" s="6"/>
    </row>
    <row r="205" spans="2:7">
      <c r="B205" s="18"/>
      <c r="C205" s="15" t="s">
        <v>22</v>
      </c>
      <c r="G205" s="6"/>
    </row>
    <row r="206" spans="2:7">
      <c r="B206" s="82" t="s">
        <v>335</v>
      </c>
      <c r="C206" s="39" t="s">
        <v>236</v>
      </c>
      <c r="G206" s="6"/>
    </row>
    <row r="207" spans="2:7">
      <c r="B207" s="18"/>
      <c r="G207" s="6"/>
    </row>
    <row r="208" spans="2:7">
      <c r="B208" s="18"/>
      <c r="C208" s="15" t="s">
        <v>24</v>
      </c>
      <c r="G208" s="6"/>
    </row>
    <row r="209" spans="2:7">
      <c r="B209" s="82" t="s">
        <v>336</v>
      </c>
      <c r="C209" s="66" t="s">
        <v>214</v>
      </c>
      <c r="G209" s="6"/>
    </row>
    <row r="210" spans="2:7">
      <c r="B210" s="82"/>
      <c r="C210" s="66"/>
      <c r="G210" s="6"/>
    </row>
    <row r="211" spans="2:7">
      <c r="B211" s="82"/>
      <c r="C211" s="15" t="s">
        <v>23</v>
      </c>
      <c r="G211" s="6"/>
    </row>
    <row r="212" spans="2:7">
      <c r="B212" s="82" t="s">
        <v>336</v>
      </c>
      <c r="C212" s="66" t="s">
        <v>207</v>
      </c>
      <c r="G212" s="6"/>
    </row>
    <row r="213" spans="2:7">
      <c r="B213" s="82" t="s">
        <v>336</v>
      </c>
      <c r="C213" s="66" t="s">
        <v>1235</v>
      </c>
      <c r="G213" s="6"/>
    </row>
    <row r="214" spans="2:7">
      <c r="B214" s="82" t="s">
        <v>336</v>
      </c>
      <c r="C214" s="66" t="s">
        <v>140</v>
      </c>
      <c r="G214" s="6"/>
    </row>
    <row r="215" spans="2:7">
      <c r="B215" s="82" t="s">
        <v>336</v>
      </c>
      <c r="C215" s="66" t="s">
        <v>1324</v>
      </c>
      <c r="G215" s="6"/>
    </row>
    <row r="216" spans="2:7" ht="13.5" thickBot="1">
      <c r="B216" s="163"/>
      <c r="C216" s="20"/>
      <c r="D216" s="20"/>
      <c r="E216" s="8"/>
      <c r="F216" s="20"/>
      <c r="G216" s="9"/>
    </row>
    <row r="217" spans="2:7">
      <c r="B217" s="121"/>
      <c r="C217" s="16"/>
      <c r="D217" s="16"/>
      <c r="E217" s="120"/>
      <c r="F217" s="16"/>
      <c r="G217" s="16"/>
    </row>
    <row r="218" spans="2:7" ht="13.5" thickBot="1">
      <c r="B218" s="168"/>
      <c r="C218" s="20"/>
      <c r="D218" s="20"/>
      <c r="E218" s="83"/>
      <c r="F218" s="83"/>
      <c r="G218" s="20"/>
    </row>
    <row r="219" spans="2:7" ht="13.5" thickBot="1">
      <c r="B219" s="236">
        <v>45402</v>
      </c>
      <c r="C219" s="237"/>
      <c r="D219" s="237"/>
      <c r="E219" s="237"/>
      <c r="F219" s="237"/>
      <c r="G219" s="238"/>
    </row>
    <row r="220" spans="2:7" ht="13.5" thickBot="1">
      <c r="B220" s="18"/>
      <c r="G220" s="6"/>
    </row>
    <row r="221" spans="2:7">
      <c r="B221" s="18"/>
      <c r="C221" s="21" t="s">
        <v>27</v>
      </c>
      <c r="D221" s="16"/>
      <c r="E221" s="80" t="s">
        <v>229</v>
      </c>
      <c r="F221" s="4">
        <v>23</v>
      </c>
      <c r="G221" s="6"/>
    </row>
    <row r="222" spans="2:7" ht="13.5" thickBot="1">
      <c r="B222" s="18"/>
      <c r="C222" s="7"/>
      <c r="D222" s="20"/>
      <c r="E222" s="83" t="s">
        <v>1</v>
      </c>
      <c r="F222" s="22">
        <v>24</v>
      </c>
      <c r="G222" s="6"/>
    </row>
    <row r="223" spans="2:7" ht="13.5" thickBot="1">
      <c r="B223" s="18"/>
      <c r="G223" s="6"/>
    </row>
    <row r="224" spans="2:7">
      <c r="B224" s="18"/>
      <c r="C224" s="3" t="s">
        <v>4</v>
      </c>
      <c r="D224" s="16"/>
      <c r="E224" s="80" t="s">
        <v>229</v>
      </c>
      <c r="F224" s="84"/>
      <c r="G224" s="6"/>
    </row>
    <row r="225" spans="2:7">
      <c r="B225" s="18"/>
      <c r="C225" s="5" t="s">
        <v>2</v>
      </c>
      <c r="E225" s="39" t="s">
        <v>326</v>
      </c>
      <c r="F225" s="6"/>
      <c r="G225" s="6"/>
    </row>
    <row r="226" spans="2:7" ht="13.5" thickBot="1">
      <c r="B226" s="18"/>
      <c r="C226" s="7" t="s">
        <v>3</v>
      </c>
      <c r="D226" s="20"/>
      <c r="E226" s="81" t="s">
        <v>326</v>
      </c>
      <c r="F226" s="9"/>
      <c r="G226" s="6"/>
    </row>
    <row r="227" spans="2:7" ht="13.5" thickBot="1">
      <c r="B227" s="18"/>
      <c r="G227" s="6"/>
    </row>
    <row r="228" spans="2:7" ht="13.5" thickBot="1">
      <c r="B228" s="18"/>
      <c r="C228" s="23"/>
      <c r="D228" s="24"/>
      <c r="E228" s="87" t="s">
        <v>1411</v>
      </c>
      <c r="F228" s="25"/>
      <c r="G228" s="6"/>
    </row>
    <row r="229" spans="2:7">
      <c r="B229" s="18"/>
      <c r="G229" s="6"/>
    </row>
    <row r="230" spans="2:7">
      <c r="B230" s="203"/>
      <c r="C230" t="s">
        <v>5</v>
      </c>
      <c r="G230" s="6"/>
    </row>
    <row r="231" spans="2:7">
      <c r="B231" s="203"/>
      <c r="G231" s="6"/>
    </row>
    <row r="232" spans="2:7">
      <c r="B232" s="5">
        <v>1</v>
      </c>
      <c r="C232" s="39" t="s">
        <v>327</v>
      </c>
      <c r="G232" s="6"/>
    </row>
    <row r="233" spans="2:7">
      <c r="B233" s="5">
        <v>2</v>
      </c>
      <c r="C233" s="39" t="s">
        <v>1113</v>
      </c>
      <c r="G233" s="6"/>
    </row>
    <row r="234" spans="2:7">
      <c r="B234" s="5">
        <v>3</v>
      </c>
      <c r="C234" s="39" t="s">
        <v>1314</v>
      </c>
      <c r="G234" s="6"/>
    </row>
    <row r="235" spans="2:7">
      <c r="B235" s="5">
        <v>4</v>
      </c>
      <c r="C235" s="39" t="s">
        <v>1106</v>
      </c>
      <c r="G235" s="6"/>
    </row>
    <row r="236" spans="2:7">
      <c r="B236" s="5">
        <v>5</v>
      </c>
      <c r="C236" s="39" t="s">
        <v>207</v>
      </c>
      <c r="G236" s="6"/>
    </row>
    <row r="237" spans="2:7">
      <c r="B237" s="5">
        <v>6</v>
      </c>
      <c r="C237" s="39" t="s">
        <v>18</v>
      </c>
      <c r="G237" s="6"/>
    </row>
    <row r="238" spans="2:7">
      <c r="B238" s="5">
        <v>7</v>
      </c>
      <c r="C238" s="39" t="s">
        <v>1415</v>
      </c>
      <c r="G238" s="6"/>
    </row>
    <row r="239" spans="2:7">
      <c r="B239" s="5">
        <v>8</v>
      </c>
      <c r="C239" s="39" t="s">
        <v>1329</v>
      </c>
      <c r="G239" s="6"/>
    </row>
    <row r="240" spans="2:7">
      <c r="B240" s="5">
        <v>9</v>
      </c>
      <c r="C240" s="39" t="s">
        <v>1235</v>
      </c>
      <c r="G240" s="6"/>
    </row>
    <row r="241" spans="2:7">
      <c r="B241" s="5">
        <v>10</v>
      </c>
      <c r="C241" s="39" t="s">
        <v>607</v>
      </c>
      <c r="G241" s="6"/>
    </row>
    <row r="242" spans="2:7">
      <c r="B242" s="5">
        <v>11</v>
      </c>
      <c r="C242" s="39" t="s">
        <v>214</v>
      </c>
      <c r="G242" s="6"/>
    </row>
    <row r="243" spans="2:7">
      <c r="B243" s="5">
        <v>12</v>
      </c>
      <c r="C243" s="39" t="s">
        <v>1198</v>
      </c>
      <c r="G243" s="6"/>
    </row>
    <row r="244" spans="2:7">
      <c r="B244" s="5">
        <v>13</v>
      </c>
      <c r="C244" s="39" t="s">
        <v>1112</v>
      </c>
      <c r="G244" s="6"/>
    </row>
    <row r="245" spans="2:7">
      <c r="B245" s="5">
        <v>14</v>
      </c>
      <c r="C245" s="39" t="s">
        <v>1403</v>
      </c>
      <c r="G245" s="6"/>
    </row>
    <row r="246" spans="2:7">
      <c r="B246" s="5">
        <v>15</v>
      </c>
      <c r="C246" s="39" t="s">
        <v>1340</v>
      </c>
      <c r="G246" s="6"/>
    </row>
    <row r="247" spans="2:7">
      <c r="B247" s="18"/>
      <c r="G247" s="6"/>
    </row>
    <row r="248" spans="2:7">
      <c r="B248" s="18"/>
      <c r="C248" s="39" t="s">
        <v>325</v>
      </c>
      <c r="G248" s="6"/>
    </row>
    <row r="249" spans="2:7">
      <c r="B249" s="18"/>
      <c r="C249" s="198" t="s">
        <v>1405</v>
      </c>
      <c r="G249" s="6"/>
    </row>
    <row r="250" spans="2:7">
      <c r="B250" s="18"/>
      <c r="C250" s="198" t="s">
        <v>1406</v>
      </c>
      <c r="G250" s="6"/>
    </row>
    <row r="251" spans="2:7">
      <c r="B251" s="18"/>
      <c r="C251" s="198" t="s">
        <v>1347</v>
      </c>
      <c r="G251" s="6"/>
    </row>
    <row r="252" spans="2:7">
      <c r="B252" s="18"/>
      <c r="C252" s="198" t="s">
        <v>1419</v>
      </c>
      <c r="G252" s="6"/>
    </row>
    <row r="253" spans="2:7">
      <c r="B253" s="18"/>
      <c r="G253" s="6"/>
    </row>
    <row r="254" spans="2:7">
      <c r="B254" s="203"/>
      <c r="C254" s="2" t="s">
        <v>21</v>
      </c>
      <c r="G254" s="6"/>
    </row>
    <row r="255" spans="2:7">
      <c r="B255" s="82" t="s">
        <v>336</v>
      </c>
      <c r="C255" s="198" t="s">
        <v>1329</v>
      </c>
      <c r="G255" s="6"/>
    </row>
    <row r="256" spans="2:7">
      <c r="B256" s="82" t="s">
        <v>352</v>
      </c>
      <c r="C256" s="198" t="s">
        <v>56</v>
      </c>
      <c r="G256" s="6"/>
    </row>
    <row r="257" spans="2:7">
      <c r="B257" s="18"/>
      <c r="C257" s="39"/>
      <c r="G257" s="6"/>
    </row>
    <row r="258" spans="2:7">
      <c r="B258" s="18"/>
      <c r="C258" s="15" t="s">
        <v>337</v>
      </c>
      <c r="G258" s="6"/>
    </row>
    <row r="259" spans="2:7">
      <c r="B259" s="82" t="s">
        <v>336</v>
      </c>
      <c r="C259" s="198" t="s">
        <v>236</v>
      </c>
      <c r="G259" s="6"/>
    </row>
    <row r="260" spans="2:7">
      <c r="B260" s="18"/>
      <c r="G260" s="6"/>
    </row>
    <row r="261" spans="2:7">
      <c r="B261" s="18"/>
      <c r="C261" s="15" t="s">
        <v>22</v>
      </c>
      <c r="G261" s="6"/>
    </row>
    <row r="262" spans="2:7">
      <c r="B262" s="82" t="s">
        <v>336</v>
      </c>
      <c r="C262" s="39" t="s">
        <v>236</v>
      </c>
      <c r="G262" s="6"/>
    </row>
    <row r="263" spans="2:7">
      <c r="B263" s="18"/>
      <c r="G263" s="6"/>
    </row>
    <row r="264" spans="2:7">
      <c r="B264" s="82"/>
      <c r="C264" s="15" t="s">
        <v>23</v>
      </c>
      <c r="G264" s="6"/>
    </row>
    <row r="265" spans="2:7">
      <c r="B265" s="82" t="s">
        <v>336</v>
      </c>
      <c r="C265" s="66" t="s">
        <v>1415</v>
      </c>
      <c r="G265" s="6"/>
    </row>
    <row r="266" spans="2:7" ht="13.5" thickBot="1">
      <c r="B266" s="163"/>
      <c r="C266" s="20"/>
      <c r="D266" s="20"/>
      <c r="E266" s="8"/>
      <c r="F266" s="20"/>
      <c r="G266" s="9"/>
    </row>
    <row r="267" spans="2:7">
      <c r="B267" s="175"/>
      <c r="C267" s="16"/>
      <c r="D267" s="16"/>
      <c r="E267" s="120"/>
      <c r="F267" s="16"/>
      <c r="G267" s="16"/>
    </row>
    <row r="268" spans="2:7" ht="13.5" thickBot="1">
      <c r="B268" s="176"/>
      <c r="C268" s="20"/>
      <c r="D268" s="20"/>
      <c r="E268" s="8"/>
      <c r="F268" s="20"/>
      <c r="G268" s="20"/>
    </row>
    <row r="269" spans="2:7" ht="13.5" thickBot="1">
      <c r="B269" s="236">
        <v>45409</v>
      </c>
      <c r="C269" s="237"/>
      <c r="D269" s="237"/>
      <c r="E269" s="237"/>
      <c r="F269" s="237"/>
      <c r="G269" s="238"/>
    </row>
    <row r="270" spans="2:7" ht="13.5" thickBot="1">
      <c r="B270" s="18"/>
      <c r="G270" s="6"/>
    </row>
    <row r="271" spans="2:7">
      <c r="B271" s="18"/>
      <c r="C271" s="21" t="s">
        <v>27</v>
      </c>
      <c r="D271" s="16"/>
      <c r="E271" s="80" t="s">
        <v>1</v>
      </c>
      <c r="F271" s="4">
        <v>13</v>
      </c>
      <c r="G271" s="6"/>
    </row>
    <row r="272" spans="2:7" ht="13.5" thickBot="1">
      <c r="B272" s="18"/>
      <c r="C272" s="7"/>
      <c r="D272" s="20"/>
      <c r="E272" s="83" t="s">
        <v>103</v>
      </c>
      <c r="F272" s="22">
        <v>10</v>
      </c>
      <c r="G272" s="6"/>
    </row>
    <row r="273" spans="2:7" ht="13.5" thickBot="1">
      <c r="B273" s="18"/>
      <c r="G273" s="6"/>
    </row>
    <row r="274" spans="2:7">
      <c r="B274" s="18"/>
      <c r="C274" s="3" t="s">
        <v>4</v>
      </c>
      <c r="D274" s="16"/>
      <c r="E274" s="80" t="s">
        <v>1</v>
      </c>
      <c r="F274" s="84" t="s">
        <v>593</v>
      </c>
      <c r="G274" s="6"/>
    </row>
    <row r="275" spans="2:7">
      <c r="B275" s="18"/>
      <c r="C275" s="5" t="s">
        <v>2</v>
      </c>
      <c r="E275" s="39" t="s">
        <v>404</v>
      </c>
      <c r="F275" s="6"/>
      <c r="G275" s="6"/>
    </row>
    <row r="276" spans="2:7" ht="13.5" thickBot="1">
      <c r="B276" s="18"/>
      <c r="C276" s="7" t="s">
        <v>3</v>
      </c>
      <c r="D276" s="20"/>
      <c r="E276" s="81" t="s">
        <v>385</v>
      </c>
      <c r="F276" s="9"/>
      <c r="G276" s="6"/>
    </row>
    <row r="277" spans="2:7" ht="13.5" thickBot="1">
      <c r="B277" s="18"/>
      <c r="G277" s="6"/>
    </row>
    <row r="278" spans="2:7" ht="13.5" thickBot="1">
      <c r="B278" s="18"/>
      <c r="C278" s="23"/>
      <c r="D278" s="24"/>
      <c r="E278" s="87" t="s">
        <v>1392</v>
      </c>
      <c r="F278" s="25"/>
      <c r="G278" s="6"/>
    </row>
    <row r="279" spans="2:7">
      <c r="B279" s="18"/>
      <c r="G279" s="6"/>
    </row>
    <row r="280" spans="2:7">
      <c r="B280" s="203"/>
      <c r="C280" t="s">
        <v>5</v>
      </c>
      <c r="G280" s="6"/>
    </row>
    <row r="281" spans="2:7">
      <c r="B281" s="203"/>
      <c r="G281" s="6"/>
    </row>
    <row r="282" spans="2:7">
      <c r="B282" s="5">
        <v>1</v>
      </c>
      <c r="C282" s="39" t="s">
        <v>327</v>
      </c>
      <c r="G282" s="6"/>
    </row>
    <row r="283" spans="2:7">
      <c r="B283" s="5">
        <v>2</v>
      </c>
      <c r="C283" s="39" t="s">
        <v>1113</v>
      </c>
      <c r="G283" s="6"/>
    </row>
    <row r="284" spans="2:7">
      <c r="B284" s="5">
        <v>3</v>
      </c>
      <c r="C284" s="39" t="s">
        <v>1314</v>
      </c>
      <c r="G284" s="6"/>
    </row>
    <row r="285" spans="2:7">
      <c r="B285" s="5">
        <v>4</v>
      </c>
      <c r="C285" s="39" t="s">
        <v>1106</v>
      </c>
      <c r="G285" s="6"/>
    </row>
    <row r="286" spans="2:7">
      <c r="B286" s="5">
        <v>5</v>
      </c>
      <c r="C286" s="39" t="s">
        <v>207</v>
      </c>
      <c r="G286" s="6"/>
    </row>
    <row r="287" spans="2:7">
      <c r="B287" s="5">
        <v>6</v>
      </c>
      <c r="C287" s="39" t="s">
        <v>18</v>
      </c>
      <c r="G287" s="6"/>
    </row>
    <row r="288" spans="2:7">
      <c r="B288" s="5">
        <v>7</v>
      </c>
      <c r="C288" s="39" t="s">
        <v>1324</v>
      </c>
      <c r="G288" s="6"/>
    </row>
    <row r="289" spans="2:7">
      <c r="B289" s="5">
        <v>8</v>
      </c>
      <c r="C289" s="39" t="s">
        <v>1329</v>
      </c>
      <c r="G289" s="6"/>
    </row>
    <row r="290" spans="2:7">
      <c r="B290" s="5">
        <v>9</v>
      </c>
      <c r="C290" s="39" t="s">
        <v>1235</v>
      </c>
      <c r="G290" s="6"/>
    </row>
    <row r="291" spans="2:7">
      <c r="B291" s="5">
        <v>10</v>
      </c>
      <c r="C291" s="39" t="s">
        <v>607</v>
      </c>
      <c r="G291" s="6"/>
    </row>
    <row r="292" spans="2:7">
      <c r="B292" s="5">
        <v>11</v>
      </c>
      <c r="C292" s="39" t="s">
        <v>214</v>
      </c>
      <c r="G292" s="6"/>
    </row>
    <row r="293" spans="2:7">
      <c r="B293" s="5">
        <v>12</v>
      </c>
      <c r="C293" s="39" t="s">
        <v>1198</v>
      </c>
      <c r="G293" s="6"/>
    </row>
    <row r="294" spans="2:7">
      <c r="B294" s="5">
        <v>13</v>
      </c>
      <c r="C294" s="39" t="s">
        <v>1112</v>
      </c>
      <c r="G294" s="6"/>
    </row>
    <row r="295" spans="2:7">
      <c r="B295" s="5">
        <v>14</v>
      </c>
      <c r="C295" s="39" t="s">
        <v>1403</v>
      </c>
      <c r="G295" s="6"/>
    </row>
    <row r="296" spans="2:7">
      <c r="B296" s="5">
        <v>15</v>
      </c>
      <c r="C296" s="39" t="s">
        <v>1340</v>
      </c>
      <c r="G296" s="6"/>
    </row>
    <row r="297" spans="2:7">
      <c r="B297" s="18"/>
      <c r="G297" s="6"/>
    </row>
    <row r="298" spans="2:7">
      <c r="B298" s="18"/>
      <c r="C298" s="39" t="s">
        <v>325</v>
      </c>
      <c r="G298" s="6"/>
    </row>
    <row r="299" spans="2:7">
      <c r="B299" s="18"/>
      <c r="C299" s="198" t="s">
        <v>1405</v>
      </c>
      <c r="G299" s="6"/>
    </row>
    <row r="300" spans="2:7">
      <c r="B300" s="18"/>
      <c r="C300" s="198" t="s">
        <v>1406</v>
      </c>
      <c r="G300" s="6"/>
    </row>
    <row r="301" spans="2:7">
      <c r="B301" s="18"/>
      <c r="C301" s="198" t="s">
        <v>1347</v>
      </c>
      <c r="G301" s="6"/>
    </row>
    <row r="302" spans="2:7">
      <c r="B302" s="18"/>
      <c r="C302" s="198" t="s">
        <v>1323</v>
      </c>
      <c r="G302" s="6"/>
    </row>
    <row r="303" spans="2:7">
      <c r="B303" s="18"/>
      <c r="C303" s="198" t="s">
        <v>1420</v>
      </c>
      <c r="G303" s="6"/>
    </row>
    <row r="304" spans="2:7">
      <c r="B304" s="18"/>
      <c r="G304" s="6"/>
    </row>
    <row r="305" spans="2:7">
      <c r="B305" s="203"/>
      <c r="C305" s="2" t="s">
        <v>21</v>
      </c>
      <c r="G305" s="6"/>
    </row>
    <row r="306" spans="2:7">
      <c r="B306" s="82" t="s">
        <v>336</v>
      </c>
      <c r="C306" s="198" t="s">
        <v>1105</v>
      </c>
      <c r="G306" s="6"/>
    </row>
    <row r="307" spans="2:7">
      <c r="B307" s="18"/>
      <c r="C307" s="39"/>
      <c r="G307" s="6"/>
    </row>
    <row r="308" spans="2:7">
      <c r="B308" s="18"/>
      <c r="C308" s="15" t="s">
        <v>337</v>
      </c>
      <c r="G308" s="6"/>
    </row>
    <row r="309" spans="2:7">
      <c r="B309" s="82" t="s">
        <v>336</v>
      </c>
      <c r="C309" s="198" t="s">
        <v>236</v>
      </c>
      <c r="G309" s="6"/>
    </row>
    <row r="310" spans="2:7">
      <c r="B310" s="18"/>
      <c r="G310" s="6"/>
    </row>
    <row r="311" spans="2:7">
      <c r="B311" s="18"/>
      <c r="C311" s="15" t="s">
        <v>22</v>
      </c>
      <c r="G311" s="6"/>
    </row>
    <row r="312" spans="2:7">
      <c r="B312" s="82" t="s">
        <v>352</v>
      </c>
      <c r="C312" s="39" t="s">
        <v>236</v>
      </c>
      <c r="G312" s="6"/>
    </row>
    <row r="313" spans="2:7">
      <c r="B313" s="18"/>
      <c r="G313" s="6"/>
    </row>
    <row r="314" spans="2:7">
      <c r="B314" s="82"/>
      <c r="C314" s="15" t="s">
        <v>23</v>
      </c>
      <c r="G314" s="6"/>
    </row>
    <row r="315" spans="2:7">
      <c r="B315" s="82" t="s">
        <v>336</v>
      </c>
      <c r="C315" s="66" t="s">
        <v>1403</v>
      </c>
      <c r="G315" s="6"/>
    </row>
    <row r="316" spans="2:7" ht="13.5" thickBot="1">
      <c r="B316" s="163"/>
      <c r="C316" s="20"/>
      <c r="D316" s="20"/>
      <c r="E316" s="8"/>
      <c r="F316" s="20"/>
      <c r="G316" s="9"/>
    </row>
    <row r="317" spans="2:7">
      <c r="B317" s="18"/>
      <c r="C317" s="1"/>
      <c r="G317" s="6"/>
    </row>
    <row r="318" spans="2:7" ht="13.5" thickBot="1">
      <c r="B318" s="82"/>
      <c r="C318" s="66"/>
      <c r="G318" s="6"/>
    </row>
    <row r="319" spans="2:7" ht="13.5" thickBot="1">
      <c r="B319" s="236">
        <v>45423</v>
      </c>
      <c r="C319" s="237"/>
      <c r="D319" s="237"/>
      <c r="E319" s="237"/>
      <c r="F319" s="237"/>
      <c r="G319" s="238"/>
    </row>
    <row r="320" spans="2:7" ht="13.5" thickBot="1">
      <c r="B320" s="18"/>
      <c r="G320" s="6"/>
    </row>
    <row r="321" spans="2:7">
      <c r="B321" s="18"/>
      <c r="C321" s="21" t="s">
        <v>27</v>
      </c>
      <c r="D321" s="16"/>
      <c r="E321" s="80" t="s">
        <v>74</v>
      </c>
      <c r="F321" s="4">
        <v>15</v>
      </c>
      <c r="G321" s="6"/>
    </row>
    <row r="322" spans="2:7" ht="13.5" thickBot="1">
      <c r="B322" s="18"/>
      <c r="C322" s="7"/>
      <c r="D322" s="20"/>
      <c r="E322" s="83" t="s">
        <v>1</v>
      </c>
      <c r="F322" s="22">
        <v>14</v>
      </c>
      <c r="G322" s="6"/>
    </row>
    <row r="323" spans="2:7" ht="13.5" thickBot="1">
      <c r="B323" s="18"/>
      <c r="G323" s="6"/>
    </row>
    <row r="324" spans="2:7">
      <c r="B324" s="18"/>
      <c r="C324" s="3" t="s">
        <v>4</v>
      </c>
      <c r="D324" s="16"/>
      <c r="E324" s="80" t="s">
        <v>74</v>
      </c>
      <c r="F324" s="84"/>
      <c r="G324" s="6"/>
    </row>
    <row r="325" spans="2:7">
      <c r="B325" s="18"/>
      <c r="C325" s="5" t="s">
        <v>2</v>
      </c>
      <c r="E325" s="39" t="s">
        <v>326</v>
      </c>
      <c r="F325" s="6"/>
      <c r="G325" s="6"/>
    </row>
    <row r="326" spans="2:7" ht="13.5" thickBot="1">
      <c r="B326" s="18"/>
      <c r="C326" s="7" t="s">
        <v>3</v>
      </c>
      <c r="D326" s="20"/>
      <c r="E326" s="81" t="s">
        <v>354</v>
      </c>
      <c r="F326" s="9"/>
      <c r="G326" s="6"/>
    </row>
    <row r="327" spans="2:7" ht="13.5" thickBot="1">
      <c r="B327" s="18"/>
      <c r="G327" s="6"/>
    </row>
    <row r="328" spans="2:7" ht="13.5" thickBot="1">
      <c r="B328" s="18"/>
      <c r="C328" s="23"/>
      <c r="D328" s="24"/>
      <c r="E328" s="87" t="s">
        <v>1410</v>
      </c>
      <c r="F328" s="25"/>
      <c r="G328" s="6"/>
    </row>
    <row r="329" spans="2:7">
      <c r="B329" s="18"/>
      <c r="G329" s="6"/>
    </row>
    <row r="330" spans="2:7">
      <c r="B330" s="203"/>
      <c r="C330" t="s">
        <v>5</v>
      </c>
      <c r="G330" s="6"/>
    </row>
    <row r="331" spans="2:7">
      <c r="B331" s="203"/>
      <c r="G331" s="6"/>
    </row>
    <row r="332" spans="2:7">
      <c r="B332" s="5">
        <v>1</v>
      </c>
      <c r="C332" s="39" t="s">
        <v>327</v>
      </c>
      <c r="G332" s="6"/>
    </row>
    <row r="333" spans="2:7">
      <c r="B333" s="5">
        <v>2</v>
      </c>
      <c r="C333" s="39" t="s">
        <v>1113</v>
      </c>
      <c r="G333" s="6"/>
    </row>
    <row r="334" spans="2:7">
      <c r="B334" s="5">
        <v>3</v>
      </c>
      <c r="C334" s="39" t="s">
        <v>1314</v>
      </c>
      <c r="G334" s="6"/>
    </row>
    <row r="335" spans="2:7">
      <c r="B335" s="5">
        <v>4</v>
      </c>
      <c r="C335" s="39" t="s">
        <v>1320</v>
      </c>
      <c r="G335" s="6"/>
    </row>
    <row r="336" spans="2:7">
      <c r="B336" s="5">
        <v>5</v>
      </c>
      <c r="C336" s="39" t="s">
        <v>207</v>
      </c>
      <c r="G336" s="6"/>
    </row>
    <row r="337" spans="2:7">
      <c r="B337" s="5">
        <v>6</v>
      </c>
      <c r="C337" s="39" t="s">
        <v>18</v>
      </c>
      <c r="G337" s="6"/>
    </row>
    <row r="338" spans="2:7">
      <c r="B338" s="5">
        <v>7</v>
      </c>
      <c r="C338" s="39" t="s">
        <v>1324</v>
      </c>
      <c r="G338" s="6"/>
    </row>
    <row r="339" spans="2:7">
      <c r="B339" s="5">
        <v>8</v>
      </c>
      <c r="C339" s="39" t="s">
        <v>1329</v>
      </c>
      <c r="G339" s="6"/>
    </row>
    <row r="340" spans="2:7">
      <c r="B340" s="5">
        <v>9</v>
      </c>
      <c r="C340" s="39" t="s">
        <v>1235</v>
      </c>
      <c r="G340" s="6"/>
    </row>
    <row r="341" spans="2:7">
      <c r="B341" s="5">
        <v>10</v>
      </c>
      <c r="C341" s="39" t="s">
        <v>607</v>
      </c>
      <c r="G341" s="6"/>
    </row>
    <row r="342" spans="2:7">
      <c r="B342" s="5">
        <v>11</v>
      </c>
      <c r="C342" s="39" t="s">
        <v>1174</v>
      </c>
      <c r="G342" s="6"/>
    </row>
    <row r="343" spans="2:7">
      <c r="B343" s="5">
        <v>12</v>
      </c>
      <c r="C343" s="39" t="s">
        <v>1198</v>
      </c>
      <c r="G343" s="6"/>
    </row>
    <row r="344" spans="2:7">
      <c r="B344" s="5">
        <v>13</v>
      </c>
      <c r="C344" s="39" t="s">
        <v>214</v>
      </c>
      <c r="G344" s="6"/>
    </row>
    <row r="345" spans="2:7">
      <c r="B345" s="5">
        <v>14</v>
      </c>
      <c r="C345" s="39" t="s">
        <v>1403</v>
      </c>
      <c r="G345" s="6"/>
    </row>
    <row r="346" spans="2:7">
      <c r="B346" s="5">
        <v>15</v>
      </c>
      <c r="C346" s="39" t="s">
        <v>1340</v>
      </c>
      <c r="G346" s="6"/>
    </row>
    <row r="347" spans="2:7">
      <c r="B347" s="18"/>
      <c r="G347" s="6"/>
    </row>
    <row r="348" spans="2:7">
      <c r="B348" s="18"/>
      <c r="C348" s="39" t="s">
        <v>325</v>
      </c>
      <c r="G348" s="6"/>
    </row>
    <row r="349" spans="2:7">
      <c r="B349" s="18"/>
      <c r="C349" s="198" t="s">
        <v>1405</v>
      </c>
      <c r="G349" s="6"/>
    </row>
    <row r="350" spans="2:7">
      <c r="B350" s="18"/>
      <c r="C350" s="198" t="s">
        <v>1406</v>
      </c>
      <c r="G350" s="6"/>
    </row>
    <row r="351" spans="2:7">
      <c r="B351" s="18"/>
      <c r="C351" s="198" t="s">
        <v>1347</v>
      </c>
      <c r="G351" s="6"/>
    </row>
    <row r="352" spans="2:7">
      <c r="B352" s="18"/>
      <c r="C352" s="198" t="s">
        <v>1421</v>
      </c>
      <c r="G352" s="6"/>
    </row>
    <row r="353" spans="2:7">
      <c r="B353" s="18"/>
      <c r="G353" s="6"/>
    </row>
    <row r="354" spans="2:7">
      <c r="B354" s="203"/>
      <c r="C354" s="2" t="s">
        <v>21</v>
      </c>
      <c r="G354" s="6"/>
    </row>
    <row r="355" spans="2:7">
      <c r="B355" s="82" t="s">
        <v>336</v>
      </c>
      <c r="C355" s="198" t="s">
        <v>1172</v>
      </c>
      <c r="G355" s="6"/>
    </row>
    <row r="356" spans="2:7">
      <c r="B356" s="18"/>
      <c r="C356" s="39"/>
      <c r="G356" s="6"/>
    </row>
    <row r="357" spans="2:7">
      <c r="B357" s="18"/>
      <c r="C357" s="15" t="s">
        <v>337</v>
      </c>
      <c r="G357" s="6"/>
    </row>
    <row r="358" spans="2:7">
      <c r="B358" s="82"/>
      <c r="C358" s="198" t="s">
        <v>339</v>
      </c>
      <c r="G358" s="6"/>
    </row>
    <row r="359" spans="2:7">
      <c r="B359" s="18"/>
      <c r="G359" s="6"/>
    </row>
    <row r="360" spans="2:7">
      <c r="B360" s="18"/>
      <c r="C360" s="15" t="s">
        <v>22</v>
      </c>
      <c r="G360" s="6"/>
    </row>
    <row r="361" spans="2:7">
      <c r="B361" s="82" t="s">
        <v>335</v>
      </c>
      <c r="C361" s="39" t="s">
        <v>236</v>
      </c>
      <c r="G361" s="6"/>
    </row>
    <row r="362" spans="2:7">
      <c r="B362" s="18"/>
      <c r="G362" s="6"/>
    </row>
    <row r="363" spans="2:7">
      <c r="B363" s="82"/>
      <c r="C363" s="15" t="s">
        <v>23</v>
      </c>
      <c r="G363" s="6"/>
    </row>
    <row r="364" spans="2:7">
      <c r="B364" s="82" t="s">
        <v>336</v>
      </c>
      <c r="C364" s="66" t="s">
        <v>207</v>
      </c>
      <c r="G364" s="6"/>
    </row>
    <row r="365" spans="2:7" ht="13.5" thickBot="1">
      <c r="B365" s="163"/>
      <c r="C365" s="20"/>
      <c r="D365" s="20"/>
      <c r="E365" s="8"/>
      <c r="F365" s="20"/>
      <c r="G365" s="9"/>
    </row>
    <row r="366" spans="2:7">
      <c r="B366" s="82"/>
      <c r="C366" s="39"/>
      <c r="G366" s="6"/>
    </row>
    <row r="367" spans="2:7" ht="13.5" thickBot="1">
      <c r="B367" s="18"/>
      <c r="G367" s="6"/>
    </row>
    <row r="368" spans="2:7" ht="13.5" thickBot="1">
      <c r="B368" s="236">
        <v>45430</v>
      </c>
      <c r="C368" s="237"/>
      <c r="D368" s="237"/>
      <c r="E368" s="237"/>
      <c r="F368" s="237"/>
      <c r="G368" s="238"/>
    </row>
    <row r="369" spans="2:7" ht="13.5" thickBot="1">
      <c r="B369" s="18"/>
      <c r="G369" s="6"/>
    </row>
    <row r="370" spans="2:7">
      <c r="B370" s="18"/>
      <c r="C370" s="21" t="s">
        <v>27</v>
      </c>
      <c r="D370" s="16"/>
      <c r="E370" s="80" t="s">
        <v>1</v>
      </c>
      <c r="F370" s="4">
        <v>16</v>
      </c>
      <c r="G370" s="6"/>
    </row>
    <row r="371" spans="2:7" ht="13.5" thickBot="1">
      <c r="B371" s="18"/>
      <c r="C371" s="7"/>
      <c r="D371" s="20"/>
      <c r="E371" s="83" t="s">
        <v>62</v>
      </c>
      <c r="F371" s="22">
        <v>38</v>
      </c>
      <c r="G371" s="6"/>
    </row>
    <row r="372" spans="2:7" ht="13.5" thickBot="1">
      <c r="B372" s="18"/>
      <c r="G372" s="6"/>
    </row>
    <row r="373" spans="2:7">
      <c r="B373" s="18"/>
      <c r="C373" s="3" t="s">
        <v>4</v>
      </c>
      <c r="D373" s="16"/>
      <c r="E373" s="80" t="s">
        <v>1</v>
      </c>
      <c r="F373" s="84" t="s">
        <v>569</v>
      </c>
      <c r="G373" s="6"/>
    </row>
    <row r="374" spans="2:7">
      <c r="B374" s="18"/>
      <c r="C374" s="5" t="s">
        <v>2</v>
      </c>
      <c r="E374" s="39" t="s">
        <v>326</v>
      </c>
      <c r="F374" s="6"/>
      <c r="G374" s="6"/>
    </row>
    <row r="375" spans="2:7" ht="13.5" thickBot="1">
      <c r="B375" s="18"/>
      <c r="C375" s="7" t="s">
        <v>3</v>
      </c>
      <c r="D375" s="20"/>
      <c r="E375" s="81" t="s">
        <v>326</v>
      </c>
      <c r="F375" s="9"/>
      <c r="G375" s="6"/>
    </row>
    <row r="376" spans="2:7" ht="13.5" thickBot="1">
      <c r="B376" s="18"/>
      <c r="G376" s="6"/>
    </row>
    <row r="377" spans="2:7" ht="13.5" thickBot="1">
      <c r="B377" s="18"/>
      <c r="C377" s="23"/>
      <c r="D377" s="24"/>
      <c r="E377" s="87" t="s">
        <v>1388</v>
      </c>
      <c r="F377" s="25"/>
      <c r="G377" s="6"/>
    </row>
    <row r="378" spans="2:7">
      <c r="B378" s="18"/>
      <c r="G378" s="6"/>
    </row>
    <row r="379" spans="2:7">
      <c r="B379" s="203"/>
      <c r="C379" t="s">
        <v>5</v>
      </c>
      <c r="G379" s="6"/>
    </row>
    <row r="380" spans="2:7">
      <c r="B380" s="203"/>
      <c r="G380" s="6"/>
    </row>
    <row r="381" spans="2:7">
      <c r="B381" s="5">
        <v>1</v>
      </c>
      <c r="C381" s="39" t="s">
        <v>327</v>
      </c>
      <c r="G381" s="6"/>
    </row>
    <row r="382" spans="2:7">
      <c r="B382" s="5">
        <v>2</v>
      </c>
      <c r="C382" s="39" t="s">
        <v>1113</v>
      </c>
      <c r="G382" s="6"/>
    </row>
    <row r="383" spans="2:7">
      <c r="B383" s="5">
        <v>3</v>
      </c>
      <c r="C383" s="39" t="s">
        <v>1314</v>
      </c>
      <c r="G383" s="6"/>
    </row>
    <row r="384" spans="2:7">
      <c r="B384" s="5">
        <v>4</v>
      </c>
      <c r="C384" s="39" t="s">
        <v>1106</v>
      </c>
      <c r="G384" s="6"/>
    </row>
    <row r="385" spans="2:7">
      <c r="B385" s="5">
        <v>5</v>
      </c>
      <c r="C385" s="39" t="s">
        <v>207</v>
      </c>
      <c r="G385" s="6"/>
    </row>
    <row r="386" spans="2:7">
      <c r="B386" s="5">
        <v>6</v>
      </c>
      <c r="C386" s="39" t="s">
        <v>18</v>
      </c>
      <c r="G386" s="6"/>
    </row>
    <row r="387" spans="2:7">
      <c r="B387" s="5">
        <v>7</v>
      </c>
      <c r="C387" s="39" t="s">
        <v>1324</v>
      </c>
      <c r="G387" s="6"/>
    </row>
    <row r="388" spans="2:7">
      <c r="B388" s="5">
        <v>8</v>
      </c>
      <c r="C388" s="39" t="s">
        <v>1329</v>
      </c>
      <c r="G388" s="6"/>
    </row>
    <row r="389" spans="2:7">
      <c r="B389" s="5">
        <v>9</v>
      </c>
      <c r="C389" s="39" t="s">
        <v>1235</v>
      </c>
      <c r="G389" s="6"/>
    </row>
    <row r="390" spans="2:7">
      <c r="B390" s="5">
        <v>10</v>
      </c>
      <c r="C390" s="39" t="s">
        <v>607</v>
      </c>
      <c r="G390" s="6"/>
    </row>
    <row r="391" spans="2:7">
      <c r="B391" s="5">
        <v>11</v>
      </c>
      <c r="C391" s="39" t="s">
        <v>1174</v>
      </c>
      <c r="G391" s="6"/>
    </row>
    <row r="392" spans="2:7">
      <c r="B392" s="5">
        <v>12</v>
      </c>
      <c r="C392" s="39" t="s">
        <v>1198</v>
      </c>
      <c r="G392" s="6"/>
    </row>
    <row r="393" spans="2:7">
      <c r="B393" s="5">
        <v>13</v>
      </c>
      <c r="C393" s="39" t="s">
        <v>214</v>
      </c>
      <c r="G393" s="6"/>
    </row>
    <row r="394" spans="2:7">
      <c r="B394" s="5">
        <v>14</v>
      </c>
      <c r="C394" s="39" t="s">
        <v>1403</v>
      </c>
      <c r="G394" s="6"/>
    </row>
    <row r="395" spans="2:7">
      <c r="B395" s="5">
        <v>15</v>
      </c>
      <c r="C395" s="39" t="s">
        <v>1340</v>
      </c>
      <c r="G395" s="6"/>
    </row>
    <row r="396" spans="2:7">
      <c r="B396" s="18"/>
      <c r="G396" s="6"/>
    </row>
    <row r="397" spans="2:7">
      <c r="B397" s="18"/>
      <c r="C397" s="39" t="s">
        <v>325</v>
      </c>
      <c r="G397" s="6"/>
    </row>
    <row r="398" spans="2:7">
      <c r="B398" s="18"/>
      <c r="C398" s="198" t="s">
        <v>1405</v>
      </c>
      <c r="G398" s="6"/>
    </row>
    <row r="399" spans="2:7">
      <c r="B399" s="18"/>
      <c r="C399" s="198" t="s">
        <v>1406</v>
      </c>
      <c r="G399" s="6"/>
    </row>
    <row r="400" spans="2:7">
      <c r="B400" s="18"/>
      <c r="C400" s="198" t="s">
        <v>1347</v>
      </c>
      <c r="G400" s="6"/>
    </row>
    <row r="401" spans="2:7">
      <c r="B401" s="18"/>
      <c r="C401" s="198" t="s">
        <v>1421</v>
      </c>
      <c r="G401" s="6"/>
    </row>
    <row r="402" spans="2:7">
      <c r="B402" s="18"/>
      <c r="C402" s="198" t="s">
        <v>1422</v>
      </c>
      <c r="G402" s="6"/>
    </row>
    <row r="403" spans="2:7">
      <c r="B403" s="18"/>
      <c r="C403" s="198" t="s">
        <v>1423</v>
      </c>
      <c r="G403" s="6"/>
    </row>
    <row r="404" spans="2:7">
      <c r="B404" s="18"/>
      <c r="G404" s="6"/>
    </row>
    <row r="405" spans="2:7">
      <c r="B405" s="203"/>
      <c r="C405" s="2" t="s">
        <v>21</v>
      </c>
      <c r="G405" s="6"/>
    </row>
    <row r="406" spans="2:7">
      <c r="B406" s="82" t="s">
        <v>336</v>
      </c>
      <c r="C406" s="198" t="s">
        <v>207</v>
      </c>
      <c r="G406" s="6"/>
    </row>
    <row r="407" spans="2:7">
      <c r="B407" s="18"/>
      <c r="C407" s="39"/>
      <c r="G407" s="6"/>
    </row>
    <row r="408" spans="2:7">
      <c r="B408" s="18"/>
      <c r="C408" s="15" t="s">
        <v>337</v>
      </c>
      <c r="G408" s="6"/>
    </row>
    <row r="409" spans="2:7">
      <c r="B409" s="82" t="s">
        <v>336</v>
      </c>
      <c r="C409" s="198" t="s">
        <v>236</v>
      </c>
      <c r="G409" s="6"/>
    </row>
    <row r="410" spans="2:7">
      <c r="B410" s="18"/>
      <c r="G410" s="6"/>
    </row>
    <row r="411" spans="2:7">
      <c r="B411" s="18"/>
      <c r="C411" s="15" t="s">
        <v>22</v>
      </c>
      <c r="G411" s="6"/>
    </row>
    <row r="412" spans="2:7">
      <c r="B412" s="82" t="s">
        <v>335</v>
      </c>
      <c r="C412" s="39" t="s">
        <v>236</v>
      </c>
      <c r="G412" s="6"/>
    </row>
    <row r="413" spans="2:7">
      <c r="B413" s="18"/>
      <c r="G413" s="6"/>
    </row>
    <row r="414" spans="2:7">
      <c r="B414" s="82"/>
      <c r="C414" s="15" t="s">
        <v>23</v>
      </c>
      <c r="G414" s="6"/>
    </row>
    <row r="415" spans="2:7">
      <c r="B415" s="82" t="s">
        <v>336</v>
      </c>
      <c r="C415" s="66" t="s">
        <v>1105</v>
      </c>
      <c r="G415" s="6"/>
    </row>
    <row r="416" spans="2:7">
      <c r="B416" s="82" t="s">
        <v>336</v>
      </c>
      <c r="C416" s="66" t="s">
        <v>11</v>
      </c>
      <c r="G416" s="6"/>
    </row>
    <row r="417" spans="2:7" ht="13.5" thickBot="1">
      <c r="B417" s="163"/>
      <c r="C417" s="20"/>
      <c r="D417" s="20"/>
      <c r="E417" s="8"/>
      <c r="F417" s="20"/>
      <c r="G417" s="9"/>
    </row>
    <row r="418" spans="2:7">
      <c r="B418" s="18"/>
      <c r="C418" s="15"/>
      <c r="G418" s="6"/>
    </row>
    <row r="419" spans="2:7" ht="13.5" thickBot="1">
      <c r="B419" s="82"/>
      <c r="C419" s="39"/>
      <c r="G419" s="6"/>
    </row>
    <row r="420" spans="2:7" ht="13.5" thickBot="1">
      <c r="B420" s="236">
        <v>45437</v>
      </c>
      <c r="C420" s="237"/>
      <c r="D420" s="237"/>
      <c r="E420" s="237"/>
      <c r="F420" s="237"/>
      <c r="G420" s="238"/>
    </row>
    <row r="421" spans="2:7" ht="13.5" thickBot="1">
      <c r="B421" s="18"/>
      <c r="G421" s="6"/>
    </row>
    <row r="422" spans="2:7">
      <c r="B422" s="18"/>
      <c r="C422" s="21" t="s">
        <v>27</v>
      </c>
      <c r="D422" s="16"/>
      <c r="E422" s="80" t="s">
        <v>185</v>
      </c>
      <c r="F422" s="4">
        <v>62</v>
      </c>
      <c r="G422" s="6"/>
    </row>
    <row r="423" spans="2:7" ht="13.5" thickBot="1">
      <c r="B423" s="18"/>
      <c r="C423" s="7"/>
      <c r="D423" s="20"/>
      <c r="E423" s="83" t="s">
        <v>1</v>
      </c>
      <c r="F423" s="22">
        <v>19</v>
      </c>
      <c r="G423" s="6"/>
    </row>
    <row r="424" spans="2:7" ht="13.5" thickBot="1">
      <c r="B424" s="18"/>
      <c r="G424" s="6"/>
    </row>
    <row r="425" spans="2:7">
      <c r="B425" s="18"/>
      <c r="C425" s="3" t="s">
        <v>4</v>
      </c>
      <c r="D425" s="16"/>
      <c r="E425" s="80" t="s">
        <v>185</v>
      </c>
      <c r="F425" s="84"/>
      <c r="G425" s="6"/>
    </row>
    <row r="426" spans="2:7">
      <c r="B426" s="18"/>
      <c r="C426" s="5" t="s">
        <v>2</v>
      </c>
      <c r="E426" s="39" t="s">
        <v>326</v>
      </c>
      <c r="F426" s="6"/>
      <c r="G426" s="6"/>
    </row>
    <row r="427" spans="2:7" ht="13.5" thickBot="1">
      <c r="B427" s="18"/>
      <c r="C427" s="7" t="s">
        <v>3</v>
      </c>
      <c r="D427" s="20"/>
      <c r="E427" s="81" t="s">
        <v>344</v>
      </c>
      <c r="F427" s="9"/>
      <c r="G427" s="6"/>
    </row>
    <row r="428" spans="2:7" ht="13.5" thickBot="1">
      <c r="B428" s="18"/>
      <c r="G428" s="6"/>
    </row>
    <row r="429" spans="2:7" ht="13.5" thickBot="1">
      <c r="B429" s="18"/>
      <c r="C429" s="23"/>
      <c r="D429" s="24"/>
      <c r="E429" s="87" t="s">
        <v>317</v>
      </c>
      <c r="F429" s="25"/>
      <c r="G429" s="6"/>
    </row>
    <row r="430" spans="2:7">
      <c r="B430" s="18"/>
      <c r="G430" s="6"/>
    </row>
    <row r="431" spans="2:7">
      <c r="B431" s="203"/>
      <c r="C431" t="s">
        <v>5</v>
      </c>
      <c r="G431" s="6"/>
    </row>
    <row r="432" spans="2:7">
      <c r="B432" s="203"/>
      <c r="G432" s="6"/>
    </row>
    <row r="433" spans="2:7">
      <c r="B433" s="5">
        <v>1</v>
      </c>
      <c r="C433" s="39" t="s">
        <v>327</v>
      </c>
      <c r="G433" s="6"/>
    </row>
    <row r="434" spans="2:7">
      <c r="B434" s="5">
        <v>2</v>
      </c>
      <c r="C434" s="39" t="s">
        <v>1113</v>
      </c>
      <c r="G434" s="6"/>
    </row>
    <row r="435" spans="2:7">
      <c r="B435" s="5">
        <v>3</v>
      </c>
      <c r="C435" s="39" t="s">
        <v>1172</v>
      </c>
      <c r="G435" s="6"/>
    </row>
    <row r="436" spans="2:7">
      <c r="B436" s="5">
        <v>4</v>
      </c>
      <c r="C436" s="39" t="s">
        <v>1106</v>
      </c>
      <c r="G436" s="6"/>
    </row>
    <row r="437" spans="2:7">
      <c r="B437" s="5">
        <v>5</v>
      </c>
      <c r="C437" s="39" t="s">
        <v>207</v>
      </c>
      <c r="G437" s="6"/>
    </row>
    <row r="438" spans="2:7">
      <c r="B438" s="5">
        <v>6</v>
      </c>
      <c r="C438" s="39" t="s">
        <v>18</v>
      </c>
      <c r="G438" s="6"/>
    </row>
    <row r="439" spans="2:7">
      <c r="B439" s="5">
        <v>7</v>
      </c>
      <c r="C439" s="39" t="s">
        <v>1324</v>
      </c>
      <c r="G439" s="6"/>
    </row>
    <row r="440" spans="2:7">
      <c r="B440" s="5">
        <v>8</v>
      </c>
      <c r="C440" s="39" t="s">
        <v>1329</v>
      </c>
      <c r="G440" s="6"/>
    </row>
    <row r="441" spans="2:7">
      <c r="B441" s="5">
        <v>9</v>
      </c>
      <c r="C441" s="39" t="s">
        <v>1235</v>
      </c>
      <c r="G441" s="6"/>
    </row>
    <row r="442" spans="2:7">
      <c r="B442" s="5">
        <v>10</v>
      </c>
      <c r="C442" s="39" t="s">
        <v>607</v>
      </c>
      <c r="G442" s="6"/>
    </row>
    <row r="443" spans="2:7">
      <c r="B443" s="5">
        <v>11</v>
      </c>
      <c r="C443" s="39" t="s">
        <v>1174</v>
      </c>
      <c r="G443" s="6"/>
    </row>
    <row r="444" spans="2:7">
      <c r="B444" s="5">
        <v>12</v>
      </c>
      <c r="C444" s="39" t="s">
        <v>1198</v>
      </c>
      <c r="G444" s="6"/>
    </row>
    <row r="445" spans="2:7">
      <c r="B445" s="5">
        <v>13</v>
      </c>
      <c r="C445" s="39" t="s">
        <v>214</v>
      </c>
      <c r="G445" s="6"/>
    </row>
    <row r="446" spans="2:7">
      <c r="B446" s="5">
        <v>14</v>
      </c>
      <c r="C446" s="39" t="s">
        <v>141</v>
      </c>
      <c r="G446" s="6"/>
    </row>
    <row r="447" spans="2:7">
      <c r="B447" s="5">
        <v>15</v>
      </c>
      <c r="C447" s="39" t="s">
        <v>1340</v>
      </c>
      <c r="G447" s="6"/>
    </row>
    <row r="448" spans="2:7">
      <c r="B448" s="18"/>
      <c r="G448" s="6"/>
    </row>
    <row r="449" spans="2:7">
      <c r="B449" s="18"/>
      <c r="C449" s="39" t="s">
        <v>325</v>
      </c>
      <c r="G449" s="6"/>
    </row>
    <row r="450" spans="2:7">
      <c r="B450" s="18"/>
      <c r="C450" s="198" t="s">
        <v>1405</v>
      </c>
      <c r="G450" s="6"/>
    </row>
    <row r="451" spans="2:7">
      <c r="B451" s="18"/>
      <c r="C451" s="198" t="s">
        <v>1406</v>
      </c>
      <c r="G451" s="6"/>
    </row>
    <row r="452" spans="2:7">
      <c r="B452" s="18"/>
      <c r="C452" s="198" t="s">
        <v>1424</v>
      </c>
      <c r="G452" s="6"/>
    </row>
    <row r="453" spans="2:7">
      <c r="B453" s="18"/>
      <c r="C453" s="198" t="s">
        <v>1428</v>
      </c>
      <c r="G453" s="6"/>
    </row>
    <row r="454" spans="2:7">
      <c r="B454" s="18"/>
      <c r="C454" s="198" t="s">
        <v>1425</v>
      </c>
      <c r="G454" s="6"/>
    </row>
    <row r="455" spans="2:7">
      <c r="B455" s="18"/>
      <c r="C455" s="198" t="s">
        <v>1426</v>
      </c>
      <c r="G455" s="6"/>
    </row>
    <row r="456" spans="2:7">
      <c r="B456" s="18"/>
      <c r="C456" s="198" t="s">
        <v>1427</v>
      </c>
      <c r="G456" s="6"/>
    </row>
    <row r="457" spans="2:7">
      <c r="B457" s="18"/>
      <c r="G457" s="6"/>
    </row>
    <row r="458" spans="2:7">
      <c r="B458" s="203"/>
      <c r="C458" s="2" t="s">
        <v>21</v>
      </c>
      <c r="G458" s="6"/>
    </row>
    <row r="459" spans="2:7">
      <c r="B459" s="82" t="s">
        <v>336</v>
      </c>
      <c r="C459" s="198" t="s">
        <v>1340</v>
      </c>
      <c r="G459" s="6"/>
    </row>
    <row r="460" spans="2:7">
      <c r="B460" s="82" t="s">
        <v>336</v>
      </c>
      <c r="C460" s="198" t="s">
        <v>1113</v>
      </c>
      <c r="G460" s="6"/>
    </row>
    <row r="461" spans="2:7">
      <c r="B461" s="82" t="s">
        <v>336</v>
      </c>
      <c r="C461" s="198" t="s">
        <v>56</v>
      </c>
      <c r="G461" s="6"/>
    </row>
    <row r="462" spans="2:7">
      <c r="B462" s="18"/>
      <c r="C462" s="39"/>
      <c r="G462" s="6"/>
    </row>
    <row r="463" spans="2:7">
      <c r="B463" s="18"/>
      <c r="C463" s="15" t="s">
        <v>337</v>
      </c>
      <c r="G463" s="6"/>
    </row>
    <row r="464" spans="2:7">
      <c r="B464" s="82" t="s">
        <v>336</v>
      </c>
      <c r="C464" s="198" t="s">
        <v>236</v>
      </c>
      <c r="G464" s="6"/>
    </row>
    <row r="465" spans="2:7">
      <c r="B465" s="18"/>
      <c r="G465" s="6"/>
    </row>
    <row r="466" spans="2:7">
      <c r="B466" s="18"/>
      <c r="C466" s="15" t="s">
        <v>22</v>
      </c>
      <c r="G466" s="6"/>
    </row>
    <row r="467" spans="2:7">
      <c r="B467" s="82"/>
      <c r="C467" s="39" t="s">
        <v>339</v>
      </c>
      <c r="G467" s="6"/>
    </row>
    <row r="468" spans="2:7">
      <c r="B468" s="18"/>
      <c r="G468" s="6"/>
    </row>
    <row r="469" spans="2:7">
      <c r="B469" s="82"/>
      <c r="C469" s="15" t="s">
        <v>23</v>
      </c>
      <c r="G469" s="6"/>
    </row>
    <row r="470" spans="2:7">
      <c r="B470" s="82"/>
      <c r="C470" s="66" t="s">
        <v>339</v>
      </c>
      <c r="G470" s="6"/>
    </row>
    <row r="471" spans="2:7">
      <c r="B471" s="82"/>
      <c r="C471" s="66"/>
      <c r="G471" s="6"/>
    </row>
    <row r="472" spans="2:7" ht="13.5" thickBot="1">
      <c r="B472" s="163"/>
      <c r="C472" s="20"/>
      <c r="D472" s="20"/>
      <c r="E472" s="8"/>
      <c r="F472" s="20"/>
      <c r="G472" s="9"/>
    </row>
    <row r="473" spans="2:7">
      <c r="B473" s="82"/>
      <c r="C473" s="39"/>
      <c r="G473" s="6"/>
    </row>
    <row r="474" spans="2:7" ht="13.5" thickBot="1">
      <c r="B474" s="18"/>
      <c r="C474" s="39"/>
      <c r="G474" s="6"/>
    </row>
    <row r="475" spans="2:7" ht="13.5" thickBot="1">
      <c r="B475" s="236">
        <v>45444</v>
      </c>
      <c r="C475" s="237"/>
      <c r="D475" s="237"/>
      <c r="E475" s="237"/>
      <c r="F475" s="237"/>
      <c r="G475" s="238"/>
    </row>
    <row r="476" spans="2:7" ht="13.5" thickBot="1">
      <c r="B476" s="18"/>
      <c r="G476" s="6"/>
    </row>
    <row r="477" spans="2:7">
      <c r="B477" s="18"/>
      <c r="C477" s="21" t="s">
        <v>27</v>
      </c>
      <c r="D477" s="16"/>
      <c r="E477" s="80" t="s">
        <v>1</v>
      </c>
      <c r="F477" s="4">
        <v>37</v>
      </c>
      <c r="G477" s="6"/>
    </row>
    <row r="478" spans="2:7" ht="13.5" thickBot="1">
      <c r="B478" s="18"/>
      <c r="C478" s="7"/>
      <c r="D478" s="20"/>
      <c r="E478" s="83" t="s">
        <v>92</v>
      </c>
      <c r="F478" s="22">
        <v>30</v>
      </c>
      <c r="G478" s="6"/>
    </row>
    <row r="479" spans="2:7" ht="13.5" thickBot="1">
      <c r="B479" s="18"/>
      <c r="G479" s="6"/>
    </row>
    <row r="480" spans="2:7">
      <c r="B480" s="18"/>
      <c r="C480" s="3" t="s">
        <v>4</v>
      </c>
      <c r="D480" s="16"/>
      <c r="E480" s="80" t="s">
        <v>1</v>
      </c>
      <c r="F480" s="84" t="s">
        <v>569</v>
      </c>
      <c r="G480" s="6"/>
    </row>
    <row r="481" spans="2:26">
      <c r="B481" s="18"/>
      <c r="C481" s="5" t="s">
        <v>2</v>
      </c>
      <c r="E481" s="39" t="s">
        <v>326</v>
      </c>
      <c r="F481" s="6"/>
      <c r="G481" s="6"/>
    </row>
    <row r="482" spans="2:26" ht="13.5" thickBot="1">
      <c r="B482" s="18"/>
      <c r="C482" s="7" t="s">
        <v>3</v>
      </c>
      <c r="D482" s="20"/>
      <c r="E482" s="81" t="s">
        <v>326</v>
      </c>
      <c r="F482" s="9"/>
      <c r="G482" s="6"/>
    </row>
    <row r="483" spans="2:26" ht="13.5" thickBot="1">
      <c r="B483" s="18"/>
      <c r="G483" s="6"/>
    </row>
    <row r="484" spans="2:26" ht="13.5" thickBot="1">
      <c r="B484" s="18"/>
      <c r="C484" s="23"/>
      <c r="D484" s="24"/>
      <c r="E484" s="87" t="s">
        <v>1330</v>
      </c>
      <c r="F484" s="25"/>
      <c r="G484" s="6"/>
    </row>
    <row r="485" spans="2:26">
      <c r="B485" s="18"/>
      <c r="G485" s="6"/>
    </row>
    <row r="486" spans="2:26">
      <c r="B486" s="203"/>
      <c r="C486" t="s">
        <v>5</v>
      </c>
      <c r="G486" s="6"/>
    </row>
    <row r="487" spans="2:26">
      <c r="B487" s="203"/>
      <c r="G487" s="6"/>
    </row>
    <row r="488" spans="2:26">
      <c r="B488" s="5">
        <v>1</v>
      </c>
      <c r="C488" s="39" t="s">
        <v>327</v>
      </c>
      <c r="G488" s="6"/>
    </row>
    <row r="489" spans="2:26">
      <c r="B489" s="5">
        <v>2</v>
      </c>
      <c r="C489" s="39" t="s">
        <v>1113</v>
      </c>
      <c r="G489" s="6"/>
      <c r="M489" s="1"/>
      <c r="N489" s="1"/>
      <c r="P489" s="1"/>
      <c r="Q489" s="1"/>
      <c r="R489" s="1"/>
      <c r="S489" s="1"/>
      <c r="T489" s="1"/>
      <c r="U489" s="1"/>
      <c r="V489" s="1"/>
      <c r="W489" s="1"/>
      <c r="X489" s="1"/>
      <c r="Y489" s="155"/>
      <c r="Z489" s="15"/>
    </row>
    <row r="490" spans="2:26">
      <c r="B490" s="5">
        <v>3</v>
      </c>
      <c r="C490" s="39" t="s">
        <v>1172</v>
      </c>
      <c r="G490" s="6"/>
      <c r="J490" s="155"/>
      <c r="K490" s="155"/>
      <c r="L490" s="155"/>
      <c r="M490" s="155"/>
      <c r="N490" s="155"/>
      <c r="O490" s="224"/>
      <c r="P490" s="155"/>
      <c r="Q490" s="155"/>
      <c r="R490" s="155"/>
      <c r="S490" s="155"/>
      <c r="T490" s="155"/>
      <c r="U490" s="155"/>
      <c r="V490" s="155"/>
      <c r="W490" s="155"/>
      <c r="X490" s="155"/>
    </row>
    <row r="491" spans="2:26">
      <c r="B491" s="5">
        <v>4</v>
      </c>
      <c r="C491" s="39" t="s">
        <v>1106</v>
      </c>
      <c r="G491" s="6"/>
      <c r="I491" s="198"/>
      <c r="M491" s="1"/>
      <c r="N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>
      <c r="B492" s="5">
        <v>5</v>
      </c>
      <c r="C492" s="39" t="s">
        <v>207</v>
      </c>
      <c r="G492" s="6"/>
      <c r="I492" s="198"/>
      <c r="M492" s="1"/>
      <c r="N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>
      <c r="B493" s="5">
        <v>6</v>
      </c>
      <c r="C493" s="39" t="s">
        <v>18</v>
      </c>
      <c r="G493" s="6"/>
      <c r="Y493" s="1"/>
      <c r="Z493" s="1"/>
    </row>
    <row r="494" spans="2:26">
      <c r="B494" s="5">
        <v>7</v>
      </c>
      <c r="C494" s="39" t="s">
        <v>1324</v>
      </c>
      <c r="G494" s="6"/>
      <c r="I494" s="198"/>
      <c r="M494" s="1"/>
      <c r="N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>
      <c r="B495" s="5">
        <v>8</v>
      </c>
      <c r="C495" s="39" t="s">
        <v>1329</v>
      </c>
      <c r="G495" s="6"/>
      <c r="I495" s="198"/>
      <c r="M495" s="1"/>
      <c r="N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>
      <c r="B496" s="5">
        <v>9</v>
      </c>
      <c r="C496" s="39" t="s">
        <v>1235</v>
      </c>
      <c r="G496" s="6"/>
    </row>
    <row r="497" spans="2:9">
      <c r="B497" s="5">
        <v>10</v>
      </c>
      <c r="C497" s="39" t="s">
        <v>607</v>
      </c>
      <c r="G497" s="6"/>
    </row>
    <row r="498" spans="2:9">
      <c r="B498" s="5">
        <v>11</v>
      </c>
      <c r="C498" s="39" t="s">
        <v>1174</v>
      </c>
      <c r="G498" s="6"/>
    </row>
    <row r="499" spans="2:9">
      <c r="B499" s="5">
        <v>12</v>
      </c>
      <c r="C499" s="39" t="s">
        <v>1198</v>
      </c>
      <c r="G499" s="6"/>
    </row>
    <row r="500" spans="2:9">
      <c r="B500" s="5">
        <v>13</v>
      </c>
      <c r="C500" s="39" t="s">
        <v>214</v>
      </c>
      <c r="G500" s="6"/>
      <c r="I500" s="198"/>
    </row>
    <row r="501" spans="2:9">
      <c r="B501" s="5">
        <v>14</v>
      </c>
      <c r="C501" s="39" t="s">
        <v>141</v>
      </c>
      <c r="G501" s="6"/>
      <c r="I501" s="198"/>
    </row>
    <row r="502" spans="2:9">
      <c r="B502" s="5">
        <v>15</v>
      </c>
      <c r="C502" s="39" t="s">
        <v>1340</v>
      </c>
      <c r="G502" s="6"/>
      <c r="I502" s="198"/>
    </row>
    <row r="503" spans="2:9">
      <c r="B503" s="18"/>
      <c r="G503" s="6"/>
      <c r="I503" s="198"/>
    </row>
    <row r="504" spans="2:9">
      <c r="B504" s="18"/>
      <c r="C504" s="39" t="s">
        <v>325</v>
      </c>
      <c r="G504" s="6"/>
      <c r="I504" s="198"/>
    </row>
    <row r="505" spans="2:9">
      <c r="B505" s="18"/>
      <c r="C505" s="198" t="s">
        <v>1430</v>
      </c>
      <c r="G505" s="6"/>
      <c r="I505" s="198"/>
    </row>
    <row r="506" spans="2:9">
      <c r="B506" s="18"/>
      <c r="C506" s="198" t="s">
        <v>1406</v>
      </c>
      <c r="G506" s="6"/>
      <c r="I506" s="198"/>
    </row>
    <row r="507" spans="2:9">
      <c r="B507" s="18"/>
      <c r="C507" s="198" t="s">
        <v>1424</v>
      </c>
      <c r="G507" s="6"/>
      <c r="I507" s="198"/>
    </row>
    <row r="508" spans="2:9">
      <c r="B508" s="18"/>
      <c r="C508" s="198" t="s">
        <v>1431</v>
      </c>
      <c r="G508" s="6"/>
      <c r="I508" s="198"/>
    </row>
    <row r="509" spans="2:9">
      <c r="B509" s="18"/>
      <c r="C509" s="198" t="s">
        <v>1432</v>
      </c>
      <c r="G509" s="6"/>
      <c r="I509" s="198"/>
    </row>
    <row r="510" spans="2:9">
      <c r="B510" s="18"/>
      <c r="C510" s="198" t="s">
        <v>1426</v>
      </c>
      <c r="G510" s="6"/>
      <c r="I510" s="198"/>
    </row>
    <row r="511" spans="2:9">
      <c r="B511" s="18"/>
      <c r="C511" s="198" t="s">
        <v>1433</v>
      </c>
      <c r="G511" s="6"/>
      <c r="I511" s="198"/>
    </row>
    <row r="512" spans="2:9">
      <c r="B512" s="18"/>
      <c r="C512" s="198" t="s">
        <v>1306</v>
      </c>
      <c r="G512" s="6"/>
      <c r="I512" s="198"/>
    </row>
    <row r="513" spans="2:9">
      <c r="B513" s="18"/>
      <c r="G513" s="6"/>
      <c r="I513" s="198"/>
    </row>
    <row r="514" spans="2:9">
      <c r="B514" s="203"/>
      <c r="C514" s="2" t="s">
        <v>21</v>
      </c>
      <c r="G514" s="6"/>
      <c r="I514" s="198"/>
    </row>
    <row r="515" spans="2:9">
      <c r="B515" s="82" t="s">
        <v>336</v>
      </c>
      <c r="C515" s="198" t="s">
        <v>214</v>
      </c>
      <c r="G515" s="6"/>
    </row>
    <row r="516" spans="2:9">
      <c r="B516" s="82" t="s">
        <v>336</v>
      </c>
      <c r="C516" s="198" t="s">
        <v>1113</v>
      </c>
      <c r="G516" s="6"/>
    </row>
    <row r="517" spans="2:9">
      <c r="B517" s="82" t="s">
        <v>336</v>
      </c>
      <c r="C517" s="198" t="s">
        <v>18</v>
      </c>
      <c r="G517" s="6"/>
    </row>
    <row r="518" spans="2:9">
      <c r="B518" s="82" t="s">
        <v>336</v>
      </c>
      <c r="C518" s="198" t="s">
        <v>1174</v>
      </c>
      <c r="G518" s="6"/>
    </row>
    <row r="519" spans="2:9">
      <c r="B519" s="82" t="s">
        <v>336</v>
      </c>
      <c r="C519" s="198" t="s">
        <v>1105</v>
      </c>
      <c r="G519" s="6"/>
    </row>
    <row r="520" spans="2:9">
      <c r="B520" s="18"/>
      <c r="C520" s="39"/>
      <c r="G520" s="6"/>
    </row>
    <row r="521" spans="2:9">
      <c r="B521" s="18"/>
      <c r="C521" s="15" t="s">
        <v>337</v>
      </c>
      <c r="G521" s="6"/>
    </row>
    <row r="522" spans="2:9">
      <c r="B522" s="82" t="s">
        <v>335</v>
      </c>
      <c r="C522" s="198" t="s">
        <v>236</v>
      </c>
      <c r="G522" s="6"/>
    </row>
    <row r="523" spans="2:9">
      <c r="B523" s="18"/>
      <c r="G523" s="6"/>
    </row>
    <row r="524" spans="2:9">
      <c r="B524" s="18"/>
      <c r="C524" s="15" t="s">
        <v>22</v>
      </c>
      <c r="G524" s="6"/>
    </row>
    <row r="525" spans="2:9">
      <c r="B525" s="82" t="s">
        <v>336</v>
      </c>
      <c r="C525" s="39" t="s">
        <v>236</v>
      </c>
      <c r="G525" s="6"/>
    </row>
    <row r="526" spans="2:9">
      <c r="B526" s="18"/>
      <c r="G526" s="6"/>
    </row>
    <row r="527" spans="2:9">
      <c r="B527" s="18"/>
      <c r="C527" s="15" t="s">
        <v>24</v>
      </c>
      <c r="G527" s="6"/>
    </row>
    <row r="528" spans="2:9">
      <c r="B528" s="82" t="s">
        <v>336</v>
      </c>
      <c r="C528" s="39" t="s">
        <v>607</v>
      </c>
      <c r="G528" s="6"/>
    </row>
    <row r="529" spans="2:7">
      <c r="B529" s="18"/>
      <c r="G529" s="6"/>
    </row>
    <row r="530" spans="2:7">
      <c r="B530" s="82"/>
      <c r="C530" s="15" t="s">
        <v>23</v>
      </c>
      <c r="G530" s="6"/>
    </row>
    <row r="531" spans="2:7">
      <c r="B531" s="82"/>
      <c r="C531" s="66" t="s">
        <v>339</v>
      </c>
      <c r="G531" s="6"/>
    </row>
    <row r="532" spans="2:7">
      <c r="B532" s="82"/>
      <c r="C532" s="66"/>
      <c r="G532" s="6"/>
    </row>
    <row r="533" spans="2:7" ht="13.5" thickBot="1">
      <c r="B533" s="163"/>
      <c r="C533" s="20"/>
      <c r="D533" s="20"/>
      <c r="E533" s="8"/>
      <c r="F533" s="20"/>
      <c r="G533" s="9"/>
    </row>
    <row r="534" spans="2:7">
      <c r="B534" s="82"/>
      <c r="C534" s="39"/>
      <c r="G534" s="6"/>
    </row>
    <row r="535" spans="2:7" ht="13.5" thickBot="1">
      <c r="B535" s="18"/>
      <c r="G535" s="6"/>
    </row>
    <row r="536" spans="2:7" ht="13.5" thickBot="1">
      <c r="B536" s="236">
        <v>45451</v>
      </c>
      <c r="C536" s="237"/>
      <c r="D536" s="237"/>
      <c r="E536" s="237"/>
      <c r="F536" s="237"/>
      <c r="G536" s="238"/>
    </row>
    <row r="537" spans="2:7" ht="13.5" thickBot="1">
      <c r="B537" s="18"/>
      <c r="G537" s="6"/>
    </row>
    <row r="538" spans="2:7">
      <c r="B538" s="18"/>
      <c r="C538" s="21" t="s">
        <v>27</v>
      </c>
      <c r="D538" s="16"/>
      <c r="E538" s="80" t="s">
        <v>1103</v>
      </c>
      <c r="F538" s="4">
        <v>40</v>
      </c>
      <c r="G538" s="6"/>
    </row>
    <row r="539" spans="2:7" ht="13.5" thickBot="1">
      <c r="B539" s="18"/>
      <c r="C539" s="7"/>
      <c r="D539" s="20"/>
      <c r="E539" s="83" t="s">
        <v>1</v>
      </c>
      <c r="F539" s="22">
        <v>33</v>
      </c>
      <c r="G539" s="6"/>
    </row>
    <row r="540" spans="2:7" ht="13.5" thickBot="1">
      <c r="B540" s="18"/>
      <c r="G540" s="6"/>
    </row>
    <row r="541" spans="2:7">
      <c r="B541" s="18"/>
      <c r="C541" s="3" t="s">
        <v>4</v>
      </c>
      <c r="D541" s="16"/>
      <c r="E541" s="80" t="s">
        <v>1103</v>
      </c>
      <c r="F541" s="84"/>
      <c r="G541" s="6"/>
    </row>
    <row r="542" spans="2:7">
      <c r="B542" s="18"/>
      <c r="C542" s="5" t="s">
        <v>2</v>
      </c>
      <c r="E542" s="39" t="s">
        <v>326</v>
      </c>
      <c r="F542" s="6"/>
      <c r="G542" s="6"/>
    </row>
    <row r="543" spans="2:7" ht="13.5" thickBot="1">
      <c r="B543" s="18"/>
      <c r="C543" s="7" t="s">
        <v>3</v>
      </c>
      <c r="D543" s="20"/>
      <c r="E543" s="81" t="s">
        <v>344</v>
      </c>
      <c r="F543" s="9"/>
      <c r="G543" s="6"/>
    </row>
    <row r="544" spans="2:7" ht="13.5" thickBot="1">
      <c r="B544" s="18"/>
      <c r="G544" s="6"/>
    </row>
    <row r="545" spans="2:7" ht="13.5" thickBot="1">
      <c r="B545" s="18"/>
      <c r="C545" s="23"/>
      <c r="D545" s="24"/>
      <c r="E545" s="87" t="s">
        <v>1088</v>
      </c>
      <c r="F545" s="25"/>
      <c r="G545" s="6"/>
    </row>
    <row r="546" spans="2:7">
      <c r="B546" s="18"/>
      <c r="G546" s="6"/>
    </row>
    <row r="547" spans="2:7">
      <c r="B547" s="203"/>
      <c r="C547" t="s">
        <v>5</v>
      </c>
      <c r="G547" s="6"/>
    </row>
    <row r="548" spans="2:7">
      <c r="B548" s="203"/>
      <c r="G548" s="6"/>
    </row>
    <row r="549" spans="2:7">
      <c r="B549" s="5">
        <v>1</v>
      </c>
      <c r="C549" s="39" t="s">
        <v>327</v>
      </c>
      <c r="G549" s="6"/>
    </row>
    <row r="550" spans="2:7">
      <c r="B550" s="5">
        <v>2</v>
      </c>
      <c r="C550" s="39" t="s">
        <v>1113</v>
      </c>
      <c r="G550" s="6"/>
    </row>
    <row r="551" spans="2:7">
      <c r="B551" s="5">
        <v>3</v>
      </c>
      <c r="C551" s="39" t="s">
        <v>1172</v>
      </c>
      <c r="G551" s="6"/>
    </row>
    <row r="552" spans="2:7">
      <c r="B552" s="5">
        <v>4</v>
      </c>
      <c r="C552" s="39" t="s">
        <v>1106</v>
      </c>
      <c r="G552" s="6"/>
    </row>
    <row r="553" spans="2:7">
      <c r="B553" s="5">
        <v>5</v>
      </c>
      <c r="C553" s="39" t="s">
        <v>207</v>
      </c>
      <c r="G553" s="6"/>
    </row>
    <row r="554" spans="2:7">
      <c r="B554" s="5">
        <v>6</v>
      </c>
      <c r="C554" s="39" t="s">
        <v>18</v>
      </c>
      <c r="G554" s="6"/>
    </row>
    <row r="555" spans="2:7">
      <c r="B555" s="5">
        <v>7</v>
      </c>
      <c r="C555" s="39" t="s">
        <v>1324</v>
      </c>
      <c r="G555" s="6"/>
    </row>
    <row r="556" spans="2:7">
      <c r="B556" s="5">
        <v>8</v>
      </c>
      <c r="C556" s="39" t="s">
        <v>1329</v>
      </c>
      <c r="G556" s="6"/>
    </row>
    <row r="557" spans="2:7">
      <c r="B557" s="5">
        <v>9</v>
      </c>
      <c r="C557" s="39" t="s">
        <v>1235</v>
      </c>
      <c r="G557" s="6"/>
    </row>
    <row r="558" spans="2:7">
      <c r="B558" s="5">
        <v>10</v>
      </c>
      <c r="C558" s="39" t="s">
        <v>607</v>
      </c>
      <c r="G558" s="6"/>
    </row>
    <row r="559" spans="2:7">
      <c r="B559" s="5">
        <v>11</v>
      </c>
      <c r="C559" s="39" t="s">
        <v>1174</v>
      </c>
      <c r="G559" s="6"/>
    </row>
    <row r="560" spans="2:7">
      <c r="B560" s="5">
        <v>12</v>
      </c>
      <c r="C560" s="39" t="s">
        <v>1198</v>
      </c>
      <c r="G560" s="6"/>
    </row>
    <row r="561" spans="2:7">
      <c r="B561" s="5">
        <v>13</v>
      </c>
      <c r="C561" s="39" t="s">
        <v>214</v>
      </c>
      <c r="G561" s="6"/>
    </row>
    <row r="562" spans="2:7">
      <c r="B562" s="5">
        <v>14</v>
      </c>
      <c r="C562" s="39" t="s">
        <v>141</v>
      </c>
      <c r="G562" s="6"/>
    </row>
    <row r="563" spans="2:7">
      <c r="B563" s="5">
        <v>15</v>
      </c>
      <c r="C563" s="39" t="s">
        <v>1340</v>
      </c>
      <c r="G563" s="6"/>
    </row>
    <row r="564" spans="2:7">
      <c r="B564" s="18"/>
      <c r="G564" s="6"/>
    </row>
    <row r="565" spans="2:7">
      <c r="B565" s="18"/>
      <c r="C565" s="39" t="s">
        <v>325</v>
      </c>
      <c r="G565" s="6"/>
    </row>
    <row r="566" spans="2:7">
      <c r="B566" s="18"/>
      <c r="C566" s="198" t="s">
        <v>1430</v>
      </c>
      <c r="G566" s="6"/>
    </row>
    <row r="567" spans="2:7">
      <c r="B567" s="18"/>
      <c r="C567" s="198" t="s">
        <v>1406</v>
      </c>
      <c r="G567" s="6"/>
    </row>
    <row r="568" spans="2:7">
      <c r="B568" s="18"/>
      <c r="C568" s="198" t="s">
        <v>1424</v>
      </c>
      <c r="G568" s="6"/>
    </row>
    <row r="569" spans="2:7">
      <c r="B569" s="18"/>
      <c r="C569" s="198" t="s">
        <v>1435</v>
      </c>
      <c r="G569" s="6"/>
    </row>
    <row r="570" spans="2:7">
      <c r="B570" s="18"/>
      <c r="C570" s="198" t="s">
        <v>1365</v>
      </c>
      <c r="G570" s="6"/>
    </row>
    <row r="571" spans="2:7">
      <c r="B571" s="18"/>
      <c r="C571" s="198" t="s">
        <v>1426</v>
      </c>
      <c r="G571" s="6"/>
    </row>
    <row r="572" spans="2:7">
      <c r="B572" s="18"/>
      <c r="C572" s="198" t="s">
        <v>1437</v>
      </c>
      <c r="G572" s="6"/>
    </row>
    <row r="573" spans="2:7">
      <c r="B573" s="18"/>
      <c r="C573" s="198" t="s">
        <v>1436</v>
      </c>
      <c r="G573" s="6"/>
    </row>
    <row r="574" spans="2:7">
      <c r="B574" s="18"/>
      <c r="G574" s="6"/>
    </row>
    <row r="575" spans="2:7">
      <c r="B575" s="203"/>
      <c r="C575" s="2" t="s">
        <v>21</v>
      </c>
      <c r="G575" s="6"/>
    </row>
    <row r="576" spans="2:7">
      <c r="B576" s="82" t="s">
        <v>336</v>
      </c>
      <c r="C576" s="198" t="s">
        <v>18</v>
      </c>
      <c r="G576" s="6"/>
    </row>
    <row r="577" spans="2:7">
      <c r="B577" s="82" t="s">
        <v>352</v>
      </c>
      <c r="C577" s="198" t="s">
        <v>1113</v>
      </c>
      <c r="G577" s="6"/>
    </row>
    <row r="578" spans="2:7">
      <c r="B578" s="82" t="s">
        <v>336</v>
      </c>
      <c r="C578" s="198" t="s">
        <v>1329</v>
      </c>
      <c r="G578" s="6"/>
    </row>
    <row r="579" spans="2:7">
      <c r="B579" s="82" t="s">
        <v>336</v>
      </c>
      <c r="C579" s="198" t="s">
        <v>607</v>
      </c>
      <c r="G579" s="6"/>
    </row>
    <row r="580" spans="2:7">
      <c r="B580" s="18"/>
      <c r="C580" s="39"/>
      <c r="G580" s="6"/>
    </row>
    <row r="581" spans="2:7">
      <c r="B581" s="18"/>
      <c r="C581" s="15" t="s">
        <v>337</v>
      </c>
      <c r="G581" s="6"/>
    </row>
    <row r="582" spans="2:7">
      <c r="B582" s="82" t="s">
        <v>338</v>
      </c>
      <c r="C582" s="198" t="s">
        <v>236</v>
      </c>
      <c r="G582" s="6"/>
    </row>
    <row r="583" spans="2:7">
      <c r="B583" s="18"/>
      <c r="G583" s="6"/>
    </row>
    <row r="584" spans="2:7">
      <c r="B584" s="18"/>
      <c r="C584" s="15" t="s">
        <v>22</v>
      </c>
      <c r="G584" s="6"/>
    </row>
    <row r="585" spans="2:7">
      <c r="B585" s="82"/>
      <c r="C585" s="39" t="s">
        <v>339</v>
      </c>
      <c r="G585" s="6"/>
    </row>
    <row r="586" spans="2:7">
      <c r="B586" s="18"/>
      <c r="G586" s="6"/>
    </row>
    <row r="587" spans="2:7">
      <c r="B587" s="82"/>
      <c r="C587" s="15" t="s">
        <v>23</v>
      </c>
      <c r="G587" s="6"/>
    </row>
    <row r="588" spans="2:7">
      <c r="B588" s="82" t="s">
        <v>336</v>
      </c>
      <c r="C588" s="66" t="s">
        <v>207</v>
      </c>
      <c r="G588" s="6"/>
    </row>
    <row r="589" spans="2:7">
      <c r="B589" s="82"/>
      <c r="C589" s="66"/>
      <c r="G589" s="6"/>
    </row>
    <row r="590" spans="2:7" ht="13.5" thickBot="1">
      <c r="B590" s="163"/>
      <c r="C590" s="20"/>
      <c r="D590" s="20"/>
      <c r="E590" s="8"/>
      <c r="F590" s="20"/>
      <c r="G590" s="9"/>
    </row>
    <row r="591" spans="2:7">
      <c r="B591" s="18"/>
      <c r="G591" s="6"/>
    </row>
    <row r="592" spans="2:7" ht="13.5" thickBot="1">
      <c r="B592" s="18"/>
      <c r="C592" s="83"/>
      <c r="D592" s="20"/>
      <c r="E592" s="83"/>
      <c r="F592" s="8"/>
      <c r="G592" s="6"/>
    </row>
    <row r="593" spans="2:7" ht="13.5" thickBot="1">
      <c r="B593" s="236">
        <v>45465</v>
      </c>
      <c r="C593" s="237"/>
      <c r="D593" s="237"/>
      <c r="E593" s="237"/>
      <c r="F593" s="237"/>
      <c r="G593" s="238"/>
    </row>
    <row r="594" spans="2:7" ht="13.5" thickBot="1">
      <c r="B594" s="18"/>
      <c r="G594" s="6"/>
    </row>
    <row r="595" spans="2:7">
      <c r="B595" s="18"/>
      <c r="C595" s="21" t="s">
        <v>27</v>
      </c>
      <c r="D595" s="16"/>
      <c r="E595" s="80" t="s">
        <v>1</v>
      </c>
      <c r="F595" s="4">
        <v>30</v>
      </c>
      <c r="G595" s="6"/>
    </row>
    <row r="596" spans="2:7" ht="13.5" thickBot="1">
      <c r="B596" s="18"/>
      <c r="C596" s="7"/>
      <c r="D596" s="20"/>
      <c r="E596" s="83" t="s">
        <v>1301</v>
      </c>
      <c r="F596" s="22">
        <v>41</v>
      </c>
      <c r="G596" s="6"/>
    </row>
    <row r="597" spans="2:7" ht="13.5" thickBot="1">
      <c r="B597" s="18"/>
      <c r="G597" s="6"/>
    </row>
    <row r="598" spans="2:7">
      <c r="B598" s="18"/>
      <c r="C598" s="3" t="s">
        <v>4</v>
      </c>
      <c r="D598" s="16"/>
      <c r="E598" s="80" t="s">
        <v>1</v>
      </c>
      <c r="F598" s="84" t="s">
        <v>205</v>
      </c>
      <c r="G598" s="6"/>
    </row>
    <row r="599" spans="2:7">
      <c r="B599" s="18"/>
      <c r="C599" s="5" t="s">
        <v>2</v>
      </c>
      <c r="E599" s="39" t="s">
        <v>404</v>
      </c>
      <c r="F599" s="6"/>
      <c r="G599" s="6"/>
    </row>
    <row r="600" spans="2:7" ht="13.5" thickBot="1">
      <c r="B600" s="18"/>
      <c r="C600" s="7" t="s">
        <v>3</v>
      </c>
      <c r="D600" s="20"/>
      <c r="E600" s="81" t="s">
        <v>326</v>
      </c>
      <c r="F600" s="9"/>
      <c r="G600" s="6"/>
    </row>
    <row r="601" spans="2:7" ht="13.5" thickBot="1">
      <c r="B601" s="18"/>
      <c r="G601" s="6"/>
    </row>
    <row r="602" spans="2:7" ht="13.5" thickBot="1">
      <c r="B602" s="18"/>
      <c r="C602" s="23"/>
      <c r="D602" s="24"/>
      <c r="E602" s="87" t="s">
        <v>1343</v>
      </c>
      <c r="F602" s="25"/>
      <c r="G602" s="6"/>
    </row>
    <row r="603" spans="2:7">
      <c r="B603" s="18"/>
      <c r="G603" s="6"/>
    </row>
    <row r="604" spans="2:7">
      <c r="B604" s="203"/>
      <c r="C604" t="s">
        <v>5</v>
      </c>
      <c r="G604" s="6"/>
    </row>
    <row r="605" spans="2:7">
      <c r="B605" s="203"/>
      <c r="G605" s="6"/>
    </row>
    <row r="606" spans="2:7">
      <c r="B606" s="5">
        <v>1</v>
      </c>
      <c r="C606" s="39" t="s">
        <v>327</v>
      </c>
      <c r="G606" s="6"/>
    </row>
    <row r="607" spans="2:7">
      <c r="B607" s="5">
        <v>2</v>
      </c>
      <c r="C607" s="39" t="s">
        <v>1113</v>
      </c>
      <c r="G607" s="6"/>
    </row>
    <row r="608" spans="2:7">
      <c r="B608" s="5">
        <v>3</v>
      </c>
      <c r="C608" s="39" t="s">
        <v>1314</v>
      </c>
      <c r="G608" s="6"/>
    </row>
    <row r="609" spans="2:7">
      <c r="B609" s="5">
        <v>4</v>
      </c>
      <c r="C609" s="39" t="s">
        <v>1106</v>
      </c>
      <c r="G609" s="6"/>
    </row>
    <row r="610" spans="2:7">
      <c r="B610" s="5">
        <v>5</v>
      </c>
      <c r="C610" s="39" t="s">
        <v>1329</v>
      </c>
      <c r="G610" s="6"/>
    </row>
    <row r="611" spans="2:7">
      <c r="B611" s="5">
        <v>6</v>
      </c>
      <c r="C611" s="39" t="s">
        <v>18</v>
      </c>
      <c r="G611" s="6"/>
    </row>
    <row r="612" spans="2:7">
      <c r="B612" s="5">
        <v>7</v>
      </c>
      <c r="C612" s="39" t="s">
        <v>1324</v>
      </c>
      <c r="G612" s="6"/>
    </row>
    <row r="613" spans="2:7">
      <c r="B613" s="5">
        <v>8</v>
      </c>
      <c r="C613" s="39" t="s">
        <v>1096</v>
      </c>
      <c r="G613" s="6"/>
    </row>
    <row r="614" spans="2:7">
      <c r="B614" s="5">
        <v>9</v>
      </c>
      <c r="C614" s="39" t="s">
        <v>1235</v>
      </c>
      <c r="G614" s="6"/>
    </row>
    <row r="615" spans="2:7">
      <c r="B615" s="5">
        <v>10</v>
      </c>
      <c r="C615" s="39" t="s">
        <v>607</v>
      </c>
      <c r="G615" s="6"/>
    </row>
    <row r="616" spans="2:7">
      <c r="B616" s="5">
        <v>11</v>
      </c>
      <c r="C616" s="39" t="s">
        <v>1174</v>
      </c>
      <c r="G616" s="6"/>
    </row>
    <row r="617" spans="2:7">
      <c r="B617" s="5">
        <v>12</v>
      </c>
      <c r="C617" s="39" t="s">
        <v>1198</v>
      </c>
      <c r="G617" s="6"/>
    </row>
    <row r="618" spans="2:7">
      <c r="B618" s="5">
        <v>13</v>
      </c>
      <c r="C618" s="39" t="s">
        <v>214</v>
      </c>
      <c r="G618" s="6"/>
    </row>
    <row r="619" spans="2:7">
      <c r="B619" s="5">
        <v>14</v>
      </c>
      <c r="C619" s="39" t="s">
        <v>141</v>
      </c>
      <c r="G619" s="6"/>
    </row>
    <row r="620" spans="2:7">
      <c r="B620" s="5">
        <v>15</v>
      </c>
      <c r="C620" s="39" t="s">
        <v>1340</v>
      </c>
      <c r="G620" s="6"/>
    </row>
    <row r="621" spans="2:7">
      <c r="B621" s="18"/>
      <c r="G621" s="6"/>
    </row>
    <row r="622" spans="2:7">
      <c r="B622" s="18"/>
      <c r="C622" s="39" t="s">
        <v>325</v>
      </c>
      <c r="G622" s="6"/>
    </row>
    <row r="623" spans="2:7">
      <c r="B623" s="18"/>
      <c r="C623" s="198" t="s">
        <v>1406</v>
      </c>
      <c r="G623" s="6"/>
    </row>
    <row r="624" spans="2:7">
      <c r="B624" s="18"/>
      <c r="C624" s="198" t="s">
        <v>1439</v>
      </c>
      <c r="G624" s="6"/>
    </row>
    <row r="625" spans="2:7">
      <c r="B625" s="18"/>
      <c r="C625" s="198" t="s">
        <v>1347</v>
      </c>
      <c r="G625" s="6"/>
    </row>
    <row r="626" spans="2:7">
      <c r="B626" s="18"/>
      <c r="C626" s="198" t="s">
        <v>1426</v>
      </c>
      <c r="G626" s="6"/>
    </row>
    <row r="627" spans="2:7">
      <c r="B627" s="18"/>
      <c r="C627" s="198" t="s">
        <v>1440</v>
      </c>
      <c r="G627" s="6"/>
    </row>
    <row r="628" spans="2:7">
      <c r="B628" s="18"/>
      <c r="C628" s="198" t="s">
        <v>1441</v>
      </c>
      <c r="G628" s="6"/>
    </row>
    <row r="629" spans="2:7">
      <c r="B629" s="18"/>
      <c r="C629" s="198"/>
      <c r="G629" s="6"/>
    </row>
    <row r="630" spans="2:7">
      <c r="B630" s="203"/>
      <c r="C630" s="2" t="s">
        <v>21</v>
      </c>
      <c r="G630" s="6"/>
    </row>
    <row r="631" spans="2:7">
      <c r="B631" s="82" t="s">
        <v>336</v>
      </c>
      <c r="C631" s="198" t="s">
        <v>1314</v>
      </c>
      <c r="G631" s="6"/>
    </row>
    <row r="632" spans="2:7">
      <c r="B632" s="82" t="s">
        <v>336</v>
      </c>
      <c r="C632" s="198" t="s">
        <v>1235</v>
      </c>
      <c r="G632" s="6"/>
    </row>
    <row r="633" spans="2:7">
      <c r="B633" s="82" t="s">
        <v>336</v>
      </c>
      <c r="C633" s="198" t="s">
        <v>1096</v>
      </c>
      <c r="G633" s="6"/>
    </row>
    <row r="634" spans="2:7">
      <c r="B634" s="82"/>
      <c r="C634" s="198"/>
      <c r="G634" s="6"/>
    </row>
    <row r="635" spans="2:7">
      <c r="B635" s="18"/>
      <c r="C635" s="39"/>
      <c r="G635" s="6"/>
    </row>
    <row r="636" spans="2:7">
      <c r="B636" s="18"/>
      <c r="C636" s="15" t="s">
        <v>337</v>
      </c>
      <c r="G636" s="6"/>
    </row>
    <row r="637" spans="2:7">
      <c r="B637" s="82" t="s">
        <v>335</v>
      </c>
      <c r="C637" s="198" t="s">
        <v>236</v>
      </c>
      <c r="G637" s="6"/>
    </row>
    <row r="638" spans="2:7">
      <c r="B638" s="18"/>
      <c r="G638" s="6"/>
    </row>
    <row r="639" spans="2:7">
      <c r="B639" s="18"/>
      <c r="C639" s="15" t="s">
        <v>22</v>
      </c>
      <c r="G639" s="6"/>
    </row>
    <row r="640" spans="2:7">
      <c r="B640" s="82" t="s">
        <v>335</v>
      </c>
      <c r="C640" s="39" t="s">
        <v>236</v>
      </c>
      <c r="G640" s="6"/>
    </row>
    <row r="641" spans="2:7">
      <c r="B641" s="18"/>
      <c r="G641" s="6"/>
    </row>
    <row r="642" spans="2:7">
      <c r="B642" s="82"/>
      <c r="C642" s="15" t="s">
        <v>23</v>
      </c>
      <c r="G642" s="6"/>
    </row>
    <row r="643" spans="2:7">
      <c r="B643" s="82"/>
      <c r="C643" s="66" t="s">
        <v>339</v>
      </c>
      <c r="G643" s="6"/>
    </row>
    <row r="644" spans="2:7">
      <c r="B644" s="82"/>
      <c r="C644" s="66"/>
      <c r="G644" s="6"/>
    </row>
    <row r="645" spans="2:7" ht="13.5" thickBot="1">
      <c r="B645" s="163"/>
      <c r="C645" s="20"/>
      <c r="D645" s="20"/>
      <c r="E645" s="8"/>
      <c r="F645" s="20"/>
      <c r="G645" s="9"/>
    </row>
    <row r="646" spans="2:7">
      <c r="B646" s="18"/>
      <c r="C646" s="16"/>
      <c r="D646" s="16"/>
      <c r="E646" s="208"/>
      <c r="F646" s="16"/>
      <c r="G646" s="6"/>
    </row>
    <row r="647" spans="2:7" ht="13.5" thickBot="1">
      <c r="B647" s="18"/>
      <c r="G647" s="6"/>
    </row>
    <row r="648" spans="2:7" ht="13.5" thickBot="1">
      <c r="B648" s="236">
        <v>45472</v>
      </c>
      <c r="C648" s="237"/>
      <c r="D648" s="237"/>
      <c r="E648" s="237"/>
      <c r="F648" s="237"/>
      <c r="G648" s="238"/>
    </row>
    <row r="649" spans="2:7" ht="13.5" thickBot="1">
      <c r="B649" s="18"/>
      <c r="G649" s="6"/>
    </row>
    <row r="650" spans="2:7">
      <c r="B650" s="18"/>
      <c r="C650" s="21" t="s">
        <v>27</v>
      </c>
      <c r="D650" s="16"/>
      <c r="E650" s="80" t="s">
        <v>104</v>
      </c>
      <c r="F650" s="4">
        <v>20</v>
      </c>
      <c r="G650" s="6"/>
    </row>
    <row r="651" spans="2:7" ht="13.5" thickBot="1">
      <c r="B651" s="18"/>
      <c r="C651" s="7"/>
      <c r="D651" s="20"/>
      <c r="E651" s="83" t="s">
        <v>1</v>
      </c>
      <c r="F651" s="22">
        <v>42</v>
      </c>
      <c r="G651" s="6"/>
    </row>
    <row r="652" spans="2:7" ht="13.5" thickBot="1">
      <c r="B652" s="18"/>
      <c r="G652" s="6"/>
    </row>
    <row r="653" spans="2:7">
      <c r="B653" s="18"/>
      <c r="C653" s="3" t="s">
        <v>4</v>
      </c>
      <c r="D653" s="16"/>
      <c r="E653" s="80" t="s">
        <v>104</v>
      </c>
      <c r="F653" s="84"/>
      <c r="G653" s="6"/>
    </row>
    <row r="654" spans="2:7">
      <c r="B654" s="18"/>
      <c r="C654" s="5" t="s">
        <v>2</v>
      </c>
      <c r="E654" s="39" t="s">
        <v>326</v>
      </c>
      <c r="F654" s="6"/>
      <c r="G654" s="6"/>
    </row>
    <row r="655" spans="2:7" ht="13.5" thickBot="1">
      <c r="B655" s="18"/>
      <c r="C655" s="7" t="s">
        <v>3</v>
      </c>
      <c r="D655" s="20"/>
      <c r="E655" s="81" t="s">
        <v>326</v>
      </c>
      <c r="F655" s="9"/>
      <c r="G655" s="6"/>
    </row>
    <row r="656" spans="2:7" ht="13.5" thickBot="1">
      <c r="B656" s="18"/>
      <c r="G656" s="6"/>
    </row>
    <row r="657" spans="2:7" ht="13.5" thickBot="1">
      <c r="B657" s="18"/>
      <c r="C657" s="23"/>
      <c r="D657" s="24"/>
      <c r="E657" s="87" t="s">
        <v>1392</v>
      </c>
      <c r="F657" s="25"/>
      <c r="G657" s="6"/>
    </row>
    <row r="658" spans="2:7">
      <c r="B658" s="18"/>
      <c r="G658" s="6"/>
    </row>
    <row r="659" spans="2:7">
      <c r="B659" s="203"/>
      <c r="C659" t="s">
        <v>5</v>
      </c>
      <c r="G659" s="6"/>
    </row>
    <row r="660" spans="2:7">
      <c r="B660" s="203"/>
      <c r="G660" s="6"/>
    </row>
    <row r="661" spans="2:7">
      <c r="B661" s="5">
        <v>1</v>
      </c>
      <c r="C661" s="39" t="s">
        <v>327</v>
      </c>
      <c r="G661" s="6"/>
    </row>
    <row r="662" spans="2:7">
      <c r="B662" s="5">
        <v>2</v>
      </c>
      <c r="C662" s="39" t="s">
        <v>1113</v>
      </c>
      <c r="G662" s="6"/>
    </row>
    <row r="663" spans="2:7">
      <c r="B663" s="5">
        <v>3</v>
      </c>
      <c r="C663" s="39" t="s">
        <v>1314</v>
      </c>
      <c r="G663" s="6"/>
    </row>
    <row r="664" spans="2:7">
      <c r="B664" s="5">
        <v>4</v>
      </c>
      <c r="C664" s="39" t="s">
        <v>1106</v>
      </c>
      <c r="G664" s="6"/>
    </row>
    <row r="665" spans="2:7">
      <c r="B665" s="5">
        <v>5</v>
      </c>
      <c r="C665" s="39" t="s">
        <v>207</v>
      </c>
      <c r="G665" s="6"/>
    </row>
    <row r="666" spans="2:7">
      <c r="B666" s="5">
        <v>6</v>
      </c>
      <c r="C666" s="39" t="s">
        <v>18</v>
      </c>
      <c r="G666" s="6"/>
    </row>
    <row r="667" spans="2:7">
      <c r="B667" s="5">
        <v>7</v>
      </c>
      <c r="C667" s="39" t="s">
        <v>1324</v>
      </c>
      <c r="G667" s="6"/>
    </row>
    <row r="668" spans="2:7">
      <c r="B668" s="5">
        <v>8</v>
      </c>
      <c r="C668" s="39" t="s">
        <v>1329</v>
      </c>
      <c r="G668" s="6"/>
    </row>
    <row r="669" spans="2:7">
      <c r="B669" s="5">
        <v>9</v>
      </c>
      <c r="C669" s="39" t="s">
        <v>1235</v>
      </c>
      <c r="G669" s="6"/>
    </row>
    <row r="670" spans="2:7">
      <c r="B670" s="5">
        <v>10</v>
      </c>
      <c r="C670" s="39" t="s">
        <v>234</v>
      </c>
      <c r="G670" s="6"/>
    </row>
    <row r="671" spans="2:7">
      <c r="B671" s="5">
        <v>11</v>
      </c>
      <c r="C671" s="39" t="s">
        <v>1438</v>
      </c>
      <c r="G671" s="6"/>
    </row>
    <row r="672" spans="2:7">
      <c r="B672" s="5">
        <v>12</v>
      </c>
      <c r="C672" s="39" t="s">
        <v>1198</v>
      </c>
      <c r="G672" s="6"/>
    </row>
    <row r="673" spans="2:7">
      <c r="B673" s="5">
        <v>13</v>
      </c>
      <c r="C673" s="39" t="s">
        <v>1174</v>
      </c>
      <c r="G673" s="6"/>
    </row>
    <row r="674" spans="2:7">
      <c r="B674" s="5">
        <v>14</v>
      </c>
      <c r="C674" s="39" t="s">
        <v>141</v>
      </c>
      <c r="G674" s="6"/>
    </row>
    <row r="675" spans="2:7">
      <c r="B675" s="5">
        <v>15</v>
      </c>
      <c r="C675" s="39" t="s">
        <v>1340</v>
      </c>
      <c r="G675" s="6"/>
    </row>
    <row r="676" spans="2:7">
      <c r="B676" s="18"/>
      <c r="G676" s="6"/>
    </row>
    <row r="677" spans="2:7">
      <c r="B677" s="18"/>
      <c r="C677" s="39" t="s">
        <v>325</v>
      </c>
      <c r="G677" s="6"/>
    </row>
    <row r="678" spans="2:7">
      <c r="B678" s="18"/>
      <c r="C678" s="198" t="s">
        <v>1406</v>
      </c>
      <c r="G678" s="6"/>
    </row>
    <row r="679" spans="2:7">
      <c r="B679" s="18"/>
      <c r="C679" s="198" t="s">
        <v>1439</v>
      </c>
      <c r="G679" s="6"/>
    </row>
    <row r="680" spans="2:7">
      <c r="B680" s="18"/>
      <c r="C680" s="198" t="s">
        <v>1381</v>
      </c>
      <c r="G680" s="6"/>
    </row>
    <row r="681" spans="2:7">
      <c r="B681" s="18"/>
      <c r="C681" s="198" t="s">
        <v>1426</v>
      </c>
      <c r="G681" s="6"/>
    </row>
    <row r="682" spans="2:7">
      <c r="B682" s="18"/>
      <c r="C682" s="198" t="s">
        <v>1436</v>
      </c>
      <c r="G682" s="6"/>
    </row>
    <row r="683" spans="2:7">
      <c r="B683" s="18"/>
      <c r="C683" s="198" t="s">
        <v>1432</v>
      </c>
      <c r="G683" s="6"/>
    </row>
    <row r="684" spans="2:7">
      <c r="B684" s="18"/>
      <c r="C684" s="198"/>
      <c r="G684" s="6"/>
    </row>
    <row r="685" spans="2:7">
      <c r="B685" s="203"/>
      <c r="C685" s="2" t="s">
        <v>21</v>
      </c>
      <c r="G685" s="6"/>
    </row>
    <row r="686" spans="2:7">
      <c r="B686" s="82" t="s">
        <v>336</v>
      </c>
      <c r="C686" s="198" t="s">
        <v>207</v>
      </c>
      <c r="G686" s="6"/>
    </row>
    <row r="687" spans="2:7">
      <c r="B687" s="82" t="s">
        <v>336</v>
      </c>
      <c r="C687" s="198" t="s">
        <v>1329</v>
      </c>
      <c r="G687" s="6"/>
    </row>
    <row r="688" spans="2:7">
      <c r="B688" s="82" t="s">
        <v>336</v>
      </c>
      <c r="C688" s="198" t="s">
        <v>56</v>
      </c>
      <c r="G688" s="6"/>
    </row>
    <row r="689" spans="2:7">
      <c r="B689" s="82" t="s">
        <v>336</v>
      </c>
      <c r="C689" s="198" t="s">
        <v>1113</v>
      </c>
      <c r="G689" s="6"/>
    </row>
    <row r="690" spans="2:7">
      <c r="B690" s="82" t="s">
        <v>336</v>
      </c>
      <c r="C690" s="198" t="s">
        <v>1340</v>
      </c>
      <c r="G690" s="6"/>
    </row>
    <row r="691" spans="2:7">
      <c r="B691" s="18"/>
      <c r="C691" s="39"/>
      <c r="G691" s="6"/>
    </row>
    <row r="692" spans="2:7">
      <c r="B692" s="18"/>
      <c r="C692" s="15" t="s">
        <v>337</v>
      </c>
      <c r="G692" s="6"/>
    </row>
    <row r="693" spans="2:7">
      <c r="B693" s="82" t="s">
        <v>335</v>
      </c>
      <c r="C693" s="198" t="s">
        <v>236</v>
      </c>
      <c r="G693" s="6"/>
    </row>
    <row r="694" spans="2:7">
      <c r="B694" s="18"/>
      <c r="G694" s="6"/>
    </row>
    <row r="695" spans="2:7">
      <c r="B695" s="18"/>
      <c r="C695" s="15" t="s">
        <v>22</v>
      </c>
      <c r="G695" s="6"/>
    </row>
    <row r="696" spans="2:7">
      <c r="B696" s="82" t="s">
        <v>335</v>
      </c>
      <c r="C696" s="39" t="s">
        <v>236</v>
      </c>
      <c r="G696" s="6"/>
    </row>
    <row r="697" spans="2:7">
      <c r="B697" s="18"/>
      <c r="G697" s="6"/>
    </row>
    <row r="698" spans="2:7">
      <c r="B698" s="82"/>
      <c r="C698" s="15" t="s">
        <v>23</v>
      </c>
      <c r="G698" s="6"/>
    </row>
    <row r="699" spans="2:7">
      <c r="B699" s="82"/>
      <c r="C699" s="66" t="s">
        <v>339</v>
      </c>
      <c r="G699" s="6"/>
    </row>
    <row r="700" spans="2:7">
      <c r="B700" s="82"/>
      <c r="C700" s="66"/>
      <c r="G700" s="6"/>
    </row>
    <row r="701" spans="2:7" ht="13.5" thickBot="1">
      <c r="B701" s="163"/>
      <c r="C701" s="20"/>
      <c r="D701" s="20"/>
      <c r="E701" s="8"/>
      <c r="F701" s="20"/>
      <c r="G701" s="9"/>
    </row>
    <row r="702" spans="2:7">
      <c r="B702" s="210"/>
      <c r="C702" s="16"/>
      <c r="D702" s="16"/>
      <c r="E702" s="120"/>
      <c r="F702" s="16"/>
      <c r="G702" s="17"/>
    </row>
    <row r="703" spans="2:7" ht="13.5" thickBot="1">
      <c r="B703" s="163"/>
      <c r="C703" s="20"/>
      <c r="D703" s="20"/>
      <c r="E703" s="8"/>
      <c r="F703" s="20"/>
      <c r="G703" s="9"/>
    </row>
    <row r="704" spans="2:7" ht="13.5" thickBot="1">
      <c r="B704" s="236">
        <v>45479</v>
      </c>
      <c r="C704" s="237"/>
      <c r="D704" s="237"/>
      <c r="E704" s="237"/>
      <c r="F704" s="237"/>
      <c r="G704" s="238"/>
    </row>
    <row r="705" spans="2:12" ht="13.5" thickBot="1">
      <c r="B705" s="18"/>
      <c r="G705" s="6"/>
    </row>
    <row r="706" spans="2:12">
      <c r="B706" s="18"/>
      <c r="C706" s="21" t="s">
        <v>27</v>
      </c>
      <c r="D706" s="16"/>
      <c r="E706" s="80" t="s">
        <v>47</v>
      </c>
      <c r="F706" s="4">
        <v>24</v>
      </c>
      <c r="G706" s="6"/>
    </row>
    <row r="707" spans="2:12" ht="13.5" thickBot="1">
      <c r="B707" s="18"/>
      <c r="C707" s="7"/>
      <c r="D707" s="20"/>
      <c r="E707" s="83" t="s">
        <v>1</v>
      </c>
      <c r="F707" s="22">
        <v>21</v>
      </c>
      <c r="G707" s="6"/>
    </row>
    <row r="708" spans="2:12" ht="13.5" thickBot="1">
      <c r="B708" s="18"/>
      <c r="G708" s="6"/>
    </row>
    <row r="709" spans="2:12">
      <c r="B709" s="18"/>
      <c r="C709" s="3" t="s">
        <v>4</v>
      </c>
      <c r="D709" s="16"/>
      <c r="E709" s="80" t="s">
        <v>47</v>
      </c>
      <c r="F709" s="84"/>
      <c r="G709" s="6"/>
    </row>
    <row r="710" spans="2:12">
      <c r="B710" s="18"/>
      <c r="C710" s="5" t="s">
        <v>2</v>
      </c>
      <c r="E710" s="39" t="s">
        <v>326</v>
      </c>
      <c r="F710" s="6"/>
      <c r="G710" s="6"/>
    </row>
    <row r="711" spans="2:12" ht="13.5" thickBot="1">
      <c r="B711" s="18"/>
      <c r="C711" s="7" t="s">
        <v>3</v>
      </c>
      <c r="D711" s="20"/>
      <c r="E711" s="81" t="s">
        <v>326</v>
      </c>
      <c r="F711" s="9"/>
      <c r="G711" s="6"/>
    </row>
    <row r="712" spans="2:12" ht="13.5" thickBot="1">
      <c r="B712" s="18"/>
      <c r="G712" s="6"/>
    </row>
    <row r="713" spans="2:12" ht="13.5" thickBot="1">
      <c r="B713" s="18"/>
      <c r="C713" s="23"/>
      <c r="D713" s="24"/>
      <c r="E713" s="87" t="s">
        <v>1333</v>
      </c>
      <c r="F713" s="25"/>
      <c r="G713" s="6"/>
    </row>
    <row r="714" spans="2:12">
      <c r="B714" s="18"/>
      <c r="G714" s="6"/>
    </row>
    <row r="715" spans="2:12">
      <c r="B715" s="203"/>
      <c r="C715" t="s">
        <v>5</v>
      </c>
      <c r="G715" s="6"/>
    </row>
    <row r="716" spans="2:12">
      <c r="B716" s="203"/>
      <c r="G716" s="6"/>
    </row>
    <row r="717" spans="2:12">
      <c r="B717" s="5">
        <v>1</v>
      </c>
      <c r="C717" s="39" t="s">
        <v>327</v>
      </c>
      <c r="G717" s="6"/>
    </row>
    <row r="718" spans="2:12">
      <c r="B718" s="5">
        <v>2</v>
      </c>
      <c r="C718" s="39" t="s">
        <v>1113</v>
      </c>
      <c r="G718" s="6"/>
    </row>
    <row r="719" spans="2:12">
      <c r="B719" s="5">
        <v>3</v>
      </c>
      <c r="C719" s="39" t="s">
        <v>1314</v>
      </c>
      <c r="G719" s="6"/>
      <c r="J719" s="15"/>
      <c r="K719" s="15"/>
      <c r="L719" s="15"/>
    </row>
    <row r="720" spans="2:12">
      <c r="B720" s="5">
        <v>4</v>
      </c>
      <c r="C720" s="39" t="s">
        <v>1106</v>
      </c>
      <c r="G720" s="6"/>
    </row>
    <row r="721" spans="2:10">
      <c r="B721" s="5">
        <v>5</v>
      </c>
      <c r="C721" s="39" t="s">
        <v>207</v>
      </c>
      <c r="G721" s="6"/>
    </row>
    <row r="722" spans="2:10">
      <c r="B722" s="5">
        <v>6</v>
      </c>
      <c r="C722" s="39" t="s">
        <v>18</v>
      </c>
      <c r="G722" s="6"/>
    </row>
    <row r="723" spans="2:10">
      <c r="B723" s="5">
        <v>7</v>
      </c>
      <c r="C723" s="39" t="s">
        <v>1324</v>
      </c>
      <c r="G723" s="6"/>
    </row>
    <row r="724" spans="2:10">
      <c r="B724" s="5">
        <v>8</v>
      </c>
      <c r="C724" s="39" t="s">
        <v>1096</v>
      </c>
      <c r="G724" s="6"/>
    </row>
    <row r="725" spans="2:10">
      <c r="B725" s="5">
        <v>9</v>
      </c>
      <c r="C725" s="39" t="s">
        <v>1235</v>
      </c>
      <c r="G725" s="6"/>
    </row>
    <row r="726" spans="2:10">
      <c r="B726" s="5">
        <v>10</v>
      </c>
      <c r="C726" s="39" t="s">
        <v>234</v>
      </c>
      <c r="G726" s="6"/>
    </row>
    <row r="727" spans="2:10">
      <c r="B727" s="5">
        <v>11</v>
      </c>
      <c r="C727" s="39" t="s">
        <v>1438</v>
      </c>
      <c r="G727" s="6"/>
    </row>
    <row r="728" spans="2:10">
      <c r="B728" s="5">
        <v>12</v>
      </c>
      <c r="C728" s="39" t="s">
        <v>1198</v>
      </c>
      <c r="G728" s="6"/>
    </row>
    <row r="729" spans="2:10">
      <c r="B729" s="5">
        <v>13</v>
      </c>
      <c r="C729" s="39" t="s">
        <v>1174</v>
      </c>
      <c r="G729" s="6"/>
    </row>
    <row r="730" spans="2:10">
      <c r="B730" s="5">
        <v>14</v>
      </c>
      <c r="C730" s="39" t="s">
        <v>141</v>
      </c>
      <c r="G730" s="6"/>
    </row>
    <row r="731" spans="2:10">
      <c r="B731" s="5">
        <v>15</v>
      </c>
      <c r="C731" s="39" t="s">
        <v>1403</v>
      </c>
      <c r="G731" s="6"/>
    </row>
    <row r="732" spans="2:10">
      <c r="B732" s="18"/>
      <c r="G732" s="6"/>
    </row>
    <row r="733" spans="2:10">
      <c r="B733" s="18"/>
      <c r="C733" s="39" t="s">
        <v>325</v>
      </c>
      <c r="G733" s="6"/>
    </row>
    <row r="734" spans="2:10">
      <c r="B734" s="18"/>
      <c r="C734" s="198" t="s">
        <v>1406</v>
      </c>
      <c r="G734" s="6"/>
    </row>
    <row r="735" spans="2:10">
      <c r="B735" s="18"/>
      <c r="C735" s="198" t="s">
        <v>1439</v>
      </c>
      <c r="G735" s="6"/>
    </row>
    <row r="736" spans="2:10">
      <c r="B736" s="18"/>
      <c r="C736" s="198" t="s">
        <v>1451</v>
      </c>
      <c r="G736" s="6"/>
      <c r="J736" s="15"/>
    </row>
    <row r="737" spans="2:12">
      <c r="B737" s="18"/>
      <c r="C737" s="198" t="s">
        <v>1452</v>
      </c>
      <c r="G737" s="6"/>
      <c r="L737" s="199"/>
    </row>
    <row r="738" spans="2:12">
      <c r="B738" s="18"/>
      <c r="C738" s="198"/>
      <c r="G738" s="6"/>
    </row>
    <row r="739" spans="2:12">
      <c r="B739" s="203"/>
      <c r="C739" s="2" t="s">
        <v>21</v>
      </c>
      <c r="G739" s="6"/>
    </row>
    <row r="740" spans="2:12">
      <c r="B740" s="82" t="s">
        <v>336</v>
      </c>
      <c r="C740" s="198" t="s">
        <v>234</v>
      </c>
      <c r="G740" s="6"/>
    </row>
    <row r="741" spans="2:12">
      <c r="B741" s="82" t="s">
        <v>336</v>
      </c>
      <c r="C741" s="198" t="s">
        <v>18</v>
      </c>
      <c r="G741" s="6"/>
    </row>
    <row r="742" spans="2:12">
      <c r="B742" s="82" t="s">
        <v>336</v>
      </c>
      <c r="C742" s="198" t="s">
        <v>1403</v>
      </c>
      <c r="G742" s="6"/>
    </row>
    <row r="743" spans="2:12">
      <c r="B743" s="18"/>
      <c r="C743" s="39"/>
      <c r="G743" s="6"/>
    </row>
    <row r="744" spans="2:12">
      <c r="B744" s="18"/>
      <c r="C744" s="15" t="s">
        <v>337</v>
      </c>
      <c r="G744" s="6"/>
    </row>
    <row r="745" spans="2:12">
      <c r="B745" s="82" t="s">
        <v>335</v>
      </c>
      <c r="C745" s="198" t="s">
        <v>236</v>
      </c>
      <c r="G745" s="6"/>
    </row>
    <row r="746" spans="2:12">
      <c r="B746" s="18"/>
      <c r="G746" s="6"/>
    </row>
    <row r="747" spans="2:12">
      <c r="B747" s="18"/>
      <c r="C747" s="15" t="s">
        <v>22</v>
      </c>
      <c r="G747" s="6"/>
    </row>
    <row r="748" spans="2:12">
      <c r="B748" s="82"/>
      <c r="C748" s="39" t="s">
        <v>339</v>
      </c>
      <c r="G748" s="6"/>
    </row>
    <row r="749" spans="2:12">
      <c r="B749" s="18"/>
      <c r="G749" s="6"/>
    </row>
    <row r="750" spans="2:12">
      <c r="B750" s="82"/>
      <c r="C750" s="15" t="s">
        <v>23</v>
      </c>
      <c r="G750" s="6"/>
    </row>
    <row r="751" spans="2:12">
      <c r="B751" s="82"/>
      <c r="C751" s="66" t="s">
        <v>339</v>
      </c>
      <c r="G751" s="6"/>
    </row>
    <row r="752" spans="2:12">
      <c r="B752" s="82"/>
      <c r="C752" s="66"/>
      <c r="G752" s="6"/>
    </row>
    <row r="753" spans="2:7" ht="13.5" thickBot="1">
      <c r="B753" s="163"/>
      <c r="C753" s="20"/>
      <c r="D753" s="20"/>
      <c r="E753" s="8"/>
      <c r="F753" s="20"/>
      <c r="G753" s="9"/>
    </row>
    <row r="754" spans="2:7">
      <c r="B754" s="5"/>
      <c r="C754" s="39"/>
      <c r="G754" s="6"/>
    </row>
    <row r="755" spans="2:7" ht="13.5" thickBot="1">
      <c r="B755" s="5"/>
      <c r="C755" s="39"/>
      <c r="G755" s="6"/>
    </row>
    <row r="756" spans="2:7" ht="13.5" thickBot="1">
      <c r="B756" s="236">
        <v>45487</v>
      </c>
      <c r="C756" s="237"/>
      <c r="D756" s="237"/>
      <c r="E756" s="237"/>
      <c r="F756" s="237"/>
      <c r="G756" s="238"/>
    </row>
    <row r="757" spans="2:7" ht="13.5" thickBot="1">
      <c r="B757" s="18"/>
      <c r="G757" s="6"/>
    </row>
    <row r="758" spans="2:7">
      <c r="B758" s="18"/>
      <c r="C758" s="21" t="s">
        <v>27</v>
      </c>
      <c r="D758" s="16"/>
      <c r="E758" s="80" t="s">
        <v>1</v>
      </c>
      <c r="F758" s="4">
        <v>46</v>
      </c>
      <c r="G758" s="6"/>
    </row>
    <row r="759" spans="2:7" ht="13.5" thickBot="1">
      <c r="B759" s="18"/>
      <c r="C759" s="7"/>
      <c r="D759" s="20"/>
      <c r="E759" s="83" t="s">
        <v>40</v>
      </c>
      <c r="F759" s="22">
        <v>23</v>
      </c>
      <c r="G759" s="6"/>
    </row>
    <row r="760" spans="2:7" ht="13.5" thickBot="1">
      <c r="B760" s="18"/>
      <c r="G760" s="6"/>
    </row>
    <row r="761" spans="2:7">
      <c r="B761" s="18"/>
      <c r="C761" s="3" t="s">
        <v>4</v>
      </c>
      <c r="D761" s="16"/>
      <c r="E761" s="80" t="s">
        <v>1</v>
      </c>
      <c r="F761" s="84" t="s">
        <v>205</v>
      </c>
      <c r="G761" s="6"/>
    </row>
    <row r="762" spans="2:7">
      <c r="B762" s="18"/>
      <c r="C762" s="5" t="s">
        <v>2</v>
      </c>
      <c r="E762" s="39" t="s">
        <v>326</v>
      </c>
      <c r="F762" s="6"/>
      <c r="G762" s="6"/>
    </row>
    <row r="763" spans="2:7" ht="13.5" thickBot="1">
      <c r="B763" s="18"/>
      <c r="C763" s="7" t="s">
        <v>3</v>
      </c>
      <c r="D763" s="20"/>
      <c r="E763" s="81" t="s">
        <v>326</v>
      </c>
      <c r="F763" s="9"/>
      <c r="G763" s="6"/>
    </row>
    <row r="764" spans="2:7" ht="13.5" thickBot="1">
      <c r="B764" s="18"/>
      <c r="G764" s="6"/>
    </row>
    <row r="765" spans="2:7" ht="13.5" thickBot="1">
      <c r="B765" s="18"/>
      <c r="C765" s="23"/>
      <c r="D765" s="24"/>
      <c r="E765" s="87" t="s">
        <v>1088</v>
      </c>
      <c r="F765" s="25"/>
      <c r="G765" s="6"/>
    </row>
    <row r="766" spans="2:7">
      <c r="B766" s="18"/>
      <c r="G766" s="6"/>
    </row>
    <row r="767" spans="2:7">
      <c r="B767" s="203"/>
      <c r="C767" t="s">
        <v>5</v>
      </c>
      <c r="G767" s="6"/>
    </row>
    <row r="768" spans="2:7">
      <c r="B768" s="203"/>
      <c r="G768" s="6"/>
    </row>
    <row r="769" spans="2:7">
      <c r="B769" s="5">
        <v>1</v>
      </c>
      <c r="C769" s="39" t="s">
        <v>327</v>
      </c>
      <c r="G769" s="6"/>
    </row>
    <row r="770" spans="2:7">
      <c r="B770" s="5">
        <v>2</v>
      </c>
      <c r="C770" s="39" t="s">
        <v>1113</v>
      </c>
      <c r="G770" s="6"/>
    </row>
    <row r="771" spans="2:7">
      <c r="B771" s="5">
        <v>3</v>
      </c>
      <c r="C771" s="39" t="s">
        <v>1314</v>
      </c>
      <c r="G771" s="6"/>
    </row>
    <row r="772" spans="2:7">
      <c r="B772" s="5">
        <v>4</v>
      </c>
      <c r="C772" s="39" t="s">
        <v>1106</v>
      </c>
      <c r="G772" s="6"/>
    </row>
    <row r="773" spans="2:7">
      <c r="B773" s="5">
        <v>5</v>
      </c>
      <c r="C773" s="39" t="s">
        <v>207</v>
      </c>
      <c r="G773" s="6"/>
    </row>
    <row r="774" spans="2:7">
      <c r="B774" s="5">
        <v>6</v>
      </c>
      <c r="C774" s="39" t="s">
        <v>18</v>
      </c>
      <c r="G774" s="6"/>
    </row>
    <row r="775" spans="2:7">
      <c r="B775" s="5">
        <v>7</v>
      </c>
      <c r="C775" s="39" t="s">
        <v>1324</v>
      </c>
      <c r="G775" s="6"/>
    </row>
    <row r="776" spans="2:7">
      <c r="B776" s="5">
        <v>8</v>
      </c>
      <c r="C776" s="39" t="s">
        <v>1096</v>
      </c>
      <c r="G776" s="6"/>
    </row>
    <row r="777" spans="2:7">
      <c r="B777" s="5">
        <v>9</v>
      </c>
      <c r="C777" s="39" t="s">
        <v>1429</v>
      </c>
      <c r="G777" s="6"/>
    </row>
    <row r="778" spans="2:7">
      <c r="B778" s="5">
        <v>10</v>
      </c>
      <c r="C778" s="39" t="s">
        <v>234</v>
      </c>
      <c r="G778" s="6"/>
    </row>
    <row r="779" spans="2:7">
      <c r="B779" s="5">
        <v>11</v>
      </c>
      <c r="C779" s="39" t="s">
        <v>1174</v>
      </c>
      <c r="G779" s="6"/>
    </row>
    <row r="780" spans="2:7">
      <c r="B780" s="5">
        <v>12</v>
      </c>
      <c r="C780" s="39" t="s">
        <v>1198</v>
      </c>
      <c r="G780" s="6"/>
    </row>
    <row r="781" spans="2:7">
      <c r="B781" s="5">
        <v>13</v>
      </c>
      <c r="C781" s="39" t="s">
        <v>1112</v>
      </c>
      <c r="G781" s="6"/>
    </row>
    <row r="782" spans="2:7">
      <c r="B782" s="5">
        <v>14</v>
      </c>
      <c r="C782" s="39" t="s">
        <v>141</v>
      </c>
      <c r="G782" s="6"/>
    </row>
    <row r="783" spans="2:7">
      <c r="B783" s="5">
        <v>15</v>
      </c>
      <c r="C783" s="39" t="s">
        <v>1403</v>
      </c>
      <c r="G783" s="6"/>
    </row>
    <row r="784" spans="2:7">
      <c r="B784" s="18"/>
      <c r="G784" s="6"/>
    </row>
    <row r="785" spans="2:7">
      <c r="B785" s="18"/>
      <c r="C785" s="39" t="s">
        <v>325</v>
      </c>
      <c r="G785" s="6"/>
    </row>
    <row r="786" spans="2:7">
      <c r="B786" s="18"/>
      <c r="C786" s="198" t="s">
        <v>1406</v>
      </c>
      <c r="G786" s="6"/>
    </row>
    <row r="787" spans="2:7">
      <c r="B787" s="18"/>
      <c r="C787" s="198" t="s">
        <v>1439</v>
      </c>
      <c r="G787" s="6"/>
    </row>
    <row r="788" spans="2:7">
      <c r="B788" s="18"/>
      <c r="C788" s="198" t="s">
        <v>1451</v>
      </c>
      <c r="G788" s="6"/>
    </row>
    <row r="789" spans="2:7">
      <c r="B789" s="18"/>
      <c r="C789" s="198" t="s">
        <v>1453</v>
      </c>
      <c r="G789" s="6"/>
    </row>
    <row r="790" spans="2:7">
      <c r="B790" s="18"/>
      <c r="C790" s="198" t="s">
        <v>1381</v>
      </c>
      <c r="G790" s="6"/>
    </row>
    <row r="791" spans="2:7">
      <c r="B791" s="18"/>
      <c r="C791" s="198" t="s">
        <v>1454</v>
      </c>
      <c r="G791" s="6"/>
    </row>
    <row r="792" spans="2:7">
      <c r="B792" s="18"/>
      <c r="C792" s="198" t="s">
        <v>1455</v>
      </c>
      <c r="G792" s="6"/>
    </row>
    <row r="793" spans="2:7">
      <c r="B793" s="18"/>
      <c r="C793" s="198" t="s">
        <v>1432</v>
      </c>
      <c r="G793" s="6"/>
    </row>
    <row r="794" spans="2:7">
      <c r="B794" s="18"/>
      <c r="C794" s="198"/>
      <c r="G794" s="6"/>
    </row>
    <row r="795" spans="2:7">
      <c r="B795" s="203"/>
      <c r="C795" s="2" t="s">
        <v>21</v>
      </c>
      <c r="G795" s="6"/>
    </row>
    <row r="796" spans="2:7">
      <c r="B796" s="82" t="s">
        <v>336</v>
      </c>
      <c r="C796" s="198" t="s">
        <v>327</v>
      </c>
      <c r="G796" s="6"/>
    </row>
    <row r="797" spans="2:7">
      <c r="B797" s="82" t="s">
        <v>336</v>
      </c>
      <c r="C797" s="198" t="s">
        <v>236</v>
      </c>
      <c r="G797" s="6"/>
    </row>
    <row r="798" spans="2:7">
      <c r="B798" s="82" t="s">
        <v>336</v>
      </c>
      <c r="C798" s="198" t="s">
        <v>1174</v>
      </c>
      <c r="G798" s="6"/>
    </row>
    <row r="799" spans="2:7">
      <c r="B799" s="82" t="s">
        <v>338</v>
      </c>
      <c r="C799" s="198" t="s">
        <v>1096</v>
      </c>
      <c r="G799" s="6"/>
    </row>
    <row r="800" spans="2:7">
      <c r="B800" s="18"/>
      <c r="C800" s="39"/>
      <c r="G800" s="6"/>
    </row>
    <row r="801" spans="2:7">
      <c r="B801" s="18"/>
      <c r="C801" s="15" t="s">
        <v>337</v>
      </c>
      <c r="G801" s="6"/>
    </row>
    <row r="802" spans="2:7">
      <c r="B802" s="82" t="s">
        <v>338</v>
      </c>
      <c r="C802" s="198" t="s">
        <v>236</v>
      </c>
      <c r="G802" s="6"/>
    </row>
    <row r="803" spans="2:7">
      <c r="B803" s="18"/>
      <c r="G803" s="6"/>
    </row>
    <row r="804" spans="2:7">
      <c r="B804" s="18"/>
      <c r="C804" s="15" t="s">
        <v>22</v>
      </c>
      <c r="G804" s="6"/>
    </row>
    <row r="805" spans="2:7">
      <c r="B805" s="82" t="s">
        <v>336</v>
      </c>
      <c r="C805" s="39" t="s">
        <v>236</v>
      </c>
      <c r="G805" s="6"/>
    </row>
    <row r="806" spans="2:7">
      <c r="B806" s="18"/>
      <c r="G806" s="6"/>
    </row>
    <row r="807" spans="2:7">
      <c r="B807" s="82"/>
      <c r="C807" s="15" t="s">
        <v>23</v>
      </c>
      <c r="G807" s="6"/>
    </row>
    <row r="808" spans="2:7">
      <c r="B808" s="82" t="s">
        <v>336</v>
      </c>
      <c r="C808" s="66" t="s">
        <v>18</v>
      </c>
      <c r="G808" s="6"/>
    </row>
    <row r="809" spans="2:7">
      <c r="B809" s="82" t="s">
        <v>336</v>
      </c>
      <c r="C809" s="66" t="s">
        <v>1324</v>
      </c>
      <c r="G809" s="6"/>
    </row>
    <row r="810" spans="2:7" ht="13.5" thickBot="1">
      <c r="B810" s="163"/>
      <c r="C810" s="20"/>
      <c r="D810" s="20"/>
      <c r="E810" s="8"/>
      <c r="F810" s="20"/>
      <c r="G810" s="9"/>
    </row>
    <row r="811" spans="2:7">
      <c r="B811" s="18"/>
      <c r="G811" s="6"/>
    </row>
    <row r="812" spans="2:7" ht="13.5" thickBot="1">
      <c r="B812" s="18"/>
      <c r="G812" s="6"/>
    </row>
    <row r="813" spans="2:7" ht="13.5" thickBot="1">
      <c r="B813" s="236">
        <v>45507</v>
      </c>
      <c r="C813" s="237"/>
      <c r="D813" s="237"/>
      <c r="E813" s="237"/>
      <c r="F813" s="237"/>
      <c r="G813" s="238"/>
    </row>
    <row r="814" spans="2:7" ht="13.5" thickBot="1">
      <c r="B814" s="18"/>
      <c r="G814" s="6"/>
    </row>
    <row r="815" spans="2:7">
      <c r="B815" s="18"/>
      <c r="C815" s="21" t="s">
        <v>27</v>
      </c>
      <c r="D815" s="16"/>
      <c r="E815" s="80" t="s">
        <v>49</v>
      </c>
      <c r="F815" s="4">
        <v>26</v>
      </c>
      <c r="G815" s="6"/>
    </row>
    <row r="816" spans="2:7" ht="13.5" thickBot="1">
      <c r="B816" s="18"/>
      <c r="C816" s="7"/>
      <c r="D816" s="20"/>
      <c r="E816" s="83" t="s">
        <v>1</v>
      </c>
      <c r="F816" s="22">
        <v>31</v>
      </c>
      <c r="G816" s="6"/>
    </row>
    <row r="817" spans="2:7" ht="13.5" thickBot="1">
      <c r="B817" s="18"/>
      <c r="G817" s="6"/>
    </row>
    <row r="818" spans="2:7">
      <c r="B818" s="18"/>
      <c r="C818" s="3" t="s">
        <v>4</v>
      </c>
      <c r="D818" s="16"/>
      <c r="E818" s="80" t="s">
        <v>49</v>
      </c>
      <c r="F818" s="84"/>
      <c r="G818" s="6"/>
    </row>
    <row r="819" spans="2:7">
      <c r="B819" s="18"/>
      <c r="C819" s="5" t="s">
        <v>2</v>
      </c>
      <c r="E819" s="39" t="s">
        <v>326</v>
      </c>
      <c r="F819" s="6"/>
      <c r="G819" s="6"/>
    </row>
    <row r="820" spans="2:7" ht="13.5" thickBot="1">
      <c r="B820" s="18"/>
      <c r="C820" s="7" t="s">
        <v>3</v>
      </c>
      <c r="D820" s="20"/>
      <c r="E820" s="81" t="s">
        <v>354</v>
      </c>
      <c r="F820" s="9"/>
      <c r="G820" s="6"/>
    </row>
    <row r="821" spans="2:7" ht="13.5" thickBot="1">
      <c r="B821" s="18"/>
      <c r="G821" s="6"/>
    </row>
    <row r="822" spans="2:7" ht="13.5" thickBot="1">
      <c r="B822" s="18"/>
      <c r="C822" s="23"/>
      <c r="D822" s="24"/>
      <c r="E822" s="87" t="s">
        <v>1411</v>
      </c>
      <c r="F822" s="25"/>
      <c r="G822" s="6"/>
    </row>
    <row r="823" spans="2:7">
      <c r="B823" s="18"/>
      <c r="G823" s="6"/>
    </row>
    <row r="824" spans="2:7">
      <c r="B824" s="203"/>
      <c r="C824" t="s">
        <v>5</v>
      </c>
      <c r="G824" s="6"/>
    </row>
    <row r="825" spans="2:7">
      <c r="B825" s="203"/>
      <c r="G825" s="6"/>
    </row>
    <row r="826" spans="2:7">
      <c r="B826" s="5">
        <v>1</v>
      </c>
      <c r="C826" s="39" t="s">
        <v>327</v>
      </c>
      <c r="G826" s="6"/>
    </row>
    <row r="827" spans="2:7">
      <c r="B827" s="5">
        <v>2</v>
      </c>
      <c r="C827" s="39" t="s">
        <v>1113</v>
      </c>
      <c r="G827" s="6"/>
    </row>
    <row r="828" spans="2:7">
      <c r="B828" s="5">
        <v>3</v>
      </c>
      <c r="C828" s="39" t="s">
        <v>1314</v>
      </c>
      <c r="G828" s="6"/>
    </row>
    <row r="829" spans="2:7">
      <c r="B829" s="5">
        <v>4</v>
      </c>
      <c r="C829" s="39" t="s">
        <v>1106</v>
      </c>
      <c r="G829" s="6"/>
    </row>
    <row r="830" spans="2:7">
      <c r="B830" s="5">
        <v>5</v>
      </c>
      <c r="C830" s="39" t="s">
        <v>207</v>
      </c>
      <c r="G830" s="6"/>
    </row>
    <row r="831" spans="2:7">
      <c r="B831" s="5">
        <v>6</v>
      </c>
      <c r="C831" s="39" t="s">
        <v>18</v>
      </c>
      <c r="G831" s="6"/>
    </row>
    <row r="832" spans="2:7">
      <c r="B832" s="5">
        <v>7</v>
      </c>
      <c r="C832" s="39" t="s">
        <v>1324</v>
      </c>
      <c r="G832" s="6"/>
    </row>
    <row r="833" spans="2:7">
      <c r="B833" s="5">
        <v>8</v>
      </c>
      <c r="C833" s="39" t="s">
        <v>1329</v>
      </c>
      <c r="G833" s="6"/>
    </row>
    <row r="834" spans="2:7">
      <c r="B834" s="5">
        <v>9</v>
      </c>
      <c r="C834" s="39" t="s">
        <v>1429</v>
      </c>
      <c r="G834" s="6"/>
    </row>
    <row r="835" spans="2:7">
      <c r="B835" s="5">
        <v>10</v>
      </c>
      <c r="C835" s="39" t="s">
        <v>234</v>
      </c>
      <c r="G835" s="6"/>
    </row>
    <row r="836" spans="2:7">
      <c r="B836" s="5">
        <v>11</v>
      </c>
      <c r="C836" s="39" t="s">
        <v>1174</v>
      </c>
      <c r="G836" s="6"/>
    </row>
    <row r="837" spans="2:7">
      <c r="B837" s="5">
        <v>12</v>
      </c>
      <c r="C837" s="39" t="s">
        <v>1198</v>
      </c>
      <c r="G837" s="6"/>
    </row>
    <row r="838" spans="2:7">
      <c r="B838" s="5">
        <v>13</v>
      </c>
      <c r="C838" s="39" t="s">
        <v>1112</v>
      </c>
      <c r="G838" s="6"/>
    </row>
    <row r="839" spans="2:7">
      <c r="B839" s="5">
        <v>14</v>
      </c>
      <c r="C839" s="39" t="s">
        <v>144</v>
      </c>
      <c r="G839" s="6"/>
    </row>
    <row r="840" spans="2:7">
      <c r="B840" s="5">
        <v>15</v>
      </c>
      <c r="C840" s="39" t="s">
        <v>607</v>
      </c>
      <c r="G840" s="6"/>
    </row>
    <row r="841" spans="2:7">
      <c r="B841" s="18"/>
      <c r="G841" s="6"/>
    </row>
    <row r="842" spans="2:7">
      <c r="B842" s="18"/>
      <c r="C842" s="39" t="s">
        <v>325</v>
      </c>
      <c r="G842" s="6"/>
    </row>
    <row r="843" spans="2:7">
      <c r="B843" s="18"/>
      <c r="C843" s="198" t="s">
        <v>1169</v>
      </c>
      <c r="G843" s="6"/>
    </row>
    <row r="844" spans="2:7">
      <c r="B844" s="18"/>
      <c r="C844" s="198" t="s">
        <v>1439</v>
      </c>
      <c r="G844" s="6"/>
    </row>
    <row r="845" spans="2:7">
      <c r="B845" s="18"/>
      <c r="C845" s="198" t="s">
        <v>1381</v>
      </c>
      <c r="G845" s="6"/>
    </row>
    <row r="846" spans="2:7">
      <c r="B846" s="18"/>
      <c r="C846" s="198" t="s">
        <v>1455</v>
      </c>
      <c r="G846" s="6"/>
    </row>
    <row r="847" spans="2:7">
      <c r="B847" s="18"/>
      <c r="C847" s="198"/>
      <c r="G847" s="6"/>
    </row>
    <row r="848" spans="2:7">
      <c r="B848" s="203"/>
      <c r="C848" s="2" t="s">
        <v>21</v>
      </c>
      <c r="G848" s="6"/>
    </row>
    <row r="849" spans="2:7">
      <c r="B849" s="82" t="s">
        <v>336</v>
      </c>
      <c r="C849" s="198" t="s">
        <v>1329</v>
      </c>
      <c r="G849" s="6"/>
    </row>
    <row r="850" spans="2:7">
      <c r="B850" s="82" t="s">
        <v>336</v>
      </c>
      <c r="C850" s="198" t="s">
        <v>56</v>
      </c>
      <c r="G850" s="6"/>
    </row>
    <row r="851" spans="2:7">
      <c r="B851" s="82" t="s">
        <v>336</v>
      </c>
      <c r="C851" s="198" t="s">
        <v>236</v>
      </c>
      <c r="G851" s="6"/>
    </row>
    <row r="852" spans="2:7">
      <c r="B852" s="82" t="s">
        <v>336</v>
      </c>
      <c r="C852" s="198" t="s">
        <v>207</v>
      </c>
      <c r="G852" s="6"/>
    </row>
    <row r="853" spans="2:7">
      <c r="B853" s="82" t="s">
        <v>336</v>
      </c>
      <c r="C853" s="198" t="s">
        <v>607</v>
      </c>
      <c r="G853" s="6"/>
    </row>
    <row r="854" spans="2:7">
      <c r="B854" s="18"/>
      <c r="C854" s="39"/>
      <c r="G854" s="6"/>
    </row>
    <row r="855" spans="2:7">
      <c r="B855" s="18"/>
      <c r="C855" s="15" t="s">
        <v>337</v>
      </c>
      <c r="G855" s="6"/>
    </row>
    <row r="856" spans="2:7">
      <c r="B856" s="82" t="s">
        <v>352</v>
      </c>
      <c r="C856" s="198" t="s">
        <v>236</v>
      </c>
      <c r="G856" s="6"/>
    </row>
    <row r="857" spans="2:7">
      <c r="B857" s="18"/>
      <c r="G857" s="6"/>
    </row>
    <row r="858" spans="2:7">
      <c r="B858" s="18"/>
      <c r="C858" s="15" t="s">
        <v>22</v>
      </c>
      <c r="G858" s="6"/>
    </row>
    <row r="859" spans="2:7">
      <c r="B859" s="82"/>
      <c r="C859" s="39" t="s">
        <v>339</v>
      </c>
      <c r="G859" s="6"/>
    </row>
    <row r="860" spans="2:7">
      <c r="B860" s="18"/>
      <c r="G860" s="6"/>
    </row>
    <row r="861" spans="2:7">
      <c r="B861" s="82"/>
      <c r="C861" s="15" t="s">
        <v>23</v>
      </c>
      <c r="G861" s="6"/>
    </row>
    <row r="862" spans="2:7">
      <c r="B862" s="82" t="s">
        <v>336</v>
      </c>
      <c r="C862" s="66" t="s">
        <v>234</v>
      </c>
      <c r="G862" s="6"/>
    </row>
    <row r="863" spans="2:7">
      <c r="B863" s="82" t="s">
        <v>336</v>
      </c>
      <c r="C863" s="66" t="s">
        <v>207</v>
      </c>
      <c r="G863" s="6"/>
    </row>
    <row r="864" spans="2:7" ht="13.5" thickBot="1">
      <c r="B864" s="163"/>
      <c r="C864" s="20"/>
      <c r="D864" s="20"/>
      <c r="E864" s="8"/>
      <c r="F864" s="20"/>
      <c r="G864" s="9"/>
    </row>
    <row r="865" spans="2:7">
      <c r="B865" s="5"/>
      <c r="C865" s="39"/>
      <c r="G865" s="6"/>
    </row>
    <row r="866" spans="2:7" ht="13.5" thickBot="1">
      <c r="B866" s="5"/>
      <c r="C866" s="39"/>
      <c r="G866" s="6"/>
    </row>
    <row r="867" spans="2:7" ht="13.5" thickBot="1">
      <c r="B867" s="236">
        <v>45514</v>
      </c>
      <c r="C867" s="237"/>
      <c r="D867" s="237"/>
      <c r="E867" s="237"/>
      <c r="F867" s="237"/>
      <c r="G867" s="238"/>
    </row>
    <row r="868" spans="2:7" ht="13.5" thickBot="1">
      <c r="B868" s="18"/>
      <c r="G868" s="6"/>
    </row>
    <row r="869" spans="2:7">
      <c r="B869" s="18"/>
      <c r="C869" s="21" t="s">
        <v>27</v>
      </c>
      <c r="D869" s="16"/>
      <c r="E869" s="80" t="s">
        <v>107</v>
      </c>
      <c r="F869" s="4">
        <v>24</v>
      </c>
      <c r="G869" s="6"/>
    </row>
    <row r="870" spans="2:7" ht="13.5" thickBot="1">
      <c r="B870" s="18"/>
      <c r="C870" s="7"/>
      <c r="D870" s="20"/>
      <c r="E870" s="83" t="s">
        <v>1</v>
      </c>
      <c r="F870" s="22">
        <v>15</v>
      </c>
      <c r="G870" s="6"/>
    </row>
    <row r="871" spans="2:7" ht="13.5" thickBot="1">
      <c r="B871" s="18"/>
      <c r="G871" s="6"/>
    </row>
    <row r="872" spans="2:7">
      <c r="B872" s="18"/>
      <c r="C872" s="3" t="s">
        <v>4</v>
      </c>
      <c r="D872" s="16"/>
      <c r="E872" s="80" t="s">
        <v>107</v>
      </c>
      <c r="F872" s="84"/>
      <c r="G872" s="6"/>
    </row>
    <row r="873" spans="2:7">
      <c r="B873" s="18"/>
      <c r="C873" s="5" t="s">
        <v>2</v>
      </c>
      <c r="E873" s="39" t="s">
        <v>326</v>
      </c>
      <c r="F873" s="6"/>
      <c r="G873" s="6"/>
    </row>
    <row r="874" spans="2:7" ht="13.5" thickBot="1">
      <c r="B874" s="18"/>
      <c r="C874" s="7" t="s">
        <v>3</v>
      </c>
      <c r="D874" s="20"/>
      <c r="E874" s="81" t="s">
        <v>344</v>
      </c>
      <c r="F874" s="9"/>
      <c r="G874" s="6"/>
    </row>
    <row r="875" spans="2:7" ht="13.5" thickBot="1">
      <c r="B875" s="18"/>
      <c r="G875" s="6"/>
    </row>
    <row r="876" spans="2:7" ht="13.5" thickBot="1">
      <c r="B876" s="18"/>
      <c r="C876" s="23"/>
      <c r="D876" s="24"/>
      <c r="E876" s="87" t="s">
        <v>1460</v>
      </c>
      <c r="F876" s="25"/>
      <c r="G876" s="6"/>
    </row>
    <row r="877" spans="2:7">
      <c r="B877" s="18"/>
      <c r="G877" s="6"/>
    </row>
    <row r="878" spans="2:7">
      <c r="B878" s="203"/>
      <c r="C878" t="s">
        <v>5</v>
      </c>
      <c r="G878" s="6"/>
    </row>
    <row r="879" spans="2:7">
      <c r="B879" s="203"/>
      <c r="G879" s="6"/>
    </row>
    <row r="880" spans="2:7">
      <c r="B880" s="5">
        <v>1</v>
      </c>
      <c r="C880" s="39" t="s">
        <v>1105</v>
      </c>
      <c r="G880" s="6"/>
    </row>
    <row r="881" spans="2:7">
      <c r="B881" s="5">
        <v>2</v>
      </c>
      <c r="C881" s="39" t="s">
        <v>1113</v>
      </c>
      <c r="G881" s="6"/>
    </row>
    <row r="882" spans="2:7">
      <c r="B882" s="5">
        <v>3</v>
      </c>
      <c r="C882" s="39" t="s">
        <v>1172</v>
      </c>
      <c r="G882" s="6"/>
    </row>
    <row r="883" spans="2:7">
      <c r="B883" s="5">
        <v>4</v>
      </c>
      <c r="C883" s="39" t="s">
        <v>1106</v>
      </c>
      <c r="G883" s="6"/>
    </row>
    <row r="884" spans="2:7">
      <c r="B884" s="5">
        <v>5</v>
      </c>
      <c r="C884" s="39" t="s">
        <v>207</v>
      </c>
      <c r="G884" s="6"/>
    </row>
    <row r="885" spans="2:7">
      <c r="B885" s="5">
        <v>6</v>
      </c>
      <c r="C885" s="39" t="s">
        <v>18</v>
      </c>
      <c r="G885" s="6"/>
    </row>
    <row r="886" spans="2:7">
      <c r="B886" s="5">
        <v>7</v>
      </c>
      <c r="C886" s="39" t="s">
        <v>1324</v>
      </c>
      <c r="G886" s="6"/>
    </row>
    <row r="887" spans="2:7">
      <c r="B887" s="5">
        <v>8</v>
      </c>
      <c r="C887" s="39" t="s">
        <v>1329</v>
      </c>
      <c r="G887" s="6"/>
    </row>
    <row r="888" spans="2:7">
      <c r="B888" s="5">
        <v>9</v>
      </c>
      <c r="C888" s="39" t="s">
        <v>1429</v>
      </c>
      <c r="G888" s="6"/>
    </row>
    <row r="889" spans="2:7">
      <c r="B889" s="5">
        <v>10</v>
      </c>
      <c r="C889" s="39" t="s">
        <v>234</v>
      </c>
      <c r="G889" s="6"/>
    </row>
    <row r="890" spans="2:7">
      <c r="B890" s="5">
        <v>11</v>
      </c>
      <c r="C890" s="39" t="s">
        <v>1174</v>
      </c>
      <c r="G890" s="6"/>
    </row>
    <row r="891" spans="2:7">
      <c r="B891" s="5">
        <v>12</v>
      </c>
      <c r="C891" s="39" t="s">
        <v>1198</v>
      </c>
      <c r="G891" s="6"/>
    </row>
    <row r="892" spans="2:7">
      <c r="B892" s="5">
        <v>13</v>
      </c>
      <c r="C892" s="39" t="s">
        <v>1112</v>
      </c>
      <c r="G892" s="6"/>
    </row>
    <row r="893" spans="2:7">
      <c r="B893" s="5">
        <v>14</v>
      </c>
      <c r="C893" s="39" t="s">
        <v>214</v>
      </c>
      <c r="G893" s="6"/>
    </row>
    <row r="894" spans="2:7">
      <c r="B894" s="5">
        <v>15</v>
      </c>
      <c r="C894" s="39" t="s">
        <v>607</v>
      </c>
      <c r="G894" s="6"/>
    </row>
    <row r="895" spans="2:7">
      <c r="B895" s="18"/>
      <c r="G895" s="6"/>
    </row>
    <row r="896" spans="2:7">
      <c r="B896" s="18"/>
      <c r="C896" s="39" t="s">
        <v>325</v>
      </c>
      <c r="G896" s="6"/>
    </row>
    <row r="897" spans="2:7">
      <c r="B897" s="18"/>
      <c r="C897" s="198" t="s">
        <v>1370</v>
      </c>
      <c r="G897" s="6"/>
    </row>
    <row r="898" spans="2:7">
      <c r="B898" s="18"/>
      <c r="C898" s="198" t="s">
        <v>1439</v>
      </c>
      <c r="G898" s="6"/>
    </row>
    <row r="899" spans="2:7">
      <c r="B899" s="18"/>
      <c r="C899" s="198" t="s">
        <v>1453</v>
      </c>
      <c r="G899" s="6"/>
    </row>
    <row r="900" spans="2:7">
      <c r="B900" s="18"/>
      <c r="C900" s="198" t="s">
        <v>1455</v>
      </c>
      <c r="G900" s="6"/>
    </row>
    <row r="901" spans="2:7">
      <c r="B901" s="18"/>
      <c r="C901" s="198" t="s">
        <v>1306</v>
      </c>
      <c r="G901" s="6"/>
    </row>
    <row r="902" spans="2:7">
      <c r="B902" s="18"/>
      <c r="C902" s="198"/>
      <c r="G902" s="6"/>
    </row>
    <row r="903" spans="2:7">
      <c r="B903" s="203"/>
      <c r="C903" s="2" t="s">
        <v>21</v>
      </c>
      <c r="G903" s="6"/>
    </row>
    <row r="904" spans="2:7">
      <c r="B904" s="82" t="s">
        <v>336</v>
      </c>
      <c r="C904" s="198" t="s">
        <v>1113</v>
      </c>
      <c r="G904" s="6"/>
    </row>
    <row r="905" spans="2:7">
      <c r="B905" s="82" t="s">
        <v>336</v>
      </c>
      <c r="C905" s="198" t="s">
        <v>1096</v>
      </c>
      <c r="G905" s="6"/>
    </row>
    <row r="906" spans="2:7">
      <c r="B906" s="18"/>
      <c r="C906" s="39"/>
      <c r="G906" s="6"/>
    </row>
    <row r="907" spans="2:7">
      <c r="B907" s="18"/>
      <c r="C907" s="15" t="s">
        <v>337</v>
      </c>
      <c r="G907" s="6"/>
    </row>
    <row r="908" spans="2:7">
      <c r="B908" s="82" t="s">
        <v>336</v>
      </c>
      <c r="C908" s="198" t="s">
        <v>236</v>
      </c>
      <c r="G908" s="6"/>
    </row>
    <row r="909" spans="2:7">
      <c r="B909" s="18"/>
      <c r="G909" s="6"/>
    </row>
    <row r="910" spans="2:7">
      <c r="B910" s="18"/>
      <c r="C910" s="15" t="s">
        <v>22</v>
      </c>
      <c r="G910" s="6"/>
    </row>
    <row r="911" spans="2:7">
      <c r="B911" s="82" t="s">
        <v>336</v>
      </c>
      <c r="C911" s="39" t="s">
        <v>236</v>
      </c>
      <c r="G911" s="6"/>
    </row>
    <row r="912" spans="2:7">
      <c r="B912" s="18"/>
      <c r="G912" s="6"/>
    </row>
    <row r="913" spans="2:19">
      <c r="B913" s="82"/>
      <c r="C913" s="15" t="s">
        <v>23</v>
      </c>
      <c r="G913" s="6"/>
    </row>
    <row r="914" spans="2:19">
      <c r="B914" s="82"/>
      <c r="C914" s="66" t="s">
        <v>339</v>
      </c>
      <c r="G914" s="6"/>
    </row>
    <row r="915" spans="2:19" ht="13.5" thickBot="1">
      <c r="B915" s="163"/>
      <c r="C915" s="20"/>
      <c r="D915" s="20"/>
      <c r="E915" s="8"/>
      <c r="F915" s="20"/>
      <c r="G915" s="9"/>
    </row>
    <row r="916" spans="2:19">
      <c r="B916" s="5"/>
      <c r="C916" s="39"/>
      <c r="G916" s="6"/>
    </row>
    <row r="917" spans="2:19" ht="13.5" thickBot="1">
      <c r="B917" s="5"/>
      <c r="C917" s="39"/>
      <c r="G917" s="6"/>
    </row>
    <row r="918" spans="2:19" ht="13.5" thickBot="1">
      <c r="B918" s="236">
        <v>45521</v>
      </c>
      <c r="C918" s="237"/>
      <c r="D918" s="237"/>
      <c r="E918" s="237"/>
      <c r="F918" s="237"/>
      <c r="G918" s="238"/>
    </row>
    <row r="919" spans="2:19" ht="13.5" thickBot="1">
      <c r="B919" s="18"/>
      <c r="G919" s="6"/>
    </row>
    <row r="920" spans="2:19">
      <c r="B920" s="18"/>
      <c r="C920" s="21" t="s">
        <v>27</v>
      </c>
      <c r="D920" s="16"/>
      <c r="E920" s="80" t="s">
        <v>1</v>
      </c>
      <c r="F920" s="4">
        <v>3</v>
      </c>
      <c r="G920" s="6"/>
    </row>
    <row r="921" spans="2:19" ht="13.5" thickBot="1">
      <c r="B921" s="18"/>
      <c r="C921" s="7"/>
      <c r="D921" s="20"/>
      <c r="E921" s="83" t="s">
        <v>229</v>
      </c>
      <c r="F921" s="22">
        <v>22</v>
      </c>
      <c r="G921" s="6"/>
    </row>
    <row r="922" spans="2:19" ht="13.5" thickBot="1">
      <c r="B922" s="18"/>
      <c r="G922" s="6"/>
    </row>
    <row r="923" spans="2:19">
      <c r="B923" s="18"/>
      <c r="C923" s="3" t="s">
        <v>4</v>
      </c>
      <c r="D923" s="16"/>
      <c r="E923" s="80" t="s">
        <v>1462</v>
      </c>
      <c r="F923" s="84"/>
      <c r="G923" s="6"/>
    </row>
    <row r="924" spans="2:19">
      <c r="B924" s="18"/>
      <c r="C924" s="5" t="s">
        <v>2</v>
      </c>
      <c r="E924" s="39" t="s">
        <v>404</v>
      </c>
      <c r="F924" s="6"/>
      <c r="G924" s="6"/>
    </row>
    <row r="925" spans="2:19" ht="13.5" thickBot="1">
      <c r="B925" s="18"/>
      <c r="C925" s="7" t="s">
        <v>3</v>
      </c>
      <c r="D925" s="20"/>
      <c r="E925" s="81" t="s">
        <v>344</v>
      </c>
      <c r="F925" s="9"/>
      <c r="G925" s="6"/>
    </row>
    <row r="926" spans="2:19" ht="13.5" thickBot="1">
      <c r="B926" s="18"/>
      <c r="G926" s="6"/>
    </row>
    <row r="927" spans="2:19" ht="13.5" thickBot="1">
      <c r="B927" s="18"/>
      <c r="C927" s="23"/>
      <c r="D927" s="24"/>
      <c r="E927" s="87" t="s">
        <v>1461</v>
      </c>
      <c r="F927" s="25"/>
      <c r="G927" s="6"/>
    </row>
    <row r="928" spans="2:19">
      <c r="B928" s="18"/>
      <c r="G928" s="6"/>
      <c r="L928" s="15"/>
      <c r="O928" s="225"/>
      <c r="Q928" s="39"/>
      <c r="S928" s="39"/>
    </row>
    <row r="929" spans="2:19">
      <c r="B929" s="203"/>
      <c r="C929" t="s">
        <v>5</v>
      </c>
      <c r="G929" s="6"/>
    </row>
    <row r="930" spans="2:19">
      <c r="B930" s="203"/>
      <c r="G930" s="6"/>
      <c r="M930" s="39"/>
      <c r="O930" s="225"/>
      <c r="Q930" s="39"/>
      <c r="S930" s="165"/>
    </row>
    <row r="931" spans="2:19">
      <c r="B931" s="5">
        <v>1</v>
      </c>
      <c r="C931" s="39" t="s">
        <v>1105</v>
      </c>
      <c r="G931" s="6"/>
      <c r="M931" s="39"/>
      <c r="O931" s="225"/>
      <c r="Q931" s="39"/>
      <c r="S931" s="165"/>
    </row>
    <row r="932" spans="2:19">
      <c r="B932" s="5">
        <v>2</v>
      </c>
      <c r="C932" s="39" t="s">
        <v>1113</v>
      </c>
      <c r="G932" s="6"/>
      <c r="M932" s="39"/>
      <c r="O932" s="225"/>
      <c r="Q932" s="39"/>
      <c r="S932" s="165"/>
    </row>
    <row r="933" spans="2:19">
      <c r="B933" s="5">
        <v>3</v>
      </c>
      <c r="C933" s="39" t="s">
        <v>1172</v>
      </c>
      <c r="G933" s="6"/>
      <c r="M933" s="39"/>
      <c r="O933" s="225"/>
      <c r="Q933" s="39"/>
      <c r="S933" s="165"/>
    </row>
    <row r="934" spans="2:19">
      <c r="B934" s="5">
        <v>4</v>
      </c>
      <c r="C934" s="39" t="s">
        <v>1106</v>
      </c>
      <c r="G934" s="6"/>
      <c r="M934" s="39"/>
      <c r="O934" s="225"/>
      <c r="Q934" s="39"/>
      <c r="S934" s="165"/>
    </row>
    <row r="935" spans="2:19">
      <c r="B935" s="5">
        <v>5</v>
      </c>
      <c r="C935" s="39" t="s">
        <v>207</v>
      </c>
      <c r="G935" s="6"/>
      <c r="M935" s="39"/>
      <c r="O935" s="225"/>
      <c r="Q935" s="39"/>
      <c r="S935" s="165"/>
    </row>
    <row r="936" spans="2:19">
      <c r="B936" s="5">
        <v>6</v>
      </c>
      <c r="C936" s="39" t="s">
        <v>18</v>
      </c>
      <c r="G936" s="6"/>
      <c r="M936" s="39"/>
      <c r="O936" s="225"/>
      <c r="Q936" s="39"/>
      <c r="S936" s="165"/>
    </row>
    <row r="937" spans="2:19">
      <c r="B937" s="5">
        <v>7</v>
      </c>
      <c r="C937" s="39" t="s">
        <v>1324</v>
      </c>
      <c r="G937" s="6"/>
      <c r="M937" s="39"/>
      <c r="O937" s="225"/>
      <c r="Q937" s="39"/>
      <c r="S937" s="39"/>
    </row>
    <row r="938" spans="2:19">
      <c r="B938" s="5">
        <v>8</v>
      </c>
      <c r="C938" s="39" t="s">
        <v>1329</v>
      </c>
      <c r="G938" s="6"/>
      <c r="M938" s="39"/>
      <c r="O938" s="225"/>
      <c r="Q938" s="39"/>
      <c r="S938" s="39"/>
    </row>
    <row r="939" spans="2:19">
      <c r="B939" s="5">
        <v>9</v>
      </c>
      <c r="C939" s="39" t="s">
        <v>1429</v>
      </c>
      <c r="G939" s="6"/>
      <c r="M939" s="39"/>
      <c r="O939" s="225"/>
      <c r="Q939" s="39"/>
      <c r="S939" s="39"/>
    </row>
    <row r="940" spans="2:19">
      <c r="B940" s="5">
        <v>10</v>
      </c>
      <c r="C940" s="39" t="s">
        <v>234</v>
      </c>
      <c r="G940" s="6"/>
      <c r="M940" s="39"/>
      <c r="O940" s="225"/>
      <c r="Q940" s="39"/>
      <c r="S940" s="39"/>
    </row>
    <row r="941" spans="2:19">
      <c r="B941" s="5">
        <v>11</v>
      </c>
      <c r="C941" s="39" t="s">
        <v>1174</v>
      </c>
      <c r="G941" s="6"/>
      <c r="M941" s="39"/>
      <c r="O941" s="225"/>
      <c r="Q941" s="39"/>
      <c r="S941" s="165"/>
    </row>
    <row r="942" spans="2:19">
      <c r="B942" s="5">
        <v>12</v>
      </c>
      <c r="C942" s="39" t="s">
        <v>1198</v>
      </c>
      <c r="G942" s="6"/>
      <c r="M942" s="39"/>
      <c r="O942" s="225"/>
      <c r="Q942" s="39"/>
      <c r="S942" s="39"/>
    </row>
    <row r="943" spans="2:19">
      <c r="B943" s="5">
        <v>13</v>
      </c>
      <c r="C943" s="39" t="s">
        <v>1112</v>
      </c>
      <c r="G943" s="6"/>
      <c r="M943" s="39"/>
      <c r="O943" s="225"/>
      <c r="Q943" s="39"/>
      <c r="S943" s="39"/>
    </row>
    <row r="944" spans="2:19">
      <c r="B944" s="5">
        <v>14</v>
      </c>
      <c r="C944" s="39" t="s">
        <v>1438</v>
      </c>
      <c r="G944" s="6"/>
      <c r="M944" s="39"/>
      <c r="O944" s="225"/>
      <c r="Q944" s="39"/>
      <c r="S944" s="39"/>
    </row>
    <row r="945" spans="2:19">
      <c r="B945" s="5">
        <v>15</v>
      </c>
      <c r="C945" s="39" t="s">
        <v>214</v>
      </c>
      <c r="G945" s="6"/>
      <c r="M945" s="39"/>
      <c r="O945" s="225"/>
      <c r="Q945" s="39"/>
      <c r="S945" s="39"/>
    </row>
    <row r="946" spans="2:19">
      <c r="B946" s="18"/>
      <c r="G946" s="6"/>
      <c r="M946" s="39"/>
      <c r="O946" s="225"/>
      <c r="Q946" s="39"/>
      <c r="S946" s="165"/>
    </row>
    <row r="947" spans="2:19">
      <c r="B947" s="18"/>
      <c r="C947" s="39" t="s">
        <v>325</v>
      </c>
      <c r="G947" s="6"/>
      <c r="M947" s="39"/>
      <c r="O947" s="225"/>
      <c r="Q947" s="39"/>
      <c r="S947" s="165"/>
    </row>
    <row r="948" spans="2:19">
      <c r="B948" s="18"/>
      <c r="C948" s="198" t="s">
        <v>1439</v>
      </c>
      <c r="G948" s="6"/>
    </row>
    <row r="949" spans="2:19">
      <c r="B949" s="18"/>
      <c r="C949" s="198" t="s">
        <v>1436</v>
      </c>
      <c r="G949" s="6"/>
    </row>
    <row r="950" spans="2:19">
      <c r="B950" s="18"/>
      <c r="C950" s="198" t="s">
        <v>1432</v>
      </c>
      <c r="G950" s="6"/>
      <c r="M950" s="39"/>
      <c r="P950" s="165"/>
    </row>
    <row r="951" spans="2:19">
      <c r="B951" s="18"/>
      <c r="C951" s="198" t="s">
        <v>1455</v>
      </c>
      <c r="G951" s="6"/>
      <c r="M951" s="39"/>
      <c r="P951" s="165"/>
    </row>
    <row r="952" spans="2:19">
      <c r="B952" s="18"/>
      <c r="C952" s="198" t="s">
        <v>1463</v>
      </c>
      <c r="G952" s="6"/>
      <c r="M952" s="39"/>
      <c r="P952" s="39"/>
    </row>
    <row r="953" spans="2:19">
      <c r="B953" s="18"/>
      <c r="C953" s="198" t="s">
        <v>1464</v>
      </c>
      <c r="G953" s="6"/>
      <c r="M953" s="39"/>
      <c r="P953" s="39"/>
    </row>
    <row r="954" spans="2:19">
      <c r="B954" s="18"/>
      <c r="C954" s="198"/>
      <c r="G954" s="6"/>
      <c r="M954" s="39"/>
      <c r="P954" s="39"/>
    </row>
    <row r="955" spans="2:19">
      <c r="B955" s="203"/>
      <c r="C955" s="2" t="s">
        <v>21</v>
      </c>
      <c r="G955" s="6"/>
      <c r="M955" s="39"/>
      <c r="P955" s="39"/>
    </row>
    <row r="956" spans="2:19">
      <c r="B956" s="82"/>
      <c r="C956" s="198" t="s">
        <v>339</v>
      </c>
      <c r="G956" s="6"/>
      <c r="M956" s="39"/>
      <c r="P956" s="39"/>
    </row>
    <row r="957" spans="2:19">
      <c r="B957" s="82"/>
      <c r="C957" s="198"/>
      <c r="G957" s="6"/>
      <c r="M957" s="39"/>
      <c r="P957" s="39"/>
    </row>
    <row r="958" spans="2:19">
      <c r="B958" s="18"/>
      <c r="C958" s="15" t="s">
        <v>337</v>
      </c>
      <c r="G958" s="6"/>
      <c r="M958" s="39"/>
      <c r="P958" s="39"/>
    </row>
    <row r="959" spans="2:19">
      <c r="B959" s="82"/>
      <c r="C959" s="198" t="s">
        <v>339</v>
      </c>
      <c r="G959" s="6"/>
      <c r="M959" s="39"/>
      <c r="P959" s="39"/>
    </row>
    <row r="960" spans="2:19">
      <c r="B960" s="18"/>
      <c r="G960" s="6"/>
      <c r="M960" s="39"/>
      <c r="P960" s="165"/>
    </row>
    <row r="961" spans="2:16">
      <c r="B961" s="18"/>
      <c r="C961" s="15" t="s">
        <v>22</v>
      </c>
      <c r="G961" s="6"/>
      <c r="M961" s="39"/>
      <c r="P961" s="39"/>
    </row>
    <row r="962" spans="2:16">
      <c r="B962" s="82" t="s">
        <v>336</v>
      </c>
      <c r="C962" s="39" t="s">
        <v>236</v>
      </c>
      <c r="G962" s="6"/>
      <c r="M962" s="39"/>
      <c r="P962" s="165"/>
    </row>
    <row r="963" spans="2:16">
      <c r="B963" s="18"/>
      <c r="G963" s="6"/>
      <c r="M963" s="39"/>
      <c r="P963" s="39"/>
    </row>
    <row r="964" spans="2:16">
      <c r="B964" s="82"/>
      <c r="C964" s="15" t="s">
        <v>23</v>
      </c>
      <c r="G964" s="6"/>
      <c r="M964" s="39"/>
      <c r="P964" s="165"/>
    </row>
    <row r="965" spans="2:16">
      <c r="B965" s="82" t="s">
        <v>336</v>
      </c>
      <c r="C965" s="66" t="s">
        <v>1324</v>
      </c>
      <c r="G965" s="6"/>
    </row>
    <row r="966" spans="2:16">
      <c r="B966" s="82" t="s">
        <v>336</v>
      </c>
      <c r="C966" s="66" t="s">
        <v>214</v>
      </c>
      <c r="G966" s="6"/>
    </row>
    <row r="967" spans="2:16" ht="13.5" thickBot="1">
      <c r="B967" s="163"/>
      <c r="C967" s="20"/>
      <c r="D967" s="20"/>
      <c r="E967" s="8"/>
      <c r="F967" s="20"/>
      <c r="G967" s="9"/>
    </row>
    <row r="968" spans="2:16">
      <c r="B968" s="5"/>
      <c r="C968" s="39"/>
      <c r="G968" s="6"/>
    </row>
    <row r="969" spans="2:16" ht="13.5" thickBot="1">
      <c r="B969" s="5"/>
      <c r="C969" s="39"/>
      <c r="G969" s="6"/>
    </row>
    <row r="970" spans="2:16" ht="13.5" thickBot="1">
      <c r="B970" s="236">
        <v>45528</v>
      </c>
      <c r="C970" s="237"/>
      <c r="D970" s="237"/>
      <c r="E970" s="237"/>
      <c r="F970" s="237"/>
      <c r="G970" s="238"/>
    </row>
    <row r="971" spans="2:16" ht="13.5" thickBot="1">
      <c r="B971" s="18"/>
      <c r="G971" s="6"/>
    </row>
    <row r="972" spans="2:16">
      <c r="B972" s="18"/>
      <c r="C972" s="21" t="s">
        <v>27</v>
      </c>
      <c r="D972" s="16"/>
      <c r="E972" s="80" t="s">
        <v>103</v>
      </c>
      <c r="F972" s="4">
        <v>52</v>
      </c>
      <c r="G972" s="6"/>
    </row>
    <row r="973" spans="2:16" ht="13.5" thickBot="1">
      <c r="B973" s="18"/>
      <c r="C973" s="7"/>
      <c r="D973" s="20"/>
      <c r="E973" s="83" t="s">
        <v>1</v>
      </c>
      <c r="F973" s="22">
        <v>14</v>
      </c>
      <c r="G973" s="6"/>
    </row>
    <row r="974" spans="2:16" ht="13.5" thickBot="1">
      <c r="B974" s="18"/>
      <c r="G974" s="6"/>
    </row>
    <row r="975" spans="2:16">
      <c r="B975" s="18"/>
      <c r="C975" s="3" t="s">
        <v>4</v>
      </c>
      <c r="D975" s="16"/>
      <c r="E975" s="80" t="s">
        <v>103</v>
      </c>
      <c r="F975" s="84"/>
      <c r="G975" s="6"/>
    </row>
    <row r="976" spans="2:16">
      <c r="B976" s="18"/>
      <c r="C976" s="5" t="s">
        <v>2</v>
      </c>
      <c r="E976" s="39" t="s">
        <v>404</v>
      </c>
      <c r="F976" s="6"/>
      <c r="G976" s="6"/>
    </row>
    <row r="977" spans="2:7" ht="13.5" thickBot="1">
      <c r="B977" s="18"/>
      <c r="C977" s="7" t="s">
        <v>3</v>
      </c>
      <c r="D977" s="20"/>
      <c r="E977" s="81" t="s">
        <v>344</v>
      </c>
      <c r="F977" s="9"/>
      <c r="G977" s="6"/>
    </row>
    <row r="978" spans="2:7" ht="13.5" thickBot="1">
      <c r="B978" s="18"/>
      <c r="G978" s="6"/>
    </row>
    <row r="979" spans="2:7" ht="13.5" thickBot="1">
      <c r="B979" s="18"/>
      <c r="C979" s="23"/>
      <c r="D979" s="24"/>
      <c r="E979" s="87" t="s">
        <v>317</v>
      </c>
      <c r="F979" s="25"/>
      <c r="G979" s="6"/>
    </row>
    <row r="980" spans="2:7">
      <c r="B980" s="18"/>
      <c r="G980" s="6"/>
    </row>
    <row r="981" spans="2:7">
      <c r="B981" s="203"/>
      <c r="C981" t="s">
        <v>5</v>
      </c>
      <c r="G981" s="6"/>
    </row>
    <row r="982" spans="2:7">
      <c r="B982" s="203"/>
      <c r="G982" s="6"/>
    </row>
    <row r="983" spans="2:7">
      <c r="B983" s="5">
        <v>1</v>
      </c>
      <c r="C983" s="39" t="s">
        <v>1105</v>
      </c>
      <c r="G983" s="6"/>
    </row>
    <row r="984" spans="2:7">
      <c r="B984" s="5">
        <v>2</v>
      </c>
      <c r="C984" s="39" t="s">
        <v>1113</v>
      </c>
      <c r="G984" s="6"/>
    </row>
    <row r="985" spans="2:7">
      <c r="B985" s="5">
        <v>3</v>
      </c>
      <c r="C985" s="39" t="s">
        <v>1172</v>
      </c>
      <c r="G985" s="6"/>
    </row>
    <row r="986" spans="2:7">
      <c r="B986" s="5">
        <v>4</v>
      </c>
      <c r="C986" s="39" t="s">
        <v>1106</v>
      </c>
      <c r="G986" s="6"/>
    </row>
    <row r="987" spans="2:7">
      <c r="B987" s="5">
        <v>5</v>
      </c>
      <c r="C987" s="39" t="s">
        <v>207</v>
      </c>
      <c r="G987" s="6"/>
    </row>
    <row r="988" spans="2:7">
      <c r="B988" s="5">
        <v>6</v>
      </c>
      <c r="C988" s="39" t="s">
        <v>18</v>
      </c>
      <c r="G988" s="6"/>
    </row>
    <row r="989" spans="2:7">
      <c r="B989" s="5">
        <v>7</v>
      </c>
      <c r="C989" s="39" t="s">
        <v>211</v>
      </c>
      <c r="G989" s="6"/>
    </row>
    <row r="990" spans="2:7">
      <c r="B990" s="5">
        <v>8</v>
      </c>
      <c r="C990" s="39" t="s">
        <v>1096</v>
      </c>
      <c r="G990" s="6"/>
    </row>
    <row r="991" spans="2:7">
      <c r="B991" s="5">
        <v>9</v>
      </c>
      <c r="C991" s="39" t="s">
        <v>1429</v>
      </c>
      <c r="G991" s="6"/>
    </row>
    <row r="992" spans="2:7">
      <c r="B992" s="5">
        <v>10</v>
      </c>
      <c r="C992" s="39" t="s">
        <v>234</v>
      </c>
      <c r="G992" s="6"/>
    </row>
    <row r="993" spans="1:7">
      <c r="B993" s="5">
        <v>11</v>
      </c>
      <c r="C993" s="39" t="s">
        <v>1174</v>
      </c>
      <c r="G993" s="6"/>
    </row>
    <row r="994" spans="1:7">
      <c r="B994" s="5">
        <v>12</v>
      </c>
      <c r="C994" s="39" t="s">
        <v>1198</v>
      </c>
      <c r="G994" s="6"/>
    </row>
    <row r="995" spans="1:7">
      <c r="B995" s="5">
        <v>13</v>
      </c>
      <c r="C995" s="39" t="s">
        <v>1112</v>
      </c>
      <c r="G995" s="6"/>
    </row>
    <row r="996" spans="1:7">
      <c r="B996" s="5">
        <v>14</v>
      </c>
      <c r="C996" s="39" t="s">
        <v>214</v>
      </c>
      <c r="G996" s="6"/>
    </row>
    <row r="997" spans="1:7">
      <c r="B997" s="5">
        <v>15</v>
      </c>
      <c r="C997" s="39" t="s">
        <v>607</v>
      </c>
      <c r="G997" s="6"/>
    </row>
    <row r="998" spans="1:7">
      <c r="A998" s="153"/>
      <c r="B998" s="18"/>
      <c r="G998" s="6"/>
    </row>
    <row r="999" spans="1:7">
      <c r="B999" s="18"/>
      <c r="C999" s="39" t="s">
        <v>325</v>
      </c>
      <c r="G999" s="6"/>
    </row>
    <row r="1000" spans="1:7">
      <c r="B1000" s="18"/>
      <c r="C1000" s="198" t="s">
        <v>1439</v>
      </c>
      <c r="G1000" s="6"/>
    </row>
    <row r="1001" spans="1:7">
      <c r="B1001" s="18"/>
      <c r="C1001" s="198" t="s">
        <v>1465</v>
      </c>
      <c r="G1001" s="6"/>
    </row>
    <row r="1002" spans="1:7">
      <c r="B1002" s="18"/>
      <c r="C1002" s="198" t="s">
        <v>1175</v>
      </c>
      <c r="G1002" s="6"/>
    </row>
    <row r="1003" spans="1:7">
      <c r="B1003" s="18"/>
      <c r="C1003" s="198" t="s">
        <v>1454</v>
      </c>
      <c r="G1003" s="6"/>
    </row>
    <row r="1004" spans="1:7">
      <c r="B1004" s="18"/>
      <c r="C1004" s="198" t="s">
        <v>1425</v>
      </c>
      <c r="G1004" s="6"/>
    </row>
    <row r="1005" spans="1:7">
      <c r="B1005" s="18"/>
      <c r="C1005" s="198"/>
      <c r="G1005" s="6"/>
    </row>
    <row r="1006" spans="1:7">
      <c r="B1006" s="203"/>
      <c r="C1006" s="2" t="s">
        <v>21</v>
      </c>
      <c r="G1006" s="6"/>
    </row>
    <row r="1007" spans="1:7">
      <c r="B1007" s="82" t="s">
        <v>336</v>
      </c>
      <c r="C1007" s="198" t="s">
        <v>1174</v>
      </c>
      <c r="G1007" s="6"/>
    </row>
    <row r="1008" spans="1:7">
      <c r="B1008" s="82"/>
      <c r="C1008" s="198"/>
      <c r="G1008" s="6"/>
    </row>
    <row r="1009" spans="2:7">
      <c r="B1009" s="18"/>
      <c r="C1009" s="15" t="s">
        <v>337</v>
      </c>
      <c r="G1009" s="6"/>
    </row>
    <row r="1010" spans="2:7">
      <c r="B1010" s="82"/>
      <c r="C1010" s="198" t="s">
        <v>339</v>
      </c>
      <c r="G1010" s="6"/>
    </row>
    <row r="1011" spans="2:7">
      <c r="B1011" s="18"/>
      <c r="G1011" s="6"/>
    </row>
    <row r="1012" spans="2:7">
      <c r="B1012" s="18"/>
      <c r="C1012" s="15" t="s">
        <v>22</v>
      </c>
      <c r="G1012" s="6"/>
    </row>
    <row r="1013" spans="2:7">
      <c r="B1013" s="82" t="s">
        <v>335</v>
      </c>
      <c r="C1013" s="39" t="s">
        <v>236</v>
      </c>
      <c r="G1013" s="6"/>
    </row>
    <row r="1014" spans="2:7">
      <c r="B1014" s="18"/>
      <c r="G1014" s="6"/>
    </row>
    <row r="1015" spans="2:7">
      <c r="B1015" s="82"/>
      <c r="C1015" s="15" t="s">
        <v>23</v>
      </c>
      <c r="G1015" s="6"/>
    </row>
    <row r="1016" spans="2:7">
      <c r="B1016" s="82" t="s">
        <v>336</v>
      </c>
      <c r="C1016" s="66" t="s">
        <v>1429</v>
      </c>
      <c r="G1016" s="6"/>
    </row>
    <row r="1017" spans="2:7" ht="13.5" thickBot="1">
      <c r="B1017" s="163"/>
      <c r="C1017" s="20"/>
      <c r="D1017" s="20"/>
      <c r="E1017" s="8"/>
      <c r="F1017" s="20"/>
      <c r="G1017" s="9"/>
    </row>
    <row r="1018" spans="2:7">
      <c r="B1018" s="18"/>
      <c r="C1018" s="16"/>
      <c r="D1018" s="16"/>
      <c r="E1018" s="208"/>
      <c r="F1018" s="16"/>
      <c r="G1018" s="6"/>
    </row>
    <row r="1019" spans="2:7" ht="13.5" thickBot="1">
      <c r="B1019" s="18"/>
      <c r="G1019" s="6"/>
    </row>
    <row r="1020" spans="2:7" ht="13.5" thickBot="1">
      <c r="B1020" s="236">
        <v>45542</v>
      </c>
      <c r="C1020" s="237"/>
      <c r="D1020" s="237"/>
      <c r="E1020" s="237"/>
      <c r="F1020" s="237"/>
      <c r="G1020" s="238"/>
    </row>
    <row r="1021" spans="2:7" ht="13.5" thickBot="1">
      <c r="B1021" s="18"/>
      <c r="G1021" s="6"/>
    </row>
    <row r="1022" spans="2:7">
      <c r="B1022" s="18"/>
      <c r="C1022" s="21" t="s">
        <v>27</v>
      </c>
      <c r="D1022" s="16"/>
      <c r="E1022" s="80" t="s">
        <v>1</v>
      </c>
      <c r="F1022" s="4">
        <v>17</v>
      </c>
      <c r="G1022" s="6"/>
    </row>
    <row r="1023" spans="2:7" ht="13.5" thickBot="1">
      <c r="B1023" s="18"/>
      <c r="C1023" s="7"/>
      <c r="D1023" s="20"/>
      <c r="E1023" s="83" t="s">
        <v>74</v>
      </c>
      <c r="F1023" s="22">
        <v>29</v>
      </c>
      <c r="G1023" s="6"/>
    </row>
    <row r="1024" spans="2:7" ht="13.5" thickBot="1">
      <c r="B1024" s="18"/>
      <c r="G1024" s="6"/>
    </row>
    <row r="1025" spans="2:7">
      <c r="B1025" s="18"/>
      <c r="C1025" s="3" t="s">
        <v>4</v>
      </c>
      <c r="D1025" s="16"/>
      <c r="E1025" s="80" t="s">
        <v>1</v>
      </c>
      <c r="F1025" s="84" t="s">
        <v>205</v>
      </c>
      <c r="G1025" s="6"/>
    </row>
    <row r="1026" spans="2:7">
      <c r="B1026" s="18"/>
      <c r="C1026" s="5" t="s">
        <v>2</v>
      </c>
      <c r="E1026" s="39" t="s">
        <v>326</v>
      </c>
      <c r="F1026" s="6"/>
      <c r="G1026" s="6"/>
    </row>
    <row r="1027" spans="2:7" ht="13.5" thickBot="1">
      <c r="B1027" s="18"/>
      <c r="C1027" s="7" t="s">
        <v>3</v>
      </c>
      <c r="D1027" s="20"/>
      <c r="E1027" s="81" t="s">
        <v>326</v>
      </c>
      <c r="F1027" s="9"/>
      <c r="G1027" s="6"/>
    </row>
    <row r="1028" spans="2:7" ht="13.5" thickBot="1">
      <c r="B1028" s="18"/>
      <c r="G1028" s="6"/>
    </row>
    <row r="1029" spans="2:7" ht="13.5" thickBot="1">
      <c r="B1029" s="18"/>
      <c r="C1029" s="23"/>
      <c r="D1029" s="24"/>
      <c r="E1029" s="87" t="s">
        <v>1417</v>
      </c>
      <c r="F1029" s="25"/>
      <c r="G1029" s="6"/>
    </row>
    <row r="1030" spans="2:7">
      <c r="B1030" s="18"/>
      <c r="G1030" s="6"/>
    </row>
    <row r="1031" spans="2:7">
      <c r="B1031" s="203"/>
      <c r="C1031" t="s">
        <v>5</v>
      </c>
      <c r="G1031" s="6"/>
    </row>
    <row r="1032" spans="2:7">
      <c r="B1032" s="203"/>
      <c r="G1032" s="6"/>
    </row>
    <row r="1033" spans="2:7">
      <c r="B1033" s="5">
        <v>1</v>
      </c>
      <c r="C1033" s="39" t="s">
        <v>1105</v>
      </c>
      <c r="G1033" s="6"/>
    </row>
    <row r="1034" spans="2:7">
      <c r="B1034" s="5">
        <v>2</v>
      </c>
      <c r="C1034" s="39" t="s">
        <v>1113</v>
      </c>
      <c r="G1034" s="6"/>
    </row>
    <row r="1035" spans="2:7">
      <c r="B1035" s="5">
        <v>3</v>
      </c>
      <c r="C1035" s="39" t="s">
        <v>327</v>
      </c>
      <c r="G1035" s="6"/>
    </row>
    <row r="1036" spans="2:7">
      <c r="B1036" s="5">
        <v>4</v>
      </c>
      <c r="C1036" s="39" t="s">
        <v>1106</v>
      </c>
      <c r="G1036" s="6"/>
    </row>
    <row r="1037" spans="2:7">
      <c r="B1037" s="5">
        <v>5</v>
      </c>
      <c r="C1037" s="39" t="s">
        <v>207</v>
      </c>
      <c r="G1037" s="6"/>
    </row>
    <row r="1038" spans="2:7">
      <c r="B1038" s="5">
        <v>6</v>
      </c>
      <c r="C1038" s="39" t="s">
        <v>1324</v>
      </c>
      <c r="G1038" s="6"/>
    </row>
    <row r="1039" spans="2:7">
      <c r="B1039" s="5">
        <v>7</v>
      </c>
      <c r="C1039" s="39" t="s">
        <v>211</v>
      </c>
      <c r="G1039" s="6"/>
    </row>
    <row r="1040" spans="2:7">
      <c r="B1040" s="5">
        <v>8</v>
      </c>
      <c r="C1040" s="39" t="s">
        <v>1096</v>
      </c>
      <c r="G1040" s="6"/>
    </row>
    <row r="1041" spans="2:7">
      <c r="B1041" s="5">
        <v>9</v>
      </c>
      <c r="C1041" s="39" t="s">
        <v>1429</v>
      </c>
      <c r="G1041" s="6"/>
    </row>
    <row r="1042" spans="2:7">
      <c r="B1042" s="5">
        <v>10</v>
      </c>
      <c r="C1042" s="39" t="s">
        <v>234</v>
      </c>
      <c r="G1042" s="6"/>
    </row>
    <row r="1043" spans="2:7">
      <c r="B1043" s="5">
        <v>11</v>
      </c>
      <c r="C1043" s="39" t="s">
        <v>1174</v>
      </c>
      <c r="G1043" s="6"/>
    </row>
    <row r="1044" spans="2:7">
      <c r="B1044" s="5">
        <v>12</v>
      </c>
      <c r="C1044" s="39" t="s">
        <v>1198</v>
      </c>
      <c r="G1044" s="6"/>
    </row>
    <row r="1045" spans="2:7">
      <c r="B1045" s="5">
        <v>13</v>
      </c>
      <c r="C1045" s="39" t="s">
        <v>1112</v>
      </c>
      <c r="G1045" s="6"/>
    </row>
    <row r="1046" spans="2:7">
      <c r="B1046" s="5">
        <v>14</v>
      </c>
      <c r="C1046" s="39" t="s">
        <v>214</v>
      </c>
      <c r="G1046" s="6"/>
    </row>
    <row r="1047" spans="2:7">
      <c r="B1047" s="5">
        <v>15</v>
      </c>
      <c r="C1047" s="39" t="s">
        <v>607</v>
      </c>
      <c r="G1047" s="6"/>
    </row>
    <row r="1048" spans="2:7">
      <c r="B1048" s="18"/>
      <c r="G1048" s="6"/>
    </row>
    <row r="1049" spans="2:7">
      <c r="B1049" s="18"/>
      <c r="C1049" s="39" t="s">
        <v>325</v>
      </c>
      <c r="G1049" s="6"/>
    </row>
    <row r="1050" spans="2:7">
      <c r="B1050" s="18"/>
      <c r="C1050" s="198" t="s">
        <v>1439</v>
      </c>
      <c r="G1050" s="6"/>
    </row>
    <row r="1051" spans="2:7">
      <c r="B1051" s="18"/>
      <c r="C1051" s="198" t="s">
        <v>1466</v>
      </c>
      <c r="G1051" s="6"/>
    </row>
    <row r="1052" spans="2:7">
      <c r="B1052" s="18"/>
      <c r="C1052" s="198" t="s">
        <v>1385</v>
      </c>
      <c r="G1052" s="6"/>
    </row>
    <row r="1053" spans="2:7">
      <c r="B1053" s="18"/>
      <c r="C1053" s="198" t="s">
        <v>1467</v>
      </c>
      <c r="G1053" s="6"/>
    </row>
    <row r="1054" spans="2:7">
      <c r="B1054" s="18"/>
      <c r="C1054" s="198" t="s">
        <v>1348</v>
      </c>
      <c r="G1054" s="6"/>
    </row>
    <row r="1055" spans="2:7">
      <c r="B1055" s="18"/>
      <c r="C1055" s="198" t="s">
        <v>1453</v>
      </c>
      <c r="G1055" s="6"/>
    </row>
    <row r="1056" spans="2:7">
      <c r="B1056" s="18"/>
      <c r="C1056" s="198" t="s">
        <v>1468</v>
      </c>
      <c r="G1056" s="6"/>
    </row>
    <row r="1057" spans="2:7">
      <c r="B1057" s="18"/>
      <c r="C1057" s="198"/>
      <c r="G1057" s="6"/>
    </row>
    <row r="1058" spans="2:7">
      <c r="B1058" s="203"/>
      <c r="C1058" s="2" t="s">
        <v>21</v>
      </c>
      <c r="G1058" s="6"/>
    </row>
    <row r="1059" spans="2:7">
      <c r="B1059" s="82" t="s">
        <v>336</v>
      </c>
      <c r="C1059" s="198" t="s">
        <v>607</v>
      </c>
      <c r="G1059" s="6"/>
    </row>
    <row r="1060" spans="2:7">
      <c r="B1060" s="82"/>
      <c r="C1060" s="198"/>
      <c r="G1060" s="6"/>
    </row>
    <row r="1061" spans="2:7">
      <c r="B1061" s="18"/>
      <c r="C1061" s="15" t="s">
        <v>337</v>
      </c>
      <c r="G1061" s="6"/>
    </row>
    <row r="1062" spans="2:7">
      <c r="B1062" s="82"/>
      <c r="C1062" s="198" t="s">
        <v>339</v>
      </c>
      <c r="G1062" s="6"/>
    </row>
    <row r="1063" spans="2:7">
      <c r="B1063" s="18"/>
      <c r="G1063" s="6"/>
    </row>
    <row r="1064" spans="2:7">
      <c r="B1064" s="18"/>
      <c r="C1064" s="15" t="s">
        <v>22</v>
      </c>
      <c r="G1064" s="6"/>
    </row>
    <row r="1065" spans="2:7">
      <c r="B1065" s="82" t="s">
        <v>338</v>
      </c>
      <c r="C1065" s="39" t="s">
        <v>236</v>
      </c>
      <c r="G1065" s="6"/>
    </row>
    <row r="1066" spans="2:7">
      <c r="B1066" s="18"/>
      <c r="G1066" s="6"/>
    </row>
    <row r="1067" spans="2:7">
      <c r="B1067" s="82"/>
      <c r="C1067" s="15" t="s">
        <v>23</v>
      </c>
      <c r="G1067" s="6"/>
    </row>
    <row r="1068" spans="2:7">
      <c r="B1068" s="82" t="s">
        <v>336</v>
      </c>
      <c r="C1068" s="66" t="s">
        <v>327</v>
      </c>
      <c r="G1068" s="6"/>
    </row>
    <row r="1069" spans="2:7">
      <c r="B1069" s="82" t="s">
        <v>336</v>
      </c>
      <c r="C1069" s="66" t="s">
        <v>1106</v>
      </c>
      <c r="G1069" s="6"/>
    </row>
    <row r="1070" spans="2:7" ht="13.5" thickBot="1">
      <c r="B1070" s="163"/>
      <c r="C1070" s="20"/>
      <c r="D1070" s="20"/>
      <c r="E1070" s="8"/>
      <c r="F1070" s="20"/>
      <c r="G1070" s="9"/>
    </row>
    <row r="1071" spans="2:7">
      <c r="B1071" s="215"/>
      <c r="C1071" s="16"/>
      <c r="D1071" s="16"/>
      <c r="E1071" s="120"/>
      <c r="F1071" s="16"/>
      <c r="G1071" s="17"/>
    </row>
    <row r="1072" spans="2:7" ht="13.5" thickBot="1">
      <c r="B1072" s="19"/>
      <c r="C1072" s="20"/>
      <c r="D1072" s="20"/>
      <c r="E1072" s="83"/>
      <c r="F1072" s="83"/>
      <c r="G1072" s="9"/>
    </row>
    <row r="1073" spans="2:7" ht="13.5" thickBot="1">
      <c r="B1073" s="236">
        <v>45549</v>
      </c>
      <c r="C1073" s="237"/>
      <c r="D1073" s="237"/>
      <c r="E1073" s="237"/>
      <c r="F1073" s="237"/>
      <c r="G1073" s="238"/>
    </row>
    <row r="1074" spans="2:7" ht="13.5" thickBot="1">
      <c r="B1074" s="18"/>
      <c r="G1074" s="6"/>
    </row>
    <row r="1075" spans="2:7">
      <c r="B1075" s="18"/>
      <c r="C1075" s="21" t="s">
        <v>27</v>
      </c>
      <c r="D1075" s="16"/>
      <c r="E1075" s="80" t="s">
        <v>62</v>
      </c>
      <c r="F1075" s="4">
        <v>17</v>
      </c>
      <c r="G1075" s="6"/>
    </row>
    <row r="1076" spans="2:7" ht="13.5" thickBot="1">
      <c r="B1076" s="18"/>
      <c r="C1076" s="7"/>
      <c r="D1076" s="20"/>
      <c r="E1076" s="83" t="s">
        <v>1</v>
      </c>
      <c r="F1076" s="22">
        <v>13</v>
      </c>
      <c r="G1076" s="6"/>
    </row>
    <row r="1077" spans="2:7" ht="13.5" thickBot="1">
      <c r="B1077" s="18"/>
      <c r="G1077" s="6"/>
    </row>
    <row r="1078" spans="2:7">
      <c r="B1078" s="18"/>
      <c r="C1078" s="3" t="s">
        <v>4</v>
      </c>
      <c r="D1078" s="16"/>
      <c r="E1078" s="80" t="s">
        <v>62</v>
      </c>
      <c r="F1078" s="84"/>
      <c r="G1078" s="6"/>
    </row>
    <row r="1079" spans="2:7">
      <c r="B1079" s="18"/>
      <c r="C1079" s="5" t="s">
        <v>2</v>
      </c>
      <c r="E1079" s="39" t="s">
        <v>326</v>
      </c>
      <c r="F1079" s="6"/>
      <c r="G1079" s="6"/>
    </row>
    <row r="1080" spans="2:7" ht="13.5" thickBot="1">
      <c r="B1080" s="18"/>
      <c r="C1080" s="7" t="s">
        <v>3</v>
      </c>
      <c r="D1080" s="20"/>
      <c r="E1080" s="81" t="s">
        <v>354</v>
      </c>
      <c r="F1080" s="9"/>
      <c r="G1080" s="6"/>
    </row>
    <row r="1081" spans="2:7" ht="13.5" thickBot="1">
      <c r="B1081" s="18"/>
      <c r="G1081" s="6"/>
    </row>
    <row r="1082" spans="2:7" ht="13.5" thickBot="1">
      <c r="B1082" s="18"/>
      <c r="C1082" s="23"/>
      <c r="D1082" s="24"/>
      <c r="E1082" s="87" t="s">
        <v>1088</v>
      </c>
      <c r="F1082" s="25"/>
      <c r="G1082" s="6"/>
    </row>
    <row r="1083" spans="2:7">
      <c r="B1083" s="18"/>
      <c r="G1083" s="6"/>
    </row>
    <row r="1084" spans="2:7">
      <c r="B1084" s="203"/>
      <c r="C1084" t="s">
        <v>5</v>
      </c>
      <c r="G1084" s="6"/>
    </row>
    <row r="1085" spans="2:7">
      <c r="B1085" s="203"/>
      <c r="G1085" s="6"/>
    </row>
    <row r="1086" spans="2:7">
      <c r="B1086" s="5">
        <v>1</v>
      </c>
      <c r="C1086" s="39" t="s">
        <v>1105</v>
      </c>
      <c r="G1086" s="6"/>
    </row>
    <row r="1087" spans="2:7">
      <c r="B1087" s="5">
        <v>2</v>
      </c>
      <c r="C1087" s="39" t="s">
        <v>1113</v>
      </c>
      <c r="G1087" s="6"/>
    </row>
    <row r="1088" spans="2:7">
      <c r="B1088" s="5">
        <v>3</v>
      </c>
      <c r="C1088" s="39" t="s">
        <v>327</v>
      </c>
      <c r="G1088" s="6"/>
    </row>
    <row r="1089" spans="2:7">
      <c r="B1089" s="5">
        <v>4</v>
      </c>
      <c r="C1089" s="39" t="s">
        <v>1106</v>
      </c>
      <c r="G1089" s="6"/>
    </row>
    <row r="1090" spans="2:7">
      <c r="B1090" s="5">
        <v>5</v>
      </c>
      <c r="C1090" s="39" t="s">
        <v>207</v>
      </c>
      <c r="G1090" s="6"/>
    </row>
    <row r="1091" spans="2:7">
      <c r="B1091" s="5">
        <v>6</v>
      </c>
      <c r="C1091" s="39" t="s">
        <v>18</v>
      </c>
      <c r="G1091" s="6"/>
    </row>
    <row r="1092" spans="2:7">
      <c r="B1092" s="5">
        <v>7</v>
      </c>
      <c r="C1092" s="39" t="s">
        <v>211</v>
      </c>
      <c r="G1092" s="6"/>
    </row>
    <row r="1093" spans="2:7">
      <c r="B1093" s="5">
        <v>8</v>
      </c>
      <c r="C1093" s="39" t="s">
        <v>1096</v>
      </c>
      <c r="G1093" s="6"/>
    </row>
    <row r="1094" spans="2:7">
      <c r="B1094" s="5">
        <v>9</v>
      </c>
      <c r="C1094" s="39" t="s">
        <v>1235</v>
      </c>
      <c r="G1094" s="6"/>
    </row>
    <row r="1095" spans="2:7">
      <c r="B1095" s="5">
        <v>10</v>
      </c>
      <c r="C1095" s="39" t="s">
        <v>607</v>
      </c>
      <c r="G1095" s="6"/>
    </row>
    <row r="1096" spans="2:7">
      <c r="B1096" s="5">
        <v>11</v>
      </c>
      <c r="C1096" s="39" t="s">
        <v>1174</v>
      </c>
      <c r="G1096" s="6"/>
    </row>
    <row r="1097" spans="2:7">
      <c r="B1097" s="5">
        <v>12</v>
      </c>
      <c r="C1097" s="39" t="s">
        <v>1198</v>
      </c>
      <c r="G1097" s="6"/>
    </row>
    <row r="1098" spans="2:7">
      <c r="B1098" s="5">
        <v>13</v>
      </c>
      <c r="C1098" s="39" t="s">
        <v>1112</v>
      </c>
      <c r="G1098" s="6"/>
    </row>
    <row r="1099" spans="2:7">
      <c r="B1099" s="5">
        <v>14</v>
      </c>
      <c r="C1099" s="39" t="s">
        <v>214</v>
      </c>
      <c r="G1099" s="6"/>
    </row>
    <row r="1100" spans="2:7">
      <c r="B1100" s="5">
        <v>15</v>
      </c>
      <c r="C1100" s="39" t="s">
        <v>1340</v>
      </c>
      <c r="G1100" s="6"/>
    </row>
    <row r="1101" spans="2:7">
      <c r="B1101" s="18"/>
      <c r="G1101" s="6"/>
    </row>
    <row r="1102" spans="2:7">
      <c r="B1102" s="18"/>
      <c r="C1102" s="39" t="s">
        <v>325</v>
      </c>
      <c r="G1102" s="6"/>
    </row>
    <row r="1103" spans="2:7">
      <c r="B1103" s="18"/>
      <c r="C1103" s="198" t="s">
        <v>1439</v>
      </c>
      <c r="G1103" s="6"/>
    </row>
    <row r="1104" spans="2:7">
      <c r="B1104" s="18"/>
      <c r="C1104" s="198" t="s">
        <v>1466</v>
      </c>
      <c r="G1104" s="6"/>
    </row>
    <row r="1105" spans="2:7">
      <c r="B1105" s="18"/>
      <c r="C1105" s="198" t="s">
        <v>1469</v>
      </c>
      <c r="G1105" s="6"/>
    </row>
    <row r="1106" spans="2:7">
      <c r="B1106" s="18"/>
      <c r="C1106" s="198" t="s">
        <v>1378</v>
      </c>
      <c r="G1106" s="6"/>
    </row>
    <row r="1107" spans="2:7">
      <c r="B1107" s="18"/>
      <c r="C1107" s="198" t="s">
        <v>1433</v>
      </c>
      <c r="G1107" s="6"/>
    </row>
    <row r="1108" spans="2:7">
      <c r="B1108" s="18"/>
      <c r="C1108" s="198"/>
      <c r="G1108" s="6"/>
    </row>
    <row r="1109" spans="2:7">
      <c r="B1109" s="203"/>
      <c r="C1109" s="2" t="s">
        <v>21</v>
      </c>
      <c r="G1109" s="6"/>
    </row>
    <row r="1110" spans="2:7">
      <c r="B1110" s="82" t="s">
        <v>336</v>
      </c>
      <c r="C1110" s="198" t="s">
        <v>214</v>
      </c>
      <c r="G1110" s="6"/>
    </row>
    <row r="1111" spans="2:7">
      <c r="B1111" s="82" t="s">
        <v>336</v>
      </c>
      <c r="C1111" s="198" t="s">
        <v>236</v>
      </c>
      <c r="G1111" s="6"/>
    </row>
    <row r="1112" spans="2:7">
      <c r="B1112" s="82"/>
      <c r="C1112" s="198"/>
      <c r="G1112" s="6"/>
    </row>
    <row r="1113" spans="2:7">
      <c r="B1113" s="18"/>
      <c r="C1113" s="15" t="s">
        <v>337</v>
      </c>
      <c r="G1113" s="6"/>
    </row>
    <row r="1114" spans="2:7">
      <c r="B1114" s="82"/>
      <c r="C1114" s="198" t="s">
        <v>339</v>
      </c>
      <c r="G1114" s="6"/>
    </row>
    <row r="1115" spans="2:7">
      <c r="B1115" s="18"/>
      <c r="G1115" s="6"/>
    </row>
    <row r="1116" spans="2:7">
      <c r="B1116" s="18"/>
      <c r="C1116" s="15" t="s">
        <v>22</v>
      </c>
      <c r="G1116" s="6"/>
    </row>
    <row r="1117" spans="2:7">
      <c r="B1117" s="82" t="s">
        <v>336</v>
      </c>
      <c r="C1117" s="39" t="s">
        <v>236</v>
      </c>
      <c r="G1117" s="6"/>
    </row>
    <row r="1118" spans="2:7">
      <c r="B1118" s="18"/>
      <c r="G1118" s="6"/>
    </row>
    <row r="1119" spans="2:7">
      <c r="B1119" s="82"/>
      <c r="C1119" s="15" t="s">
        <v>23</v>
      </c>
      <c r="G1119" s="6"/>
    </row>
    <row r="1120" spans="2:7">
      <c r="B1120" s="82" t="s">
        <v>336</v>
      </c>
      <c r="C1120" s="66" t="s">
        <v>18</v>
      </c>
      <c r="G1120" s="6"/>
    </row>
    <row r="1121" spans="2:9" ht="13.5" thickBot="1">
      <c r="B1121" s="163"/>
      <c r="C1121" s="20"/>
      <c r="D1121" s="20"/>
      <c r="E1121" s="8"/>
      <c r="F1121" s="20"/>
      <c r="G1121" s="9"/>
    </row>
    <row r="1122" spans="2:9">
      <c r="B1122" s="215"/>
      <c r="C1122" s="16"/>
      <c r="D1122" s="16"/>
      <c r="E1122" s="80"/>
      <c r="F1122" s="80"/>
      <c r="G1122" s="17"/>
    </row>
    <row r="1123" spans="2:9" ht="13.5" thickBot="1">
      <c r="B1123" s="19"/>
      <c r="C1123" s="20"/>
      <c r="D1123" s="20"/>
      <c r="E1123" s="83"/>
      <c r="F1123" s="20"/>
      <c r="G1123" s="9"/>
    </row>
    <row r="1124" spans="2:9" ht="13.5" thickBot="1">
      <c r="B1124" s="236">
        <v>45556</v>
      </c>
      <c r="C1124" s="237"/>
      <c r="D1124" s="237"/>
      <c r="E1124" s="237"/>
      <c r="F1124" s="237"/>
      <c r="G1124" s="238"/>
    </row>
    <row r="1125" spans="2:9" ht="13.5" thickBot="1">
      <c r="B1125" s="18"/>
      <c r="G1125" s="6"/>
    </row>
    <row r="1126" spans="2:9">
      <c r="B1126" s="18"/>
      <c r="C1126" s="21" t="s">
        <v>27</v>
      </c>
      <c r="D1126" s="16"/>
      <c r="E1126" s="80" t="s">
        <v>1</v>
      </c>
      <c r="F1126" s="4">
        <v>26</v>
      </c>
      <c r="G1126" s="6"/>
    </row>
    <row r="1127" spans="2:9" ht="13.5" thickBot="1">
      <c r="B1127" s="18"/>
      <c r="C1127" s="7"/>
      <c r="D1127" s="20"/>
      <c r="E1127" s="83" t="s">
        <v>185</v>
      </c>
      <c r="F1127" s="22">
        <v>49</v>
      </c>
      <c r="G1127" s="6"/>
    </row>
    <row r="1128" spans="2:9" ht="13.5" thickBot="1">
      <c r="B1128" s="18"/>
      <c r="G1128" s="6"/>
    </row>
    <row r="1129" spans="2:9">
      <c r="B1129" s="18"/>
      <c r="C1129" s="3" t="s">
        <v>4</v>
      </c>
      <c r="D1129" s="16"/>
      <c r="E1129" s="80" t="s">
        <v>1</v>
      </c>
      <c r="F1129" s="84" t="s">
        <v>205</v>
      </c>
      <c r="G1129" s="6"/>
    </row>
    <row r="1130" spans="2:9">
      <c r="B1130" s="18"/>
      <c r="C1130" s="5" t="s">
        <v>2</v>
      </c>
      <c r="E1130" s="39" t="s">
        <v>326</v>
      </c>
      <c r="F1130" s="6"/>
      <c r="G1130" s="6"/>
      <c r="I1130" s="198"/>
    </row>
    <row r="1131" spans="2:9" ht="13.5" thickBot="1">
      <c r="B1131" s="18"/>
      <c r="C1131" s="7" t="s">
        <v>3</v>
      </c>
      <c r="D1131" s="20"/>
      <c r="E1131" s="81" t="s">
        <v>354</v>
      </c>
      <c r="F1131" s="9"/>
      <c r="G1131" s="6"/>
    </row>
    <row r="1132" spans="2:9" ht="13.5" thickBot="1">
      <c r="B1132" s="18"/>
      <c r="G1132" s="6"/>
    </row>
    <row r="1133" spans="2:9" ht="13.5" thickBot="1">
      <c r="B1133" s="18"/>
      <c r="C1133" s="23"/>
      <c r="D1133" s="24"/>
      <c r="E1133" s="87" t="s">
        <v>1411</v>
      </c>
      <c r="F1133" s="25"/>
      <c r="G1133" s="6"/>
    </row>
    <row r="1134" spans="2:9">
      <c r="B1134" s="18"/>
      <c r="G1134" s="6"/>
    </row>
    <row r="1135" spans="2:9">
      <c r="B1135" s="203"/>
      <c r="C1135" t="s">
        <v>5</v>
      </c>
      <c r="G1135" s="6"/>
    </row>
    <row r="1136" spans="2:9">
      <c r="B1136" s="203"/>
      <c r="G1136" s="6"/>
    </row>
    <row r="1137" spans="2:7">
      <c r="B1137" s="5">
        <v>1</v>
      </c>
      <c r="C1137" s="39" t="s">
        <v>327</v>
      </c>
      <c r="G1137" s="6"/>
    </row>
    <row r="1138" spans="2:7">
      <c r="B1138" s="5">
        <v>2</v>
      </c>
      <c r="C1138" s="39" t="s">
        <v>1113</v>
      </c>
      <c r="G1138" s="6"/>
    </row>
    <row r="1139" spans="2:7">
      <c r="B1139" s="5">
        <v>3</v>
      </c>
      <c r="C1139" s="39" t="s">
        <v>1172</v>
      </c>
      <c r="G1139" s="6"/>
    </row>
    <row r="1140" spans="2:7">
      <c r="B1140" s="5">
        <v>4</v>
      </c>
      <c r="C1140" s="39" t="s">
        <v>1106</v>
      </c>
      <c r="G1140" s="6"/>
    </row>
    <row r="1141" spans="2:7">
      <c r="B1141" s="5">
        <v>5</v>
      </c>
      <c r="C1141" s="39" t="s">
        <v>207</v>
      </c>
      <c r="G1141" s="6"/>
    </row>
    <row r="1142" spans="2:7">
      <c r="B1142" s="5">
        <v>6</v>
      </c>
      <c r="C1142" s="39" t="s">
        <v>1324</v>
      </c>
      <c r="G1142" s="6"/>
    </row>
    <row r="1143" spans="2:7">
      <c r="B1143" s="5">
        <v>7</v>
      </c>
      <c r="C1143" s="39" t="s">
        <v>18</v>
      </c>
      <c r="G1143" s="6"/>
    </row>
    <row r="1144" spans="2:7">
      <c r="B1144" s="5">
        <v>8</v>
      </c>
      <c r="C1144" s="39" t="s">
        <v>1096</v>
      </c>
      <c r="G1144" s="6"/>
    </row>
    <row r="1145" spans="2:7">
      <c r="B1145" s="5">
        <v>9</v>
      </c>
      <c r="C1145" s="39" t="s">
        <v>1429</v>
      </c>
      <c r="G1145" s="6"/>
    </row>
    <row r="1146" spans="2:7">
      <c r="B1146" s="5">
        <v>10</v>
      </c>
      <c r="C1146" s="39" t="s">
        <v>234</v>
      </c>
      <c r="G1146" s="6"/>
    </row>
    <row r="1147" spans="2:7">
      <c r="B1147" s="5">
        <v>11</v>
      </c>
      <c r="C1147" s="39" t="s">
        <v>1174</v>
      </c>
      <c r="G1147" s="6"/>
    </row>
    <row r="1148" spans="2:7">
      <c r="B1148" s="5">
        <v>12</v>
      </c>
      <c r="C1148" s="39" t="s">
        <v>1198</v>
      </c>
      <c r="G1148" s="6"/>
    </row>
    <row r="1149" spans="2:7">
      <c r="B1149" s="5">
        <v>13</v>
      </c>
      <c r="C1149" s="39" t="s">
        <v>1112</v>
      </c>
      <c r="G1149" s="6"/>
    </row>
    <row r="1150" spans="2:7">
      <c r="B1150" s="5">
        <v>14</v>
      </c>
      <c r="C1150" s="39" t="s">
        <v>214</v>
      </c>
      <c r="G1150" s="6"/>
    </row>
    <row r="1151" spans="2:7">
      <c r="B1151" s="5">
        <v>15</v>
      </c>
      <c r="C1151" s="39" t="s">
        <v>607</v>
      </c>
      <c r="G1151" s="6"/>
    </row>
    <row r="1152" spans="2:7">
      <c r="B1152" s="18"/>
      <c r="G1152" s="6"/>
    </row>
    <row r="1153" spans="2:7">
      <c r="B1153" s="18"/>
      <c r="C1153" s="39" t="s">
        <v>325</v>
      </c>
      <c r="G1153" s="6"/>
    </row>
    <row r="1154" spans="2:7">
      <c r="B1154" s="18"/>
      <c r="C1154" s="198" t="s">
        <v>1439</v>
      </c>
      <c r="G1154" s="6"/>
    </row>
    <row r="1155" spans="2:7">
      <c r="B1155" s="18"/>
      <c r="C1155" s="198" t="s">
        <v>1470</v>
      </c>
      <c r="G1155" s="6"/>
    </row>
    <row r="1156" spans="2:7">
      <c r="B1156" s="18"/>
      <c r="C1156" s="198" t="s">
        <v>1385</v>
      </c>
      <c r="G1156" s="6"/>
    </row>
    <row r="1157" spans="2:7">
      <c r="B1157" s="18"/>
      <c r="C1157" s="198" t="s">
        <v>1384</v>
      </c>
      <c r="G1157" s="6"/>
    </row>
    <row r="1158" spans="2:7">
      <c r="B1158" s="18"/>
      <c r="C1158" s="198" t="s">
        <v>1455</v>
      </c>
      <c r="G1158" s="6"/>
    </row>
    <row r="1159" spans="2:7">
      <c r="B1159" s="18"/>
      <c r="C1159" s="198" t="s">
        <v>1335</v>
      </c>
      <c r="G1159" s="6"/>
    </row>
    <row r="1160" spans="2:7">
      <c r="B1160" s="18"/>
      <c r="C1160" s="198" t="s">
        <v>1407</v>
      </c>
      <c r="G1160" s="6"/>
    </row>
    <row r="1161" spans="2:7">
      <c r="B1161" s="18"/>
      <c r="C1161" s="198"/>
      <c r="G1161" s="6"/>
    </row>
    <row r="1162" spans="2:7">
      <c r="B1162" s="203"/>
      <c r="C1162" s="2" t="s">
        <v>21</v>
      </c>
      <c r="G1162" s="6"/>
    </row>
    <row r="1163" spans="2:7">
      <c r="B1163" s="82" t="s">
        <v>352</v>
      </c>
      <c r="C1163" s="198" t="s">
        <v>1096</v>
      </c>
      <c r="G1163" s="6"/>
    </row>
    <row r="1164" spans="2:7">
      <c r="B1164" s="82" t="s">
        <v>336</v>
      </c>
      <c r="C1164" s="198" t="s">
        <v>1340</v>
      </c>
      <c r="G1164" s="6"/>
    </row>
    <row r="1165" spans="2:7">
      <c r="B1165" s="82" t="s">
        <v>336</v>
      </c>
      <c r="C1165" s="198" t="s">
        <v>236</v>
      </c>
      <c r="G1165" s="6"/>
    </row>
    <row r="1166" spans="2:7">
      <c r="B1166" s="82"/>
      <c r="C1166" s="198"/>
      <c r="G1166" s="6"/>
    </row>
    <row r="1167" spans="2:7">
      <c r="B1167" s="18"/>
      <c r="C1167" s="15" t="s">
        <v>337</v>
      </c>
      <c r="G1167" s="6"/>
    </row>
    <row r="1168" spans="2:7">
      <c r="B1168" s="82" t="s">
        <v>335</v>
      </c>
      <c r="C1168" s="198" t="s">
        <v>236</v>
      </c>
      <c r="G1168" s="6"/>
    </row>
    <row r="1169" spans="2:7">
      <c r="B1169" s="18"/>
      <c r="G1169" s="6"/>
    </row>
    <row r="1170" spans="2:7">
      <c r="B1170" s="18"/>
      <c r="C1170" s="15" t="s">
        <v>22</v>
      </c>
      <c r="G1170" s="6"/>
    </row>
    <row r="1171" spans="2:7">
      <c r="B1171" s="82"/>
      <c r="C1171" s="39" t="s">
        <v>339</v>
      </c>
      <c r="G1171" s="6"/>
    </row>
    <row r="1172" spans="2:7">
      <c r="B1172" s="18"/>
      <c r="G1172" s="6"/>
    </row>
    <row r="1173" spans="2:7">
      <c r="B1173" s="82"/>
      <c r="C1173" s="15" t="s">
        <v>23</v>
      </c>
      <c r="G1173" s="6"/>
    </row>
    <row r="1174" spans="2:7">
      <c r="B1174" s="82"/>
      <c r="C1174" s="66" t="s">
        <v>339</v>
      </c>
      <c r="G1174" s="6"/>
    </row>
    <row r="1175" spans="2:7" ht="13.5" thickBot="1">
      <c r="B1175" s="163"/>
      <c r="C1175" s="20"/>
      <c r="D1175" s="20"/>
      <c r="E1175" s="8"/>
      <c r="F1175" s="20"/>
      <c r="G1175" s="9"/>
    </row>
    <row r="1176" spans="2:7">
      <c r="B1176" s="215"/>
      <c r="C1176" s="16"/>
      <c r="D1176" s="16"/>
      <c r="E1176" s="80"/>
      <c r="F1176" s="120"/>
      <c r="G1176" s="17"/>
    </row>
    <row r="1177" spans="2:7" ht="13.5" thickBot="1">
      <c r="B1177" s="19"/>
      <c r="C1177" s="20"/>
      <c r="D1177" s="20"/>
      <c r="E1177" s="8"/>
      <c r="F1177" s="20"/>
      <c r="G1177" s="9"/>
    </row>
    <row r="1178" spans="2:7" ht="13.5" thickBot="1">
      <c r="B1178" s="236">
        <v>45563</v>
      </c>
      <c r="C1178" s="237"/>
      <c r="D1178" s="237"/>
      <c r="E1178" s="237"/>
      <c r="F1178" s="237"/>
      <c r="G1178" s="238"/>
    </row>
    <row r="1179" spans="2:7" ht="13.5" thickBot="1">
      <c r="B1179" s="18"/>
      <c r="G1179" s="6"/>
    </row>
    <row r="1180" spans="2:7">
      <c r="B1180" s="18"/>
      <c r="C1180" s="21" t="s">
        <v>27</v>
      </c>
      <c r="D1180" s="16"/>
      <c r="E1180" s="80" t="s">
        <v>92</v>
      </c>
      <c r="F1180" s="4">
        <v>31</v>
      </c>
      <c r="G1180" s="6"/>
    </row>
    <row r="1181" spans="2:7" ht="13.5" thickBot="1">
      <c r="B1181" s="18"/>
      <c r="C1181" s="7"/>
      <c r="D1181" s="20"/>
      <c r="E1181" s="83" t="s">
        <v>1</v>
      </c>
      <c r="F1181" s="22">
        <v>23</v>
      </c>
      <c r="G1181" s="6"/>
    </row>
    <row r="1182" spans="2:7" ht="13.5" thickBot="1">
      <c r="B1182" s="18"/>
      <c r="G1182" s="6"/>
    </row>
    <row r="1183" spans="2:7">
      <c r="B1183" s="18"/>
      <c r="C1183" s="3" t="s">
        <v>4</v>
      </c>
      <c r="D1183" s="16"/>
      <c r="E1183" s="80" t="s">
        <v>92</v>
      </c>
      <c r="F1183" s="84"/>
      <c r="G1183" s="6"/>
    </row>
    <row r="1184" spans="2:7">
      <c r="B1184" s="18"/>
      <c r="C1184" s="5" t="s">
        <v>2</v>
      </c>
      <c r="E1184" s="39" t="s">
        <v>326</v>
      </c>
      <c r="F1184" s="6"/>
      <c r="G1184" s="6"/>
    </row>
    <row r="1185" spans="2:7" ht="13.5" thickBot="1">
      <c r="B1185" s="18"/>
      <c r="C1185" s="7" t="s">
        <v>3</v>
      </c>
      <c r="D1185" s="20"/>
      <c r="E1185" s="81" t="s">
        <v>354</v>
      </c>
      <c r="F1185" s="9"/>
      <c r="G1185" s="6"/>
    </row>
    <row r="1186" spans="2:7" ht="13.5" thickBot="1">
      <c r="B1186" s="18"/>
      <c r="G1186" s="6"/>
    </row>
    <row r="1187" spans="2:7" ht="13.5" thickBot="1">
      <c r="B1187" s="18"/>
      <c r="C1187" s="23"/>
      <c r="D1187" s="24"/>
      <c r="E1187" s="87" t="s">
        <v>1417</v>
      </c>
      <c r="F1187" s="25"/>
      <c r="G1187" s="6"/>
    </row>
    <row r="1188" spans="2:7">
      <c r="B1188" s="18"/>
      <c r="G1188" s="6"/>
    </row>
    <row r="1189" spans="2:7">
      <c r="B1189" s="203"/>
      <c r="C1189" t="s">
        <v>5</v>
      </c>
      <c r="G1189" s="6"/>
    </row>
    <row r="1190" spans="2:7">
      <c r="B1190" s="203"/>
      <c r="G1190" s="6"/>
    </row>
    <row r="1191" spans="2:7">
      <c r="B1191" s="5">
        <v>1</v>
      </c>
      <c r="C1191" s="39" t="s">
        <v>327</v>
      </c>
      <c r="G1191" s="6"/>
    </row>
    <row r="1192" spans="2:7">
      <c r="B1192" s="5">
        <v>2</v>
      </c>
      <c r="C1192" s="39" t="s">
        <v>1434</v>
      </c>
      <c r="G1192" s="6"/>
    </row>
    <row r="1193" spans="2:7">
      <c r="B1193" s="5">
        <v>3</v>
      </c>
      <c r="C1193" s="39" t="s">
        <v>1172</v>
      </c>
      <c r="G1193" s="6"/>
    </row>
    <row r="1194" spans="2:7">
      <c r="B1194" s="5">
        <v>4</v>
      </c>
      <c r="C1194" s="39" t="s">
        <v>1106</v>
      </c>
      <c r="G1194" s="6"/>
    </row>
    <row r="1195" spans="2:7">
      <c r="B1195" s="5">
        <v>5</v>
      </c>
      <c r="C1195" s="39" t="s">
        <v>207</v>
      </c>
      <c r="G1195" s="6"/>
    </row>
    <row r="1196" spans="2:7">
      <c r="B1196" s="5">
        <v>6</v>
      </c>
      <c r="C1196" s="39" t="s">
        <v>1324</v>
      </c>
      <c r="G1196" s="6"/>
    </row>
    <row r="1197" spans="2:7">
      <c r="B1197" s="5">
        <v>7</v>
      </c>
      <c r="C1197" s="39" t="s">
        <v>211</v>
      </c>
      <c r="G1197" s="6"/>
    </row>
    <row r="1198" spans="2:7">
      <c r="B1198" s="5">
        <v>8</v>
      </c>
      <c r="C1198" s="39" t="s">
        <v>1329</v>
      </c>
      <c r="G1198" s="6"/>
    </row>
    <row r="1199" spans="2:7">
      <c r="B1199" s="5">
        <v>9</v>
      </c>
      <c r="C1199" s="39" t="s">
        <v>1429</v>
      </c>
      <c r="G1199" s="6"/>
    </row>
    <row r="1200" spans="2:7">
      <c r="B1200" s="5">
        <v>10</v>
      </c>
      <c r="C1200" s="39" t="s">
        <v>607</v>
      </c>
      <c r="G1200" s="6"/>
    </row>
    <row r="1201" spans="2:7">
      <c r="B1201" s="5">
        <v>11</v>
      </c>
      <c r="C1201" s="39" t="s">
        <v>1174</v>
      </c>
      <c r="G1201" s="6"/>
    </row>
    <row r="1202" spans="2:7">
      <c r="B1202" s="5">
        <v>12</v>
      </c>
      <c r="C1202" s="39" t="s">
        <v>1198</v>
      </c>
      <c r="G1202" s="6"/>
    </row>
    <row r="1203" spans="2:7">
      <c r="B1203" s="5">
        <v>13</v>
      </c>
      <c r="C1203" s="39" t="s">
        <v>1112</v>
      </c>
      <c r="G1203" s="6"/>
    </row>
    <row r="1204" spans="2:7">
      <c r="B1204" s="5">
        <v>14</v>
      </c>
      <c r="C1204" s="39" t="s">
        <v>214</v>
      </c>
      <c r="G1204" s="6"/>
    </row>
    <row r="1205" spans="2:7">
      <c r="B1205" s="5">
        <v>15</v>
      </c>
      <c r="C1205" s="39" t="s">
        <v>1340</v>
      </c>
      <c r="G1205" s="6"/>
    </row>
    <row r="1206" spans="2:7">
      <c r="B1206" s="18"/>
      <c r="G1206" s="6"/>
    </row>
    <row r="1207" spans="2:7">
      <c r="B1207" s="18"/>
      <c r="C1207" s="39" t="s">
        <v>325</v>
      </c>
      <c r="G1207" s="6"/>
    </row>
    <row r="1208" spans="2:7">
      <c r="B1208" s="18"/>
      <c r="C1208" s="198" t="s">
        <v>1471</v>
      </c>
      <c r="G1208" s="6"/>
    </row>
    <row r="1209" spans="2:7">
      <c r="B1209" s="18"/>
      <c r="C1209" s="198" t="s">
        <v>1406</v>
      </c>
      <c r="G1209" s="6"/>
    </row>
    <row r="1210" spans="2:7">
      <c r="B1210" s="18"/>
      <c r="C1210" s="198" t="s">
        <v>1472</v>
      </c>
      <c r="G1210" s="6"/>
    </row>
    <row r="1211" spans="2:7">
      <c r="B1211" s="18"/>
      <c r="C1211" s="198" t="s">
        <v>1473</v>
      </c>
      <c r="G1211" s="6"/>
    </row>
    <row r="1212" spans="2:7">
      <c r="B1212" s="18"/>
      <c r="C1212" s="198" t="s">
        <v>1455</v>
      </c>
      <c r="G1212" s="6"/>
    </row>
    <row r="1213" spans="2:7">
      <c r="B1213" s="18"/>
      <c r="C1213" s="198" t="s">
        <v>1474</v>
      </c>
      <c r="G1213" s="6"/>
    </row>
    <row r="1214" spans="2:7">
      <c r="B1214" s="18"/>
      <c r="C1214" s="198" t="s">
        <v>1475</v>
      </c>
      <c r="G1214" s="6"/>
    </row>
    <row r="1215" spans="2:7">
      <c r="B1215" s="18"/>
      <c r="C1215" s="198"/>
      <c r="G1215" s="6"/>
    </row>
    <row r="1216" spans="2:7">
      <c r="B1216" s="203"/>
      <c r="C1216" s="2" t="s">
        <v>21</v>
      </c>
      <c r="G1216" s="6"/>
    </row>
    <row r="1217" spans="2:7">
      <c r="B1217" s="82" t="s">
        <v>352</v>
      </c>
      <c r="C1217" s="198" t="s">
        <v>1434</v>
      </c>
      <c r="G1217" s="6"/>
    </row>
    <row r="1218" spans="2:7">
      <c r="B1218" s="82" t="s">
        <v>336</v>
      </c>
      <c r="C1218" s="198" t="s">
        <v>214</v>
      </c>
      <c r="G1218" s="6"/>
    </row>
    <row r="1219" spans="2:7">
      <c r="B1219" s="82"/>
      <c r="C1219" s="198"/>
      <c r="G1219" s="6"/>
    </row>
    <row r="1220" spans="2:7">
      <c r="B1220" s="18"/>
      <c r="C1220" s="15" t="s">
        <v>337</v>
      </c>
      <c r="G1220" s="6"/>
    </row>
    <row r="1221" spans="2:7">
      <c r="B1221" s="82" t="s">
        <v>336</v>
      </c>
      <c r="C1221" s="198" t="s">
        <v>607</v>
      </c>
      <c r="G1221" s="6"/>
    </row>
    <row r="1222" spans="2:7">
      <c r="B1222" s="18"/>
      <c r="G1222" s="6"/>
    </row>
    <row r="1223" spans="2:7">
      <c r="B1223" s="18"/>
      <c r="C1223" s="15" t="s">
        <v>22</v>
      </c>
      <c r="G1223" s="6"/>
    </row>
    <row r="1224" spans="2:7">
      <c r="B1224" s="82" t="s">
        <v>352</v>
      </c>
      <c r="C1224" s="39" t="s">
        <v>236</v>
      </c>
      <c r="G1224" s="6"/>
    </row>
    <row r="1225" spans="2:7">
      <c r="B1225" s="18"/>
      <c r="G1225" s="6"/>
    </row>
    <row r="1226" spans="2:7">
      <c r="B1226" s="82"/>
      <c r="C1226" s="15" t="s">
        <v>23</v>
      </c>
      <c r="G1226" s="6"/>
    </row>
    <row r="1227" spans="2:7">
      <c r="B1227" s="82"/>
      <c r="C1227" s="66" t="s">
        <v>339</v>
      </c>
      <c r="G1227" s="6"/>
    </row>
    <row r="1228" spans="2:7" ht="13.5" thickBot="1">
      <c r="B1228" s="163"/>
      <c r="C1228" s="20"/>
      <c r="D1228" s="20"/>
      <c r="E1228" s="8"/>
      <c r="F1228" s="20"/>
      <c r="G1228" s="9"/>
    </row>
    <row r="1229" spans="2:7">
      <c r="B1229" s="215"/>
      <c r="C1229" s="16"/>
      <c r="D1229" s="16"/>
      <c r="E1229" s="80"/>
      <c r="F1229" s="16"/>
      <c r="G1229" s="17"/>
    </row>
    <row r="1230" spans="2:7" ht="13.5" thickBot="1">
      <c r="B1230" s="19"/>
      <c r="C1230" s="20"/>
      <c r="D1230" s="20"/>
      <c r="E1230" s="81"/>
      <c r="F1230" s="20"/>
      <c r="G1230" s="9"/>
    </row>
    <row r="1231" spans="2:7" ht="13.5" thickBot="1">
      <c r="B1231" s="236">
        <v>45570</v>
      </c>
      <c r="C1231" s="237"/>
      <c r="D1231" s="237"/>
      <c r="E1231" s="237"/>
      <c r="F1231" s="237"/>
      <c r="G1231" s="238"/>
    </row>
    <row r="1232" spans="2:7" ht="13.5" thickBot="1">
      <c r="B1232" s="18"/>
      <c r="G1232" s="6"/>
    </row>
    <row r="1233" spans="2:7">
      <c r="B1233" s="18"/>
      <c r="C1233" s="21" t="s">
        <v>27</v>
      </c>
      <c r="D1233" s="16"/>
      <c r="E1233" s="80" t="s">
        <v>1</v>
      </c>
      <c r="F1233" s="4">
        <v>25</v>
      </c>
      <c r="G1233" s="6"/>
    </row>
    <row r="1234" spans="2:7" ht="13.5" thickBot="1">
      <c r="B1234" s="18"/>
      <c r="C1234" s="7"/>
      <c r="D1234" s="20"/>
      <c r="E1234" s="83" t="s">
        <v>1103</v>
      </c>
      <c r="F1234" s="22">
        <v>27</v>
      </c>
      <c r="G1234" s="6"/>
    </row>
    <row r="1235" spans="2:7" ht="13.5" thickBot="1">
      <c r="B1235" s="18"/>
      <c r="G1235" s="6"/>
    </row>
    <row r="1236" spans="2:7">
      <c r="B1236" s="18"/>
      <c r="C1236" s="3" t="s">
        <v>4</v>
      </c>
      <c r="D1236" s="16"/>
      <c r="E1236" s="80" t="s">
        <v>1</v>
      </c>
      <c r="F1236" s="84" t="s">
        <v>205</v>
      </c>
      <c r="G1236" s="6"/>
    </row>
    <row r="1237" spans="2:7">
      <c r="B1237" s="18"/>
      <c r="C1237" s="5" t="s">
        <v>2</v>
      </c>
      <c r="E1237" s="39" t="s">
        <v>326</v>
      </c>
      <c r="F1237" s="6"/>
      <c r="G1237" s="6"/>
    </row>
    <row r="1238" spans="2:7" ht="13.5" thickBot="1">
      <c r="B1238" s="18"/>
      <c r="C1238" s="7" t="s">
        <v>3</v>
      </c>
      <c r="D1238" s="20"/>
      <c r="E1238" s="81" t="s">
        <v>354</v>
      </c>
      <c r="F1238" s="9"/>
      <c r="G1238" s="6"/>
    </row>
    <row r="1239" spans="2:7" ht="13.5" thickBot="1">
      <c r="B1239" s="18"/>
      <c r="G1239" s="6"/>
    </row>
    <row r="1240" spans="2:7" ht="13.5" thickBot="1">
      <c r="B1240" s="18"/>
      <c r="C1240" s="23"/>
      <c r="D1240" s="24"/>
      <c r="E1240" s="87" t="s">
        <v>1477</v>
      </c>
      <c r="F1240" s="25"/>
      <c r="G1240" s="6"/>
    </row>
    <row r="1241" spans="2:7">
      <c r="B1241" s="18"/>
      <c r="G1241" s="6"/>
    </row>
    <row r="1242" spans="2:7">
      <c r="B1242" s="203"/>
      <c r="C1242" t="s">
        <v>5</v>
      </c>
      <c r="G1242" s="6"/>
    </row>
    <row r="1243" spans="2:7">
      <c r="B1243" s="203"/>
      <c r="G1243" s="6"/>
    </row>
    <row r="1244" spans="2:7">
      <c r="B1244" s="5">
        <v>1</v>
      </c>
      <c r="C1244" s="39" t="s">
        <v>1105</v>
      </c>
      <c r="G1244" s="6"/>
    </row>
    <row r="1245" spans="2:7">
      <c r="B1245" s="5">
        <v>2</v>
      </c>
      <c r="C1245" s="39" t="s">
        <v>1434</v>
      </c>
      <c r="G1245" s="6"/>
    </row>
    <row r="1246" spans="2:7">
      <c r="B1246" s="5">
        <v>3</v>
      </c>
      <c r="C1246" s="39" t="s">
        <v>1172</v>
      </c>
      <c r="G1246" s="6"/>
    </row>
    <row r="1247" spans="2:7">
      <c r="B1247" s="5">
        <v>4</v>
      </c>
      <c r="C1247" s="39" t="s">
        <v>1106</v>
      </c>
      <c r="G1247" s="6"/>
    </row>
    <row r="1248" spans="2:7">
      <c r="B1248" s="5">
        <v>5</v>
      </c>
      <c r="C1248" s="39" t="s">
        <v>207</v>
      </c>
      <c r="G1248" s="6"/>
    </row>
    <row r="1249" spans="2:7">
      <c r="B1249" s="5">
        <v>6</v>
      </c>
      <c r="C1249" s="39" t="s">
        <v>1324</v>
      </c>
      <c r="G1249" s="6"/>
    </row>
    <row r="1250" spans="2:7">
      <c r="B1250" s="5">
        <v>7</v>
      </c>
      <c r="C1250" s="39" t="s">
        <v>211</v>
      </c>
      <c r="G1250" s="6"/>
    </row>
    <row r="1251" spans="2:7">
      <c r="B1251" s="5">
        <v>8</v>
      </c>
      <c r="C1251" s="39" t="s">
        <v>18</v>
      </c>
      <c r="G1251" s="6"/>
    </row>
    <row r="1252" spans="2:7">
      <c r="B1252" s="5">
        <v>9</v>
      </c>
      <c r="C1252" s="39" t="s">
        <v>1429</v>
      </c>
      <c r="G1252" s="6"/>
    </row>
    <row r="1253" spans="2:7">
      <c r="B1253" s="5">
        <v>10</v>
      </c>
      <c r="C1253" s="39" t="s">
        <v>607</v>
      </c>
      <c r="G1253" s="6"/>
    </row>
    <row r="1254" spans="2:7">
      <c r="B1254" s="5">
        <v>11</v>
      </c>
      <c r="C1254" s="39" t="s">
        <v>1174</v>
      </c>
      <c r="G1254" s="6"/>
    </row>
    <row r="1255" spans="2:7">
      <c r="B1255" s="5">
        <v>12</v>
      </c>
      <c r="C1255" s="39" t="s">
        <v>1198</v>
      </c>
      <c r="G1255" s="6"/>
    </row>
    <row r="1256" spans="2:7">
      <c r="B1256" s="5">
        <v>13</v>
      </c>
      <c r="C1256" s="39" t="s">
        <v>1112</v>
      </c>
      <c r="G1256" s="6"/>
    </row>
    <row r="1257" spans="2:7">
      <c r="B1257" s="5">
        <v>14</v>
      </c>
      <c r="C1257" s="39" t="s">
        <v>1235</v>
      </c>
      <c r="G1257" s="6"/>
    </row>
    <row r="1258" spans="2:7">
      <c r="B1258" s="5">
        <v>15</v>
      </c>
      <c r="C1258" s="39" t="s">
        <v>1340</v>
      </c>
      <c r="G1258" s="6"/>
    </row>
    <row r="1259" spans="2:7">
      <c r="B1259" s="18"/>
      <c r="G1259" s="6"/>
    </row>
    <row r="1260" spans="2:7">
      <c r="B1260" s="18"/>
      <c r="C1260" s="39" t="s">
        <v>325</v>
      </c>
      <c r="G1260" s="6"/>
    </row>
    <row r="1261" spans="2:7">
      <c r="B1261" s="18"/>
      <c r="C1261" s="198" t="s">
        <v>1471</v>
      </c>
      <c r="G1261" s="6"/>
    </row>
    <row r="1262" spans="2:7">
      <c r="B1262" s="18"/>
      <c r="C1262" s="198" t="s">
        <v>1478</v>
      </c>
      <c r="G1262" s="6"/>
    </row>
    <row r="1263" spans="2:7">
      <c r="B1263" s="18"/>
      <c r="C1263" s="198" t="s">
        <v>1175</v>
      </c>
      <c r="G1263" s="6"/>
    </row>
    <row r="1264" spans="2:7">
      <c r="B1264" s="18"/>
      <c r="C1264" s="198" t="s">
        <v>1454</v>
      </c>
      <c r="G1264" s="6"/>
    </row>
    <row r="1265" spans="2:7">
      <c r="B1265" s="18"/>
      <c r="C1265" s="198" t="s">
        <v>1425</v>
      </c>
      <c r="G1265" s="6"/>
    </row>
    <row r="1266" spans="2:7">
      <c r="B1266" s="18"/>
      <c r="C1266" s="198" t="s">
        <v>1479</v>
      </c>
      <c r="G1266" s="6"/>
    </row>
    <row r="1267" spans="2:7">
      <c r="B1267" s="18"/>
      <c r="C1267" s="198" t="s">
        <v>1480</v>
      </c>
      <c r="G1267" s="6"/>
    </row>
    <row r="1268" spans="2:7">
      <c r="B1268" s="18"/>
      <c r="C1268" s="198" t="s">
        <v>1481</v>
      </c>
      <c r="G1268" s="6"/>
    </row>
    <row r="1269" spans="2:7">
      <c r="B1269" s="18"/>
      <c r="C1269" s="198"/>
      <c r="G1269" s="6"/>
    </row>
    <row r="1270" spans="2:7">
      <c r="B1270" s="203"/>
      <c r="C1270" s="2" t="s">
        <v>21</v>
      </c>
      <c r="G1270" s="6"/>
    </row>
    <row r="1271" spans="2:7">
      <c r="B1271" s="82" t="s">
        <v>352</v>
      </c>
      <c r="C1271" s="198" t="s">
        <v>1434</v>
      </c>
      <c r="G1271" s="6"/>
    </row>
    <row r="1272" spans="2:7">
      <c r="B1272" s="82" t="s">
        <v>336</v>
      </c>
      <c r="C1272" s="198" t="s">
        <v>236</v>
      </c>
      <c r="G1272" s="6"/>
    </row>
    <row r="1273" spans="2:7">
      <c r="B1273" s="82" t="s">
        <v>336</v>
      </c>
      <c r="C1273" s="198" t="s">
        <v>236</v>
      </c>
      <c r="G1273" s="6"/>
    </row>
    <row r="1274" spans="2:7">
      <c r="B1274" s="82"/>
      <c r="C1274" s="198"/>
      <c r="G1274" s="6"/>
    </row>
    <row r="1275" spans="2:7">
      <c r="B1275" s="18"/>
      <c r="C1275" s="15" t="s">
        <v>337</v>
      </c>
      <c r="G1275" s="6"/>
    </row>
    <row r="1276" spans="2:7">
      <c r="B1276" s="82" t="s">
        <v>336</v>
      </c>
      <c r="C1276" s="198" t="s">
        <v>236</v>
      </c>
      <c r="G1276" s="6"/>
    </row>
    <row r="1277" spans="2:7">
      <c r="B1277" s="18"/>
      <c r="G1277" s="6"/>
    </row>
    <row r="1278" spans="2:7">
      <c r="B1278" s="18"/>
      <c r="C1278" s="15" t="s">
        <v>22</v>
      </c>
      <c r="G1278" s="6"/>
    </row>
    <row r="1279" spans="2:7">
      <c r="B1279" s="82" t="s">
        <v>336</v>
      </c>
      <c r="C1279" s="39" t="s">
        <v>236</v>
      </c>
      <c r="G1279" s="6"/>
    </row>
    <row r="1280" spans="2:7">
      <c r="B1280" s="18"/>
      <c r="G1280" s="6"/>
    </row>
    <row r="1281" spans="2:7">
      <c r="B1281" s="82"/>
      <c r="C1281" s="15" t="s">
        <v>23</v>
      </c>
      <c r="G1281" s="6"/>
    </row>
    <row r="1282" spans="2:7">
      <c r="B1282" s="82" t="s">
        <v>336</v>
      </c>
      <c r="C1282" s="66" t="s">
        <v>207</v>
      </c>
      <c r="G1282" s="6"/>
    </row>
    <row r="1283" spans="2:7">
      <c r="B1283" s="82" t="s">
        <v>336</v>
      </c>
      <c r="C1283" s="66" t="s">
        <v>11</v>
      </c>
      <c r="G1283" s="6"/>
    </row>
    <row r="1284" spans="2:7" ht="13.5" thickBot="1">
      <c r="B1284" s="163"/>
      <c r="C1284" s="20"/>
      <c r="D1284" s="20"/>
      <c r="E1284" s="8"/>
      <c r="F1284" s="20"/>
      <c r="G1284" s="9"/>
    </row>
    <row r="1285" spans="2:7">
      <c r="B1285" s="215"/>
      <c r="C1285" s="16"/>
      <c r="D1285" s="16"/>
      <c r="E1285" s="80"/>
      <c r="F1285" s="16"/>
      <c r="G1285" s="17"/>
    </row>
    <row r="1286" spans="2:7" ht="13.5" thickBot="1">
      <c r="B1286" s="19"/>
      <c r="C1286" s="20"/>
      <c r="D1286" s="20"/>
      <c r="E1286" s="81"/>
      <c r="F1286" s="20"/>
      <c r="G1286" s="9"/>
    </row>
    <row r="1287" spans="2:7" ht="13.5" thickBot="1">
      <c r="B1287" s="236">
        <v>45577</v>
      </c>
      <c r="C1287" s="237"/>
      <c r="D1287" s="237"/>
      <c r="E1287" s="237"/>
      <c r="F1287" s="237"/>
      <c r="G1287" s="238"/>
    </row>
    <row r="1288" spans="2:7" ht="13.5" thickBot="1">
      <c r="B1288" s="18"/>
      <c r="G1288" s="6"/>
    </row>
    <row r="1289" spans="2:7">
      <c r="B1289" s="18"/>
      <c r="C1289" s="21" t="s">
        <v>27</v>
      </c>
      <c r="D1289" s="16"/>
      <c r="E1289" s="80" t="s">
        <v>1301</v>
      </c>
      <c r="F1289" s="4">
        <v>17</v>
      </c>
      <c r="G1289" s="6"/>
    </row>
    <row r="1290" spans="2:7" ht="13.5" thickBot="1">
      <c r="B1290" s="18"/>
      <c r="C1290" s="7"/>
      <c r="D1290" s="20"/>
      <c r="E1290" s="83" t="s">
        <v>1</v>
      </c>
      <c r="F1290" s="22">
        <v>15</v>
      </c>
      <c r="G1290" s="6"/>
    </row>
    <row r="1291" spans="2:7" ht="13.5" thickBot="1">
      <c r="B1291" s="18"/>
      <c r="G1291" s="6"/>
    </row>
    <row r="1292" spans="2:7">
      <c r="B1292" s="18"/>
      <c r="C1292" s="3" t="s">
        <v>4</v>
      </c>
      <c r="D1292" s="16"/>
      <c r="E1292" s="80" t="s">
        <v>1301</v>
      </c>
      <c r="F1292" s="84"/>
      <c r="G1292" s="6"/>
    </row>
    <row r="1293" spans="2:7">
      <c r="B1293" s="18"/>
      <c r="C1293" s="5" t="s">
        <v>2</v>
      </c>
      <c r="E1293" s="39" t="s">
        <v>326</v>
      </c>
      <c r="F1293" s="6"/>
      <c r="G1293" s="6"/>
    </row>
    <row r="1294" spans="2:7" ht="13.5" thickBot="1">
      <c r="B1294" s="18"/>
      <c r="C1294" s="7" t="s">
        <v>3</v>
      </c>
      <c r="D1294" s="20"/>
      <c r="E1294" s="81" t="s">
        <v>354</v>
      </c>
      <c r="F1294" s="9"/>
      <c r="G1294" s="6"/>
    </row>
    <row r="1295" spans="2:7" ht="13.5" thickBot="1">
      <c r="B1295" s="18"/>
      <c r="G1295" s="6"/>
    </row>
    <row r="1296" spans="2:7" ht="13.5" thickBot="1">
      <c r="B1296" s="18"/>
      <c r="C1296" s="23"/>
      <c r="D1296" s="24"/>
      <c r="E1296" s="87" t="s">
        <v>216</v>
      </c>
      <c r="F1296" s="25"/>
      <c r="G1296" s="6"/>
    </row>
    <row r="1297" spans="2:7">
      <c r="B1297" s="18"/>
      <c r="G1297" s="6"/>
    </row>
    <row r="1298" spans="2:7">
      <c r="B1298" s="203"/>
      <c r="C1298" t="s">
        <v>5</v>
      </c>
      <c r="G1298" s="6"/>
    </row>
    <row r="1299" spans="2:7">
      <c r="B1299" s="203"/>
      <c r="G1299" s="6"/>
    </row>
    <row r="1300" spans="2:7">
      <c r="B1300" s="5">
        <v>1</v>
      </c>
      <c r="C1300" s="39" t="s">
        <v>1105</v>
      </c>
      <c r="G1300" s="6"/>
    </row>
    <row r="1301" spans="2:7">
      <c r="B1301" s="5">
        <v>2</v>
      </c>
      <c r="C1301" s="39" t="s">
        <v>1434</v>
      </c>
      <c r="G1301" s="6"/>
    </row>
    <row r="1302" spans="2:7">
      <c r="B1302" s="5">
        <v>3</v>
      </c>
      <c r="C1302" s="39" t="s">
        <v>1476</v>
      </c>
      <c r="G1302" s="6"/>
    </row>
    <row r="1303" spans="2:7">
      <c r="B1303" s="5">
        <v>4</v>
      </c>
      <c r="C1303" s="39" t="s">
        <v>1106</v>
      </c>
      <c r="G1303" s="6"/>
    </row>
    <row r="1304" spans="2:7">
      <c r="B1304" s="5">
        <v>5</v>
      </c>
      <c r="C1304" s="39" t="s">
        <v>207</v>
      </c>
      <c r="G1304" s="6"/>
    </row>
    <row r="1305" spans="2:7">
      <c r="B1305" s="5">
        <v>6</v>
      </c>
      <c r="C1305" s="39" t="s">
        <v>1324</v>
      </c>
      <c r="G1305" s="6"/>
    </row>
    <row r="1306" spans="2:7">
      <c r="B1306" s="5">
        <v>7</v>
      </c>
      <c r="C1306" s="39" t="s">
        <v>211</v>
      </c>
      <c r="G1306" s="6"/>
    </row>
    <row r="1307" spans="2:7">
      <c r="B1307" s="5">
        <v>8</v>
      </c>
      <c r="C1307" s="39" t="s">
        <v>18</v>
      </c>
      <c r="G1307" s="6"/>
    </row>
    <row r="1308" spans="2:7">
      <c r="B1308" s="5">
        <v>9</v>
      </c>
      <c r="C1308" s="39" t="s">
        <v>1429</v>
      </c>
      <c r="G1308" s="6"/>
    </row>
    <row r="1309" spans="2:7">
      <c r="B1309" s="5">
        <v>10</v>
      </c>
      <c r="C1309" s="39" t="s">
        <v>607</v>
      </c>
      <c r="G1309" s="6"/>
    </row>
    <row r="1310" spans="2:7">
      <c r="B1310" s="5">
        <v>11</v>
      </c>
      <c r="C1310" s="39" t="s">
        <v>1174</v>
      </c>
      <c r="G1310" s="6"/>
    </row>
    <row r="1311" spans="2:7">
      <c r="B1311" s="5">
        <v>12</v>
      </c>
      <c r="C1311" s="39" t="s">
        <v>1198</v>
      </c>
      <c r="G1311" s="6"/>
    </row>
    <row r="1312" spans="2:7">
      <c r="B1312" s="5">
        <v>13</v>
      </c>
      <c r="C1312" s="39" t="s">
        <v>214</v>
      </c>
      <c r="G1312" s="6"/>
    </row>
    <row r="1313" spans="2:7">
      <c r="B1313" s="5">
        <v>14</v>
      </c>
      <c r="C1313" s="39" t="s">
        <v>1235</v>
      </c>
      <c r="G1313" s="6"/>
    </row>
    <row r="1314" spans="2:7">
      <c r="B1314" s="5">
        <v>15</v>
      </c>
      <c r="C1314" s="39" t="s">
        <v>1340</v>
      </c>
      <c r="G1314" s="6"/>
    </row>
    <row r="1315" spans="2:7">
      <c r="B1315" s="18"/>
      <c r="G1315" s="6"/>
    </row>
    <row r="1316" spans="2:7">
      <c r="B1316" s="18"/>
      <c r="C1316" s="39" t="s">
        <v>325</v>
      </c>
      <c r="G1316" s="6"/>
    </row>
    <row r="1317" spans="2:7">
      <c r="B1317" s="18"/>
      <c r="C1317" s="198" t="s">
        <v>1482</v>
      </c>
      <c r="G1317" s="6"/>
    </row>
    <row r="1318" spans="2:7">
      <c r="B1318" s="18"/>
      <c r="C1318" s="198" t="s">
        <v>1465</v>
      </c>
      <c r="G1318" s="6"/>
    </row>
    <row r="1319" spans="2:7">
      <c r="B1319" s="18"/>
      <c r="C1319" s="198" t="s">
        <v>1483</v>
      </c>
      <c r="G1319" s="6"/>
    </row>
    <row r="1320" spans="2:7">
      <c r="B1320" s="18"/>
      <c r="C1320" s="198" t="s">
        <v>1480</v>
      </c>
      <c r="G1320" s="6"/>
    </row>
    <row r="1321" spans="2:7">
      <c r="B1321" s="18"/>
      <c r="C1321" s="198" t="s">
        <v>1484</v>
      </c>
      <c r="G1321" s="6"/>
    </row>
    <row r="1322" spans="2:7">
      <c r="B1322" s="18"/>
      <c r="C1322" s="198"/>
      <c r="G1322" s="6"/>
    </row>
    <row r="1323" spans="2:7">
      <c r="B1323" s="203"/>
      <c r="C1323" s="2" t="s">
        <v>21</v>
      </c>
      <c r="G1323" s="6"/>
    </row>
    <row r="1324" spans="2:7">
      <c r="B1324" s="82" t="s">
        <v>352</v>
      </c>
      <c r="C1324" s="198" t="s">
        <v>236</v>
      </c>
      <c r="G1324" s="6"/>
    </row>
    <row r="1325" spans="2:7">
      <c r="B1325" s="82"/>
      <c r="C1325" s="198"/>
      <c r="G1325" s="6"/>
    </row>
    <row r="1326" spans="2:7">
      <c r="B1326" s="18"/>
      <c r="C1326" s="15" t="s">
        <v>337</v>
      </c>
      <c r="G1326" s="6"/>
    </row>
    <row r="1327" spans="2:7">
      <c r="B1327" s="82" t="s">
        <v>336</v>
      </c>
      <c r="C1327" s="198" t="s">
        <v>236</v>
      </c>
      <c r="G1327" s="6"/>
    </row>
    <row r="1328" spans="2:7">
      <c r="B1328" s="18"/>
      <c r="G1328" s="6"/>
    </row>
    <row r="1329" spans="2:7">
      <c r="B1329" s="18"/>
      <c r="C1329" s="15" t="s">
        <v>22</v>
      </c>
      <c r="G1329" s="6"/>
    </row>
    <row r="1330" spans="2:7">
      <c r="B1330" s="82" t="s">
        <v>336</v>
      </c>
      <c r="C1330" s="39" t="s">
        <v>236</v>
      </c>
      <c r="G1330" s="6"/>
    </row>
    <row r="1331" spans="2:7">
      <c r="B1331" s="18"/>
      <c r="G1331" s="6"/>
    </row>
    <row r="1332" spans="2:7">
      <c r="B1332" s="82"/>
      <c r="C1332" s="15" t="s">
        <v>23</v>
      </c>
      <c r="G1332" s="6"/>
    </row>
    <row r="1333" spans="2:7">
      <c r="B1333" s="82"/>
      <c r="C1333" s="66" t="s">
        <v>339</v>
      </c>
      <c r="G1333" s="6"/>
    </row>
    <row r="1334" spans="2:7" ht="13.5" thickBot="1">
      <c r="B1334" s="163"/>
      <c r="C1334" s="20"/>
      <c r="D1334" s="20"/>
      <c r="E1334" s="8"/>
      <c r="F1334" s="20"/>
      <c r="G1334" s="9"/>
    </row>
    <row r="1335" spans="2:7">
      <c r="B1335" s="215"/>
      <c r="C1335" s="16"/>
      <c r="D1335" s="16"/>
      <c r="E1335" s="80"/>
      <c r="F1335" s="80"/>
      <c r="G1335" s="17"/>
    </row>
    <row r="1336" spans="2:7" ht="13.5" thickBot="1">
      <c r="B1336" s="19"/>
      <c r="C1336" s="20"/>
      <c r="D1336" s="20"/>
      <c r="E1336" s="83"/>
      <c r="F1336" s="20"/>
      <c r="G1336" s="9"/>
    </row>
    <row r="1337" spans="2:7" ht="13.5" thickBot="1">
      <c r="B1337" s="236">
        <v>45584</v>
      </c>
      <c r="C1337" s="237"/>
      <c r="D1337" s="237"/>
      <c r="E1337" s="237"/>
      <c r="F1337" s="237"/>
      <c r="G1337" s="238"/>
    </row>
    <row r="1338" spans="2:7" ht="13.5" thickBot="1">
      <c r="B1338" s="18"/>
      <c r="G1338" s="6"/>
    </row>
    <row r="1339" spans="2:7">
      <c r="B1339" s="18"/>
      <c r="C1339" s="21" t="s">
        <v>27</v>
      </c>
      <c r="D1339" s="16"/>
      <c r="E1339" s="80" t="s">
        <v>1</v>
      </c>
      <c r="F1339" s="4">
        <v>36</v>
      </c>
      <c r="G1339" s="6"/>
    </row>
    <row r="1340" spans="2:7" ht="13.5" thickBot="1">
      <c r="B1340" s="18"/>
      <c r="C1340" s="7"/>
      <c r="D1340" s="20"/>
      <c r="E1340" s="83" t="s">
        <v>104</v>
      </c>
      <c r="F1340" s="22">
        <v>29</v>
      </c>
      <c r="G1340" s="6"/>
    </row>
    <row r="1341" spans="2:7" ht="13.5" thickBot="1">
      <c r="B1341" s="18"/>
      <c r="G1341" s="6"/>
    </row>
    <row r="1342" spans="2:7">
      <c r="B1342" s="18"/>
      <c r="C1342" s="3" t="s">
        <v>4</v>
      </c>
      <c r="D1342" s="16"/>
      <c r="E1342" s="80" t="s">
        <v>1</v>
      </c>
      <c r="F1342" s="84" t="s">
        <v>205</v>
      </c>
      <c r="G1342" s="6"/>
    </row>
    <row r="1343" spans="2:7">
      <c r="B1343" s="18"/>
      <c r="C1343" s="5" t="s">
        <v>2</v>
      </c>
      <c r="E1343" s="39" t="s">
        <v>326</v>
      </c>
      <c r="F1343" s="6"/>
      <c r="G1343" s="6"/>
    </row>
    <row r="1344" spans="2:7" ht="13.5" thickBot="1">
      <c r="B1344" s="18"/>
      <c r="C1344" s="7" t="s">
        <v>3</v>
      </c>
      <c r="D1344" s="20"/>
      <c r="E1344" s="81" t="s">
        <v>354</v>
      </c>
      <c r="F1344" s="9"/>
      <c r="G1344" s="6"/>
    </row>
    <row r="1345" spans="2:7" ht="13.5" thickBot="1">
      <c r="B1345" s="18"/>
      <c r="G1345" s="6"/>
    </row>
    <row r="1346" spans="2:7" ht="13.5" thickBot="1">
      <c r="B1346" s="18"/>
      <c r="C1346" s="23"/>
      <c r="D1346" s="24"/>
      <c r="E1346" s="87" t="s">
        <v>1461</v>
      </c>
      <c r="F1346" s="25"/>
      <c r="G1346" s="6"/>
    </row>
    <row r="1347" spans="2:7">
      <c r="B1347" s="18"/>
      <c r="G1347" s="6"/>
    </row>
    <row r="1348" spans="2:7">
      <c r="B1348" s="203"/>
      <c r="C1348" t="s">
        <v>5</v>
      </c>
      <c r="G1348" s="6"/>
    </row>
    <row r="1349" spans="2:7">
      <c r="B1349" s="203"/>
      <c r="G1349" s="6"/>
    </row>
    <row r="1350" spans="2:7">
      <c r="B1350" s="5">
        <v>1</v>
      </c>
      <c r="C1350" s="39" t="s">
        <v>1172</v>
      </c>
      <c r="G1350" s="6"/>
    </row>
    <row r="1351" spans="2:7">
      <c r="B1351" s="5">
        <v>2</v>
      </c>
      <c r="C1351" s="39" t="s">
        <v>1434</v>
      </c>
      <c r="G1351" s="6"/>
    </row>
    <row r="1352" spans="2:7">
      <c r="B1352" s="5">
        <v>3</v>
      </c>
      <c r="C1352" s="39" t="s">
        <v>1476</v>
      </c>
      <c r="G1352" s="6"/>
    </row>
    <row r="1353" spans="2:7">
      <c r="B1353" s="5">
        <v>4</v>
      </c>
      <c r="C1353" s="39" t="s">
        <v>1106</v>
      </c>
      <c r="G1353" s="6"/>
    </row>
    <row r="1354" spans="2:7">
      <c r="B1354" s="5">
        <v>5</v>
      </c>
      <c r="C1354" s="39" t="s">
        <v>207</v>
      </c>
      <c r="G1354" s="6"/>
    </row>
    <row r="1355" spans="2:7">
      <c r="B1355" s="5">
        <v>6</v>
      </c>
      <c r="C1355" s="39" t="s">
        <v>1324</v>
      </c>
      <c r="G1355" s="6"/>
    </row>
    <row r="1356" spans="2:7">
      <c r="B1356" s="5">
        <v>7</v>
      </c>
      <c r="C1356" s="39" t="s">
        <v>211</v>
      </c>
      <c r="G1356" s="6"/>
    </row>
    <row r="1357" spans="2:7">
      <c r="B1357" s="5">
        <v>8</v>
      </c>
      <c r="C1357" s="39" t="s">
        <v>18</v>
      </c>
      <c r="G1357" s="6"/>
    </row>
    <row r="1358" spans="2:7">
      <c r="B1358" s="5">
        <v>9</v>
      </c>
      <c r="C1358" s="39" t="s">
        <v>214</v>
      </c>
      <c r="G1358" s="6"/>
    </row>
    <row r="1359" spans="2:7">
      <c r="B1359" s="5">
        <v>10</v>
      </c>
      <c r="C1359" s="39" t="s">
        <v>607</v>
      </c>
      <c r="G1359" s="6"/>
    </row>
    <row r="1360" spans="2:7">
      <c r="B1360" s="5">
        <v>11</v>
      </c>
      <c r="C1360" s="39" t="s">
        <v>1174</v>
      </c>
      <c r="G1360" s="6"/>
    </row>
    <row r="1361" spans="2:7">
      <c r="B1361" s="5">
        <v>12</v>
      </c>
      <c r="C1361" s="39" t="s">
        <v>1198</v>
      </c>
      <c r="G1361" s="6"/>
    </row>
    <row r="1362" spans="2:7">
      <c r="B1362" s="5">
        <v>13</v>
      </c>
      <c r="C1362" s="39" t="s">
        <v>1112</v>
      </c>
      <c r="G1362" s="6"/>
    </row>
    <row r="1363" spans="2:7">
      <c r="B1363" s="5">
        <v>14</v>
      </c>
      <c r="C1363" s="39" t="s">
        <v>144</v>
      </c>
      <c r="G1363" s="6"/>
    </row>
    <row r="1364" spans="2:7">
      <c r="B1364" s="5">
        <v>15</v>
      </c>
      <c r="C1364" s="39" t="s">
        <v>1340</v>
      </c>
      <c r="G1364" s="6"/>
    </row>
    <row r="1365" spans="2:7">
      <c r="B1365" s="18"/>
      <c r="G1365" s="6"/>
    </row>
    <row r="1366" spans="2:7">
      <c r="B1366" s="18"/>
      <c r="C1366" s="39" t="s">
        <v>325</v>
      </c>
      <c r="G1366" s="6"/>
    </row>
    <row r="1367" spans="2:7">
      <c r="B1367" s="18"/>
      <c r="C1367" s="198" t="s">
        <v>1486</v>
      </c>
      <c r="G1367" s="6"/>
    </row>
    <row r="1368" spans="2:7">
      <c r="B1368" s="18"/>
      <c r="C1368" s="198" t="s">
        <v>1470</v>
      </c>
      <c r="G1368" s="6"/>
    </row>
    <row r="1369" spans="2:7">
      <c r="B1369" s="18"/>
      <c r="C1369" s="198" t="s">
        <v>1487</v>
      </c>
      <c r="G1369" s="6"/>
    </row>
    <row r="1370" spans="2:7">
      <c r="B1370" s="18"/>
      <c r="C1370" s="198" t="s">
        <v>1433</v>
      </c>
      <c r="G1370" s="6"/>
    </row>
    <row r="1371" spans="2:7">
      <c r="B1371" s="18"/>
      <c r="C1371" s="198" t="s">
        <v>1488</v>
      </c>
      <c r="G1371" s="6"/>
    </row>
    <row r="1372" spans="2:7">
      <c r="B1372" s="18"/>
      <c r="C1372" s="198" t="s">
        <v>1471</v>
      </c>
      <c r="G1372" s="6"/>
    </row>
    <row r="1373" spans="2:7">
      <c r="B1373" s="18"/>
      <c r="C1373" s="198" t="s">
        <v>1407</v>
      </c>
      <c r="G1373" s="6"/>
    </row>
    <row r="1374" spans="2:7">
      <c r="B1374" s="18"/>
      <c r="C1374" s="198"/>
      <c r="G1374" s="6"/>
    </row>
    <row r="1375" spans="2:7">
      <c r="B1375" s="203"/>
      <c r="C1375" s="2" t="s">
        <v>21</v>
      </c>
      <c r="G1375" s="6"/>
    </row>
    <row r="1376" spans="2:7">
      <c r="B1376" s="82" t="s">
        <v>352</v>
      </c>
      <c r="C1376" s="198" t="s">
        <v>1174</v>
      </c>
      <c r="G1376" s="6"/>
    </row>
    <row r="1377" spans="2:7">
      <c r="B1377" s="82" t="s">
        <v>352</v>
      </c>
      <c r="C1377" s="198" t="s">
        <v>211</v>
      </c>
      <c r="G1377" s="6"/>
    </row>
    <row r="1378" spans="2:7">
      <c r="B1378" s="82" t="s">
        <v>336</v>
      </c>
      <c r="C1378" s="198" t="s">
        <v>1112</v>
      </c>
      <c r="G1378" s="6"/>
    </row>
    <row r="1379" spans="2:7">
      <c r="B1379" s="82"/>
      <c r="C1379" s="198"/>
      <c r="G1379" s="6"/>
    </row>
    <row r="1380" spans="2:7">
      <c r="B1380" s="18"/>
      <c r="C1380" s="15" t="s">
        <v>337</v>
      </c>
      <c r="G1380" s="6"/>
    </row>
    <row r="1381" spans="2:7">
      <c r="B1381" s="82" t="s">
        <v>338</v>
      </c>
      <c r="C1381" s="198" t="s">
        <v>236</v>
      </c>
      <c r="G1381" s="6"/>
    </row>
    <row r="1382" spans="2:7">
      <c r="B1382" s="18"/>
      <c r="G1382" s="6"/>
    </row>
    <row r="1383" spans="2:7">
      <c r="B1383" s="18"/>
      <c r="C1383" s="15" t="s">
        <v>22</v>
      </c>
      <c r="G1383" s="6"/>
    </row>
    <row r="1384" spans="2:7">
      <c r="B1384" s="82" t="s">
        <v>336</v>
      </c>
      <c r="C1384" s="39" t="s">
        <v>236</v>
      </c>
      <c r="G1384" s="6"/>
    </row>
    <row r="1385" spans="2:7">
      <c r="B1385" s="18"/>
      <c r="G1385" s="6"/>
    </row>
    <row r="1386" spans="2:7">
      <c r="B1386" s="82"/>
      <c r="C1386" s="15" t="s">
        <v>23</v>
      </c>
      <c r="G1386" s="6"/>
    </row>
    <row r="1387" spans="2:7">
      <c r="B1387" s="82" t="s">
        <v>336</v>
      </c>
      <c r="C1387" s="66" t="s">
        <v>207</v>
      </c>
      <c r="G1387" s="6"/>
    </row>
    <row r="1388" spans="2:7" ht="13.5" thickBot="1">
      <c r="B1388" s="163"/>
      <c r="C1388" s="20"/>
      <c r="D1388" s="20"/>
      <c r="E1388" s="8"/>
      <c r="F1388" s="20"/>
      <c r="G1388" s="9"/>
    </row>
    <row r="1389" spans="2:7" ht="13.5" thickBot="1"/>
    <row r="1390" spans="2:7" ht="13.5" thickBot="1">
      <c r="B1390" s="236"/>
      <c r="C1390" s="237"/>
      <c r="D1390" s="237"/>
      <c r="E1390" s="237"/>
      <c r="F1390" s="237"/>
      <c r="G1390" s="238"/>
    </row>
    <row r="1391" spans="2:7" ht="13.5" thickBot="1">
      <c r="B1391" s="18"/>
      <c r="G1391" s="6"/>
    </row>
    <row r="1392" spans="2:7">
      <c r="B1392" s="18"/>
      <c r="C1392" s="21"/>
      <c r="D1392" s="16"/>
      <c r="E1392" s="80"/>
      <c r="F1392" s="4"/>
      <c r="G1392" s="6"/>
    </row>
    <row r="1393" spans="2:7" ht="13.5" thickBot="1">
      <c r="B1393" s="18"/>
      <c r="C1393" s="7"/>
      <c r="D1393" s="20"/>
      <c r="E1393" s="83"/>
      <c r="F1393" s="22"/>
      <c r="G1393" s="6"/>
    </row>
    <row r="1394" spans="2:7" ht="13.5" thickBot="1">
      <c r="B1394" s="18"/>
      <c r="G1394" s="6"/>
    </row>
    <row r="1395" spans="2:7">
      <c r="B1395" s="18"/>
      <c r="C1395" s="3"/>
      <c r="D1395" s="16"/>
      <c r="E1395" s="80"/>
      <c r="F1395" s="84"/>
      <c r="G1395" s="6"/>
    </row>
    <row r="1396" spans="2:7">
      <c r="B1396" s="18"/>
      <c r="C1396" s="5"/>
      <c r="E1396" s="39"/>
      <c r="F1396" s="6"/>
      <c r="G1396" s="6"/>
    </row>
    <row r="1397" spans="2:7" ht="13.5" thickBot="1">
      <c r="B1397" s="18"/>
      <c r="C1397" s="7"/>
      <c r="D1397" s="20"/>
      <c r="E1397" s="81"/>
      <c r="F1397" s="9"/>
      <c r="G1397" s="6"/>
    </row>
    <row r="1398" spans="2:7" ht="13.5" thickBot="1">
      <c r="B1398" s="18"/>
      <c r="G1398" s="6"/>
    </row>
    <row r="1399" spans="2:7" ht="13.5" thickBot="1">
      <c r="B1399" s="18"/>
      <c r="C1399" s="23"/>
      <c r="D1399" s="24"/>
      <c r="E1399" s="87"/>
      <c r="F1399" s="25"/>
      <c r="G1399" s="6"/>
    </row>
    <row r="1400" spans="2:7">
      <c r="B1400" s="18"/>
      <c r="G1400" s="6"/>
    </row>
    <row r="1401" spans="2:7">
      <c r="B1401" s="18"/>
      <c r="G1401" s="6"/>
    </row>
    <row r="1402" spans="2:7">
      <c r="B1402" s="18"/>
      <c r="G1402" s="6"/>
    </row>
    <row r="1403" spans="2:7">
      <c r="B1403" s="5"/>
      <c r="C1403" s="39"/>
      <c r="G1403" s="6"/>
    </row>
    <row r="1404" spans="2:7">
      <c r="B1404" s="5"/>
      <c r="C1404" s="39"/>
      <c r="G1404" s="6"/>
    </row>
    <row r="1405" spans="2:7">
      <c r="B1405" s="5"/>
      <c r="C1405" s="39"/>
      <c r="G1405" s="6"/>
    </row>
    <row r="1406" spans="2:7">
      <c r="B1406" s="5"/>
      <c r="C1406" s="39"/>
      <c r="G1406" s="6"/>
    </row>
    <row r="1407" spans="2:7">
      <c r="B1407" s="5"/>
      <c r="C1407" s="39"/>
      <c r="G1407" s="6"/>
    </row>
    <row r="1408" spans="2:7">
      <c r="B1408" s="5"/>
      <c r="C1408" s="39"/>
      <c r="G1408" s="6"/>
    </row>
    <row r="1409" spans="2:7">
      <c r="B1409" s="5"/>
      <c r="C1409" s="39"/>
      <c r="G1409" s="6"/>
    </row>
    <row r="1410" spans="2:7">
      <c r="B1410" s="5"/>
      <c r="C1410" s="39"/>
      <c r="G1410" s="6"/>
    </row>
    <row r="1411" spans="2:7">
      <c r="B1411" s="5"/>
      <c r="C1411" s="39"/>
      <c r="G1411" s="6"/>
    </row>
    <row r="1412" spans="2:7">
      <c r="B1412" s="5"/>
      <c r="C1412" s="39"/>
      <c r="G1412" s="6"/>
    </row>
    <row r="1413" spans="2:7">
      <c r="B1413" s="5"/>
      <c r="C1413" s="39"/>
      <c r="G1413" s="6"/>
    </row>
    <row r="1414" spans="2:7">
      <c r="B1414" s="5"/>
      <c r="C1414" s="39"/>
      <c r="G1414" s="6"/>
    </row>
    <row r="1415" spans="2:7">
      <c r="B1415" s="5"/>
      <c r="C1415" s="39"/>
      <c r="G1415" s="6"/>
    </row>
    <row r="1416" spans="2:7">
      <c r="B1416" s="5"/>
      <c r="C1416" s="39"/>
      <c r="G1416" s="6"/>
    </row>
    <row r="1417" spans="2:7">
      <c r="B1417" s="5"/>
      <c r="C1417" s="39"/>
      <c r="G1417" s="6"/>
    </row>
    <row r="1418" spans="2:7">
      <c r="B1418" s="18"/>
      <c r="G1418" s="6"/>
    </row>
    <row r="1419" spans="2:7">
      <c r="B1419" s="18"/>
      <c r="C1419" s="39"/>
      <c r="G1419" s="6"/>
    </row>
    <row r="1420" spans="2:7">
      <c r="B1420" s="18"/>
      <c r="C1420" s="39"/>
      <c r="G1420" s="6"/>
    </row>
    <row r="1421" spans="2:7">
      <c r="B1421" s="18"/>
      <c r="C1421" s="39"/>
      <c r="G1421" s="6"/>
    </row>
    <row r="1422" spans="2:7">
      <c r="B1422" s="18"/>
      <c r="C1422" s="39"/>
      <c r="G1422" s="6"/>
    </row>
    <row r="1423" spans="2:7">
      <c r="B1423" s="18"/>
      <c r="C1423" s="39"/>
      <c r="G1423" s="6"/>
    </row>
    <row r="1424" spans="2:7">
      <c r="B1424" s="18"/>
      <c r="C1424" s="39"/>
      <c r="G1424" s="6"/>
    </row>
    <row r="1425" spans="2:7">
      <c r="B1425" s="18"/>
      <c r="C1425" s="39"/>
      <c r="G1425" s="6"/>
    </row>
    <row r="1426" spans="2:7">
      <c r="B1426" s="18"/>
      <c r="G1426" s="6"/>
    </row>
    <row r="1427" spans="2:7">
      <c r="B1427" s="18"/>
      <c r="C1427" s="2"/>
      <c r="G1427" s="6"/>
    </row>
    <row r="1428" spans="2:7">
      <c r="B1428" s="82"/>
      <c r="C1428" s="39"/>
      <c r="G1428" s="6"/>
    </row>
    <row r="1429" spans="2:7">
      <c r="B1429" s="82"/>
      <c r="C1429" s="39"/>
      <c r="G1429" s="6"/>
    </row>
    <row r="1430" spans="2:7">
      <c r="B1430" s="82"/>
      <c r="C1430" s="39"/>
      <c r="G1430" s="6"/>
    </row>
    <row r="1431" spans="2:7">
      <c r="B1431" s="18"/>
      <c r="C1431" s="15"/>
      <c r="G1431" s="6"/>
    </row>
    <row r="1432" spans="2:7">
      <c r="B1432" s="82"/>
      <c r="C1432" s="39"/>
      <c r="G1432" s="6"/>
    </row>
    <row r="1433" spans="2:7">
      <c r="B1433" s="18"/>
      <c r="G1433" s="6"/>
    </row>
    <row r="1434" spans="2:7">
      <c r="B1434" s="18"/>
      <c r="C1434" s="1"/>
      <c r="G1434" s="6"/>
    </row>
    <row r="1435" spans="2:7">
      <c r="B1435" s="82"/>
      <c r="C1435" s="39"/>
      <c r="G1435" s="6"/>
    </row>
    <row r="1436" spans="2:7">
      <c r="B1436" s="18"/>
      <c r="G1436" s="6"/>
    </row>
    <row r="1437" spans="2:7">
      <c r="B1437" s="18"/>
      <c r="C1437" s="1"/>
      <c r="G1437" s="6"/>
    </row>
    <row r="1438" spans="2:7">
      <c r="B1438" s="82"/>
      <c r="C1438" s="66"/>
      <c r="G1438" s="6"/>
    </row>
    <row r="1439" spans="2:7" ht="13.5" thickBot="1">
      <c r="B1439" s="19"/>
      <c r="C1439" s="20"/>
      <c r="D1439" s="20"/>
      <c r="E1439" s="8"/>
      <c r="F1439" s="20"/>
      <c r="G1439" s="9"/>
    </row>
  </sheetData>
  <mergeCells count="27">
    <mergeCell ref="B1390:G1390"/>
    <mergeCell ref="B593:G593"/>
    <mergeCell ref="B648:G648"/>
    <mergeCell ref="B704:G704"/>
    <mergeCell ref="B756:G756"/>
    <mergeCell ref="B813:G813"/>
    <mergeCell ref="B867:G867"/>
    <mergeCell ref="B918:G918"/>
    <mergeCell ref="B970:G970"/>
    <mergeCell ref="B1020:G1020"/>
    <mergeCell ref="B1073:G1073"/>
    <mergeCell ref="B1124:G1124"/>
    <mergeCell ref="B1178:G1178"/>
    <mergeCell ref="B1231:G1231"/>
    <mergeCell ref="B1287:G1287"/>
    <mergeCell ref="B1337:G1337"/>
    <mergeCell ref="B536:G536"/>
    <mergeCell ref="B2:G2"/>
    <mergeCell ref="B56:G56"/>
    <mergeCell ref="B109:G109"/>
    <mergeCell ref="B162:G162"/>
    <mergeCell ref="B219:G219"/>
    <mergeCell ref="B319:G319"/>
    <mergeCell ref="B420:G420"/>
    <mergeCell ref="B368:G368"/>
    <mergeCell ref="B475:G475"/>
    <mergeCell ref="B269:G269"/>
  </mergeCells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69C9-7FDE-4C14-954F-752E1F4E0383}">
  <sheetPr>
    <tabColor rgb="FFFF0000"/>
  </sheetPr>
  <dimension ref="A1:Z1439"/>
  <sheetViews>
    <sheetView tabSelected="1" topLeftCell="A900" workbookViewId="0">
      <selection activeCell="A913" sqref="A913:XFD913"/>
    </sheetView>
  </sheetViews>
  <sheetFormatPr baseColWidth="10" defaultRowHeight="12.75"/>
  <cols>
    <col min="1" max="2" width="5.5703125" style="2" customWidth="1"/>
    <col min="3" max="3" width="24.28515625" customWidth="1"/>
    <col min="4" max="4" width="10.140625" bestFit="1" customWidth="1"/>
    <col min="5" max="5" width="30.85546875" style="1" bestFit="1" customWidth="1"/>
    <col min="9" max="9" width="3" style="231" bestFit="1" customWidth="1"/>
    <col min="11" max="12" width="11.42578125" style="1"/>
  </cols>
  <sheetData>
    <row r="1" spans="2:7" ht="13.5" thickBot="1"/>
    <row r="2" spans="2:7" ht="13.5" thickBot="1">
      <c r="B2" s="236">
        <v>46095</v>
      </c>
      <c r="C2" s="237"/>
      <c r="D2" s="237"/>
      <c r="E2" s="237"/>
      <c r="F2" s="237"/>
      <c r="G2" s="238"/>
    </row>
    <row r="3" spans="2:7" ht="13.5" thickBot="1">
      <c r="B3" s="18"/>
      <c r="G3" s="6"/>
    </row>
    <row r="4" spans="2:7">
      <c r="B4" s="18"/>
      <c r="C4" s="21" t="s">
        <v>27</v>
      </c>
      <c r="D4" s="16"/>
      <c r="E4" s="80" t="s">
        <v>185</v>
      </c>
      <c r="F4" s="4">
        <v>50</v>
      </c>
      <c r="G4" s="6"/>
    </row>
    <row r="5" spans="2:7" ht="13.5" thickBot="1">
      <c r="B5" s="18"/>
      <c r="C5" s="7"/>
      <c r="D5" s="20"/>
      <c r="E5" s="83" t="s">
        <v>1</v>
      </c>
      <c r="F5" s="22">
        <v>24</v>
      </c>
      <c r="G5" s="6"/>
    </row>
    <row r="6" spans="2:7" ht="13.5" thickBot="1">
      <c r="B6" s="18"/>
      <c r="G6" s="6"/>
    </row>
    <row r="7" spans="2:7">
      <c r="B7" s="18"/>
      <c r="C7" s="3" t="s">
        <v>4</v>
      </c>
      <c r="D7" s="16"/>
      <c r="E7" s="80" t="s">
        <v>185</v>
      </c>
      <c r="F7" s="84"/>
      <c r="G7" s="6"/>
    </row>
    <row r="8" spans="2:7">
      <c r="B8" s="18"/>
      <c r="C8" s="5" t="s">
        <v>2</v>
      </c>
      <c r="E8" s="39" t="s">
        <v>404</v>
      </c>
      <c r="F8" s="6"/>
      <c r="G8" s="6"/>
    </row>
    <row r="9" spans="2:7" ht="13.5" thickBot="1">
      <c r="B9" s="18"/>
      <c r="C9" s="7" t="s">
        <v>3</v>
      </c>
      <c r="D9" s="20"/>
      <c r="E9" s="81" t="s">
        <v>326</v>
      </c>
      <c r="F9" s="9"/>
      <c r="G9" s="6"/>
    </row>
    <row r="10" spans="2:7" ht="13.5" thickBot="1">
      <c r="B10" s="18"/>
      <c r="G10" s="6"/>
    </row>
    <row r="11" spans="2:7" ht="13.5" thickBot="1">
      <c r="B11" s="18"/>
      <c r="C11" s="23" t="s">
        <v>29</v>
      </c>
      <c r="D11" s="24"/>
      <c r="E11" s="87" t="s">
        <v>1507</v>
      </c>
      <c r="F11" s="25"/>
      <c r="G11" s="6"/>
    </row>
    <row r="12" spans="2:7">
      <c r="B12" s="18"/>
      <c r="G12" s="6"/>
    </row>
    <row r="13" spans="2:7">
      <c r="B13" s="203"/>
      <c r="C13" t="s">
        <v>5</v>
      </c>
      <c r="D13" s="197"/>
      <c r="E13" s="197"/>
      <c r="F13" s="197"/>
      <c r="G13" s="204"/>
    </row>
    <row r="14" spans="2:7">
      <c r="B14" s="203"/>
      <c r="D14" s="197"/>
      <c r="E14" s="197"/>
      <c r="F14" s="197"/>
      <c r="G14" s="204"/>
    </row>
    <row r="15" spans="2:7">
      <c r="B15" s="5">
        <v>1</v>
      </c>
      <c r="C15" s="39" t="s">
        <v>1172</v>
      </c>
      <c r="D15" s="197"/>
      <c r="E15" s="197"/>
      <c r="F15" s="197"/>
      <c r="G15" s="204"/>
    </row>
    <row r="16" spans="2:7">
      <c r="B16" s="5">
        <v>2</v>
      </c>
      <c r="C16" s="39" t="s">
        <v>1434</v>
      </c>
      <c r="D16" s="197"/>
      <c r="E16" s="197"/>
      <c r="F16" s="197"/>
      <c r="G16" s="204"/>
    </row>
    <row r="17" spans="2:7">
      <c r="B17" s="5">
        <v>3</v>
      </c>
      <c r="C17" s="39" t="s">
        <v>1476</v>
      </c>
      <c r="D17" s="197"/>
      <c r="E17" s="197"/>
      <c r="F17" s="197"/>
      <c r="G17" s="204"/>
    </row>
    <row r="18" spans="2:7">
      <c r="B18" s="5">
        <v>4</v>
      </c>
      <c r="C18" s="39" t="s">
        <v>1320</v>
      </c>
      <c r="D18" s="197"/>
      <c r="E18" s="197"/>
      <c r="F18" s="197"/>
      <c r="G18" s="204"/>
    </row>
    <row r="19" spans="2:7">
      <c r="B19" s="5">
        <v>5</v>
      </c>
      <c r="C19" s="39" t="s">
        <v>207</v>
      </c>
      <c r="D19" s="197"/>
      <c r="E19" s="197"/>
      <c r="F19" s="197"/>
      <c r="G19" s="204"/>
    </row>
    <row r="20" spans="2:7">
      <c r="B20" s="5">
        <v>6</v>
      </c>
      <c r="C20" s="39" t="s">
        <v>18</v>
      </c>
      <c r="D20" s="197"/>
      <c r="E20" s="197"/>
      <c r="F20" s="197"/>
      <c r="G20" s="204"/>
    </row>
    <row r="21" spans="2:7">
      <c r="B21" s="5">
        <v>7</v>
      </c>
      <c r="C21" s="39" t="s">
        <v>1095</v>
      </c>
      <c r="D21" s="197"/>
      <c r="E21" s="197"/>
      <c r="F21" s="197"/>
      <c r="G21" s="204"/>
    </row>
    <row r="22" spans="2:7">
      <c r="B22" s="5">
        <v>8</v>
      </c>
      <c r="C22" s="39" t="s">
        <v>230</v>
      </c>
      <c r="D22" s="197"/>
      <c r="E22" s="197"/>
      <c r="F22" s="197"/>
      <c r="G22" s="204"/>
    </row>
    <row r="23" spans="2:7">
      <c r="B23" s="5">
        <v>9</v>
      </c>
      <c r="C23" s="39" t="s">
        <v>214</v>
      </c>
      <c r="D23" s="197"/>
      <c r="E23" s="197"/>
      <c r="F23" s="197"/>
      <c r="G23" s="204"/>
    </row>
    <row r="24" spans="2:7">
      <c r="B24" s="5">
        <v>10</v>
      </c>
      <c r="C24" s="39" t="s">
        <v>1112</v>
      </c>
      <c r="D24" s="197"/>
      <c r="E24" s="197"/>
      <c r="F24" s="197"/>
      <c r="G24" s="204"/>
    </row>
    <row r="25" spans="2:7">
      <c r="B25" s="5">
        <v>11</v>
      </c>
      <c r="C25" s="39" t="s">
        <v>1403</v>
      </c>
      <c r="D25" s="197"/>
      <c r="E25" s="197"/>
      <c r="F25" s="197"/>
      <c r="G25" s="204"/>
    </row>
    <row r="26" spans="2:7">
      <c r="B26" s="5">
        <v>12</v>
      </c>
      <c r="C26" s="39" t="s">
        <v>1198</v>
      </c>
      <c r="D26" s="197"/>
      <c r="E26" s="197"/>
      <c r="F26" s="197"/>
      <c r="G26" s="204"/>
    </row>
    <row r="27" spans="2:7">
      <c r="B27" s="5">
        <v>13</v>
      </c>
      <c r="C27" s="39" t="s">
        <v>142</v>
      </c>
      <c r="D27" s="197"/>
      <c r="E27" s="197"/>
      <c r="F27" s="197"/>
      <c r="G27" s="204"/>
    </row>
    <row r="28" spans="2:7">
      <c r="B28" s="5">
        <v>14</v>
      </c>
      <c r="C28" s="39" t="s">
        <v>1344</v>
      </c>
      <c r="D28" s="197"/>
      <c r="E28" s="197"/>
      <c r="F28" s="197"/>
      <c r="G28" s="204"/>
    </row>
    <row r="29" spans="2:7">
      <c r="B29" s="5">
        <v>15</v>
      </c>
      <c r="C29" s="39" t="s">
        <v>1510</v>
      </c>
      <c r="D29" s="197"/>
      <c r="E29" s="197"/>
      <c r="F29" s="197"/>
      <c r="G29" s="204"/>
    </row>
    <row r="30" spans="2:7">
      <c r="B30" s="203"/>
      <c r="C30" s="197"/>
      <c r="D30" s="197"/>
      <c r="E30" s="197"/>
      <c r="F30" s="197"/>
      <c r="G30" s="204"/>
    </row>
    <row r="31" spans="2:7">
      <c r="B31" s="203"/>
      <c r="C31" s="39" t="s">
        <v>325</v>
      </c>
      <c r="D31" s="197"/>
      <c r="E31" s="197"/>
      <c r="F31" s="197"/>
      <c r="G31" s="204"/>
    </row>
    <row r="32" spans="2:7">
      <c r="B32" s="203"/>
      <c r="C32" s="198" t="s">
        <v>1511</v>
      </c>
      <c r="D32" s="197"/>
      <c r="E32" s="197"/>
      <c r="F32" s="197"/>
      <c r="G32" s="204"/>
    </row>
    <row r="33" spans="2:7">
      <c r="B33" s="203"/>
      <c r="C33" s="198" t="s">
        <v>1335</v>
      </c>
      <c r="D33" s="197"/>
      <c r="E33" s="197"/>
      <c r="F33" s="197"/>
      <c r="G33" s="204"/>
    </row>
    <row r="34" spans="2:7">
      <c r="B34" s="203"/>
      <c r="C34" s="198" t="s">
        <v>1289</v>
      </c>
      <c r="D34" s="197"/>
      <c r="E34" s="197"/>
      <c r="F34" s="197"/>
      <c r="G34" s="204"/>
    </row>
    <row r="35" spans="2:7">
      <c r="B35" s="203"/>
      <c r="C35" s="198" t="s">
        <v>1512</v>
      </c>
      <c r="D35" s="197"/>
      <c r="E35" s="197"/>
      <c r="F35" s="197"/>
      <c r="G35" s="204"/>
    </row>
    <row r="36" spans="2:7">
      <c r="B36" s="203"/>
      <c r="C36" s="197"/>
      <c r="D36" s="197"/>
      <c r="E36" s="197"/>
      <c r="F36" s="197"/>
      <c r="G36" s="204"/>
    </row>
    <row r="37" spans="2:7">
      <c r="B37" s="203"/>
      <c r="C37" s="2" t="s">
        <v>21</v>
      </c>
      <c r="D37" s="197"/>
      <c r="E37" s="197"/>
      <c r="F37" s="197"/>
      <c r="G37" s="204"/>
    </row>
    <row r="38" spans="2:7">
      <c r="B38" s="82" t="s">
        <v>352</v>
      </c>
      <c r="C38" s="198" t="s">
        <v>1434</v>
      </c>
      <c r="D38" s="197"/>
      <c r="E38" s="197"/>
      <c r="F38" s="197"/>
      <c r="G38" s="204"/>
    </row>
    <row r="39" spans="2:7">
      <c r="B39" s="82" t="s">
        <v>336</v>
      </c>
      <c r="C39" s="198" t="s">
        <v>1172</v>
      </c>
      <c r="D39" s="197"/>
      <c r="E39" s="197"/>
      <c r="F39" s="197"/>
      <c r="G39" s="204"/>
    </row>
    <row r="40" spans="2:7">
      <c r="B40" s="18"/>
      <c r="C40" s="39"/>
      <c r="D40" s="197"/>
      <c r="E40" s="197"/>
      <c r="F40" s="197"/>
      <c r="G40" s="204"/>
    </row>
    <row r="41" spans="2:7">
      <c r="B41" s="18"/>
      <c r="C41" s="15" t="s">
        <v>337</v>
      </c>
      <c r="D41" s="197"/>
      <c r="E41" s="197"/>
      <c r="F41" s="197"/>
      <c r="G41" s="204"/>
    </row>
    <row r="42" spans="2:7">
      <c r="B42" s="82" t="s">
        <v>335</v>
      </c>
      <c r="C42" s="198" t="s">
        <v>236</v>
      </c>
      <c r="D42" s="197"/>
      <c r="E42" s="197"/>
      <c r="F42" s="197"/>
      <c r="G42" s="204"/>
    </row>
    <row r="43" spans="2:7">
      <c r="B43" s="18"/>
      <c r="D43" s="197"/>
      <c r="E43" s="197"/>
      <c r="F43" s="197"/>
      <c r="G43" s="204"/>
    </row>
    <row r="44" spans="2:7">
      <c r="B44" s="18"/>
      <c r="C44" s="1" t="s">
        <v>22</v>
      </c>
      <c r="D44" s="197"/>
      <c r="E44" s="197"/>
      <c r="F44" s="197"/>
      <c r="G44" s="204"/>
    </row>
    <row r="45" spans="2:7">
      <c r="B45" s="82" t="s">
        <v>336</v>
      </c>
      <c r="C45" s="39" t="s">
        <v>236</v>
      </c>
      <c r="D45" s="197"/>
      <c r="E45" s="197"/>
      <c r="F45" s="197"/>
      <c r="G45" s="204"/>
    </row>
    <row r="46" spans="2:7">
      <c r="B46" s="203"/>
      <c r="D46" s="197"/>
      <c r="E46" s="197"/>
      <c r="F46" s="197"/>
      <c r="G46" s="204"/>
    </row>
    <row r="47" spans="2:7">
      <c r="B47" s="203"/>
      <c r="C47" s="1" t="s">
        <v>23</v>
      </c>
      <c r="D47" s="197"/>
      <c r="E47" s="197"/>
      <c r="F47" s="197"/>
      <c r="G47" s="204"/>
    </row>
    <row r="48" spans="2:7">
      <c r="B48" s="82" t="s">
        <v>336</v>
      </c>
      <c r="C48" s="66" t="s">
        <v>1434</v>
      </c>
      <c r="D48" s="197"/>
      <c r="E48" s="197"/>
      <c r="F48" s="197"/>
      <c r="G48" s="204"/>
    </row>
    <row r="49" spans="2:10">
      <c r="B49" s="82" t="s">
        <v>336</v>
      </c>
      <c r="C49" s="66" t="s">
        <v>207</v>
      </c>
      <c r="D49" s="197"/>
      <c r="E49" s="197"/>
      <c r="F49" s="197"/>
      <c r="G49" s="204"/>
    </row>
    <row r="50" spans="2:10">
      <c r="B50" s="203"/>
      <c r="C50" s="66"/>
      <c r="D50" s="197"/>
      <c r="E50" s="197"/>
      <c r="F50" s="197"/>
      <c r="G50" s="204"/>
    </row>
    <row r="51" spans="2:10" ht="13.5" thickBot="1">
      <c r="B51" s="205"/>
      <c r="C51" s="20"/>
      <c r="D51" s="206"/>
      <c r="E51" s="206"/>
      <c r="F51" s="206"/>
      <c r="G51" s="207"/>
    </row>
    <row r="53" spans="2:10" ht="13.5" thickBot="1"/>
    <row r="54" spans="2:10" ht="13.5" thickBot="1">
      <c r="B54" s="236">
        <v>46102</v>
      </c>
      <c r="C54" s="237"/>
      <c r="D54" s="237"/>
      <c r="E54" s="237"/>
      <c r="F54" s="237"/>
      <c r="G54" s="238"/>
      <c r="I54" s="232"/>
      <c r="J54" s="39"/>
    </row>
    <row r="55" spans="2:10" ht="13.5" thickBot="1">
      <c r="B55" s="18"/>
      <c r="G55" s="6"/>
    </row>
    <row r="56" spans="2:10">
      <c r="B56" s="18"/>
      <c r="C56" s="21" t="s">
        <v>27</v>
      </c>
      <c r="D56" s="16"/>
      <c r="E56" s="80" t="s">
        <v>1</v>
      </c>
      <c r="F56" s="4">
        <v>15</v>
      </c>
      <c r="G56" s="6"/>
    </row>
    <row r="57" spans="2:10" ht="13.5" thickBot="1">
      <c r="B57" s="18"/>
      <c r="C57" s="7"/>
      <c r="D57" s="20"/>
      <c r="E57" s="83" t="s">
        <v>95</v>
      </c>
      <c r="F57" s="22">
        <v>50</v>
      </c>
      <c r="G57" s="6"/>
    </row>
    <row r="58" spans="2:10" ht="13.5" thickBot="1">
      <c r="B58" s="18"/>
      <c r="G58" s="6"/>
    </row>
    <row r="59" spans="2:10">
      <c r="B59" s="18"/>
      <c r="C59" s="3" t="s">
        <v>4</v>
      </c>
      <c r="D59" s="16"/>
      <c r="E59" s="80" t="s">
        <v>1</v>
      </c>
      <c r="F59" s="84" t="s">
        <v>205</v>
      </c>
      <c r="G59" s="6"/>
    </row>
    <row r="60" spans="2:10">
      <c r="B60" s="18"/>
      <c r="C60" s="5" t="s">
        <v>2</v>
      </c>
      <c r="E60" s="39" t="s">
        <v>404</v>
      </c>
      <c r="F60" s="6"/>
      <c r="G60" s="6"/>
    </row>
    <row r="61" spans="2:10" ht="13.5" thickBot="1">
      <c r="B61" s="18"/>
      <c r="C61" s="7" t="s">
        <v>3</v>
      </c>
      <c r="D61" s="20"/>
      <c r="E61" s="81" t="s">
        <v>326</v>
      </c>
      <c r="F61" s="9"/>
      <c r="G61" s="6"/>
    </row>
    <row r="62" spans="2:10" ht="13.5" thickBot="1">
      <c r="B62" s="18"/>
      <c r="G62" s="6"/>
    </row>
    <row r="63" spans="2:10" ht="13.5" thickBot="1">
      <c r="B63" s="18"/>
      <c r="C63" s="23" t="s">
        <v>29</v>
      </c>
      <c r="D63" s="24"/>
      <c r="E63" s="87" t="s">
        <v>1515</v>
      </c>
      <c r="F63" s="25"/>
      <c r="G63" s="6"/>
    </row>
    <row r="64" spans="2:10">
      <c r="B64" s="18"/>
      <c r="G64" s="6"/>
    </row>
    <row r="65" spans="2:7">
      <c r="B65" s="203"/>
      <c r="C65" t="s">
        <v>5</v>
      </c>
      <c r="D65" s="197"/>
      <c r="E65" s="197"/>
      <c r="F65" s="197"/>
      <c r="G65" s="204"/>
    </row>
    <row r="66" spans="2:7">
      <c r="B66" s="203"/>
      <c r="D66" s="197"/>
      <c r="E66" s="197"/>
      <c r="F66" s="197"/>
      <c r="G66" s="204"/>
    </row>
    <row r="67" spans="2:7">
      <c r="B67" s="5">
        <v>1</v>
      </c>
      <c r="C67" s="39" t="s">
        <v>327</v>
      </c>
      <c r="D67" s="197"/>
      <c r="E67" s="197"/>
      <c r="F67" s="197"/>
      <c r="G67" s="204"/>
    </row>
    <row r="68" spans="2:7">
      <c r="B68" s="5">
        <v>2</v>
      </c>
      <c r="C68" s="39" t="s">
        <v>1434</v>
      </c>
      <c r="D68" s="197"/>
      <c r="E68" s="197"/>
      <c r="F68" s="197"/>
      <c r="G68" s="204"/>
    </row>
    <row r="69" spans="2:7">
      <c r="B69" s="5">
        <v>3</v>
      </c>
      <c r="C69" s="39" t="s">
        <v>1476</v>
      </c>
      <c r="D69" s="197"/>
      <c r="E69" s="197"/>
      <c r="F69" s="197"/>
      <c r="G69" s="204"/>
    </row>
    <row r="70" spans="2:7">
      <c r="B70" s="5">
        <v>4</v>
      </c>
      <c r="C70" s="39" t="s">
        <v>1320</v>
      </c>
      <c r="D70" s="197"/>
      <c r="E70" s="197"/>
      <c r="F70" s="197"/>
      <c r="G70" s="204"/>
    </row>
    <row r="71" spans="2:7">
      <c r="B71" s="5">
        <v>5</v>
      </c>
      <c r="C71" s="39" t="s">
        <v>207</v>
      </c>
      <c r="D71" s="197"/>
      <c r="E71" s="197"/>
      <c r="F71" s="197"/>
      <c r="G71" s="204"/>
    </row>
    <row r="72" spans="2:7">
      <c r="B72" s="5">
        <v>6</v>
      </c>
      <c r="C72" s="39" t="s">
        <v>18</v>
      </c>
      <c r="D72" s="197"/>
      <c r="E72" s="197"/>
      <c r="F72" s="197"/>
      <c r="G72" s="204"/>
    </row>
    <row r="73" spans="2:7">
      <c r="B73" s="5">
        <v>7</v>
      </c>
      <c r="C73" s="39" t="s">
        <v>1095</v>
      </c>
      <c r="D73" s="197"/>
      <c r="E73" s="197"/>
      <c r="F73" s="197"/>
      <c r="G73" s="204"/>
    </row>
    <row r="74" spans="2:7">
      <c r="B74" s="5">
        <v>8</v>
      </c>
      <c r="C74" s="39" t="s">
        <v>230</v>
      </c>
      <c r="D74" s="197"/>
      <c r="E74" s="197"/>
      <c r="F74" s="197"/>
      <c r="G74" s="204"/>
    </row>
    <row r="75" spans="2:7">
      <c r="B75" s="5">
        <v>9</v>
      </c>
      <c r="C75" s="39" t="s">
        <v>214</v>
      </c>
      <c r="D75" s="197"/>
      <c r="E75" s="197"/>
      <c r="F75" s="197"/>
      <c r="G75" s="204"/>
    </row>
    <row r="76" spans="2:7">
      <c r="B76" s="5">
        <v>10</v>
      </c>
      <c r="C76" s="39" t="s">
        <v>1112</v>
      </c>
      <c r="D76" s="197"/>
      <c r="E76" s="197"/>
      <c r="F76" s="197"/>
      <c r="G76" s="204"/>
    </row>
    <row r="77" spans="2:7">
      <c r="B77" s="5">
        <v>11</v>
      </c>
      <c r="C77" s="39" t="s">
        <v>1403</v>
      </c>
      <c r="D77" s="197"/>
      <c r="E77" s="197"/>
      <c r="F77" s="197"/>
      <c r="G77" s="204"/>
    </row>
    <row r="78" spans="2:7">
      <c r="B78" s="5">
        <v>12</v>
      </c>
      <c r="C78" s="39" t="s">
        <v>1198</v>
      </c>
      <c r="D78" s="197"/>
      <c r="E78" s="197"/>
      <c r="F78" s="197"/>
      <c r="G78" s="204"/>
    </row>
    <row r="79" spans="2:7">
      <c r="B79" s="5">
        <v>13</v>
      </c>
      <c r="C79" s="39" t="s">
        <v>1344</v>
      </c>
      <c r="D79" s="197"/>
      <c r="E79" s="197"/>
      <c r="F79" s="197"/>
      <c r="G79" s="204"/>
    </row>
    <row r="80" spans="2:7">
      <c r="B80" s="5">
        <v>14</v>
      </c>
      <c r="C80" s="39" t="s">
        <v>1510</v>
      </c>
      <c r="D80" s="197"/>
      <c r="E80" s="197"/>
      <c r="F80" s="197"/>
      <c r="G80" s="204"/>
    </row>
    <row r="81" spans="2:7">
      <c r="B81" s="5">
        <v>15</v>
      </c>
      <c r="C81" s="39" t="s">
        <v>1340</v>
      </c>
      <c r="D81" s="197"/>
      <c r="E81" s="197"/>
      <c r="F81" s="197"/>
      <c r="G81" s="204"/>
    </row>
    <row r="82" spans="2:7">
      <c r="B82" s="203"/>
      <c r="C82" s="197"/>
      <c r="D82" s="197"/>
      <c r="E82" s="197"/>
      <c r="F82" s="197"/>
      <c r="G82" s="204"/>
    </row>
    <row r="83" spans="2:7">
      <c r="B83" s="203"/>
      <c r="C83" s="39" t="s">
        <v>325</v>
      </c>
      <c r="D83" s="197"/>
      <c r="E83" s="197"/>
      <c r="F83" s="197"/>
      <c r="G83" s="204"/>
    </row>
    <row r="84" spans="2:7">
      <c r="B84" s="203"/>
      <c r="C84" s="198" t="s">
        <v>1516</v>
      </c>
      <c r="D84" s="197"/>
      <c r="E84" s="197"/>
      <c r="F84" s="197"/>
      <c r="G84" s="204"/>
    </row>
    <row r="85" spans="2:7">
      <c r="B85" s="203"/>
      <c r="C85" s="198" t="s">
        <v>1169</v>
      </c>
      <c r="D85" s="197"/>
      <c r="E85" s="197"/>
      <c r="F85" s="197"/>
      <c r="G85" s="204"/>
    </row>
    <row r="86" spans="2:7">
      <c r="B86" s="203"/>
      <c r="C86" s="198" t="s">
        <v>1280</v>
      </c>
      <c r="D86" s="197"/>
      <c r="E86" s="197"/>
      <c r="F86" s="197"/>
      <c r="G86" s="204"/>
    </row>
    <row r="87" spans="2:7">
      <c r="B87" s="203"/>
      <c r="C87" s="198" t="s">
        <v>1512</v>
      </c>
      <c r="D87" s="197"/>
      <c r="E87" s="197"/>
      <c r="F87" s="197"/>
      <c r="G87" s="204"/>
    </row>
    <row r="88" spans="2:7">
      <c r="B88" s="203"/>
      <c r="C88" s="198" t="s">
        <v>1499</v>
      </c>
      <c r="D88" s="197"/>
      <c r="E88" s="197"/>
      <c r="F88" s="197"/>
      <c r="G88" s="204"/>
    </row>
    <row r="89" spans="2:7">
      <c r="B89" s="203"/>
      <c r="C89" s="198" t="s">
        <v>1517</v>
      </c>
      <c r="D89" s="197"/>
      <c r="E89" s="197"/>
      <c r="F89" s="197"/>
      <c r="G89" s="204"/>
    </row>
    <row r="90" spans="2:7">
      <c r="B90" s="203"/>
      <c r="C90" s="197"/>
      <c r="D90" s="197"/>
      <c r="E90" s="197"/>
      <c r="F90" s="197"/>
      <c r="G90" s="204"/>
    </row>
    <row r="91" spans="2:7">
      <c r="B91" s="203"/>
      <c r="C91" s="2" t="s">
        <v>21</v>
      </c>
      <c r="D91" s="197"/>
      <c r="E91" s="197"/>
      <c r="F91" s="197"/>
      <c r="G91" s="204"/>
    </row>
    <row r="92" spans="2:7">
      <c r="B92" s="82" t="s">
        <v>352</v>
      </c>
      <c r="C92" s="198" t="s">
        <v>1403</v>
      </c>
      <c r="D92" s="197"/>
      <c r="E92" s="197"/>
      <c r="F92" s="197"/>
      <c r="G92" s="204"/>
    </row>
    <row r="93" spans="2:7">
      <c r="B93" s="18"/>
      <c r="C93" s="39"/>
      <c r="D93" s="197"/>
      <c r="E93" s="197"/>
      <c r="F93" s="197"/>
      <c r="G93" s="204"/>
    </row>
    <row r="94" spans="2:7">
      <c r="B94" s="18"/>
      <c r="C94" s="15" t="s">
        <v>337</v>
      </c>
      <c r="D94" s="197"/>
      <c r="E94" s="197"/>
      <c r="F94" s="197"/>
      <c r="G94" s="204"/>
    </row>
    <row r="95" spans="2:7">
      <c r="B95" s="82" t="s">
        <v>336</v>
      </c>
      <c r="C95" s="198" t="s">
        <v>236</v>
      </c>
      <c r="D95" s="197"/>
      <c r="E95" s="197"/>
      <c r="F95" s="197"/>
      <c r="G95" s="204"/>
    </row>
    <row r="96" spans="2:7">
      <c r="B96" s="18"/>
      <c r="D96" s="197"/>
      <c r="E96" s="197"/>
      <c r="F96" s="197"/>
      <c r="G96" s="204"/>
    </row>
    <row r="97" spans="2:7">
      <c r="B97" s="18"/>
      <c r="C97" s="1" t="s">
        <v>22</v>
      </c>
      <c r="D97" s="197"/>
      <c r="E97" s="197"/>
      <c r="F97" s="197"/>
      <c r="G97" s="204"/>
    </row>
    <row r="98" spans="2:7">
      <c r="B98" s="82" t="s">
        <v>336</v>
      </c>
      <c r="C98" s="39" t="s">
        <v>236</v>
      </c>
      <c r="D98" s="197"/>
      <c r="E98" s="197"/>
      <c r="F98" s="197"/>
      <c r="G98" s="204"/>
    </row>
    <row r="99" spans="2:7">
      <c r="B99" s="203"/>
      <c r="D99" s="197"/>
      <c r="E99" s="197"/>
      <c r="F99" s="197"/>
      <c r="G99" s="204"/>
    </row>
    <row r="100" spans="2:7">
      <c r="B100" s="203"/>
      <c r="C100" s="1" t="s">
        <v>23</v>
      </c>
      <c r="D100" s="197"/>
      <c r="E100" s="197"/>
      <c r="F100" s="197"/>
      <c r="G100" s="204"/>
    </row>
    <row r="101" spans="2:7">
      <c r="B101" s="82" t="s">
        <v>336</v>
      </c>
      <c r="C101" s="66" t="s">
        <v>1434</v>
      </c>
      <c r="D101" s="197"/>
      <c r="E101" s="197"/>
      <c r="F101" s="197"/>
      <c r="G101" s="204"/>
    </row>
    <row r="102" spans="2:7">
      <c r="B102" s="82" t="s">
        <v>336</v>
      </c>
      <c r="C102" s="66" t="s">
        <v>1500</v>
      </c>
      <c r="D102" s="197"/>
      <c r="E102" s="197"/>
      <c r="F102" s="197"/>
      <c r="G102" s="204"/>
    </row>
    <row r="103" spans="2:7">
      <c r="B103" s="203"/>
      <c r="C103" s="66"/>
      <c r="D103" s="197"/>
      <c r="E103" s="197"/>
      <c r="F103" s="197"/>
      <c r="G103" s="204"/>
    </row>
    <row r="104" spans="2:7" ht="13.5" thickBot="1">
      <c r="B104" s="205"/>
      <c r="C104" s="20"/>
      <c r="D104" s="206"/>
      <c r="E104" s="206"/>
      <c r="F104" s="206"/>
      <c r="G104" s="207"/>
    </row>
    <row r="105" spans="2:7" ht="13.5" thickBot="1"/>
    <row r="106" spans="2:7" ht="13.5" thickBot="1">
      <c r="B106" s="236">
        <v>46109</v>
      </c>
      <c r="C106" s="237"/>
      <c r="D106" s="237"/>
      <c r="E106" s="237"/>
      <c r="F106" s="237"/>
      <c r="G106" s="238"/>
    </row>
    <row r="107" spans="2:7" ht="13.5" thickBot="1">
      <c r="B107" s="18"/>
      <c r="G107" s="6"/>
    </row>
    <row r="108" spans="2:7">
      <c r="B108" s="18"/>
      <c r="C108" s="21" t="s">
        <v>27</v>
      </c>
      <c r="D108" s="16"/>
      <c r="E108" s="80" t="s">
        <v>114</v>
      </c>
      <c r="F108" s="4">
        <v>33</v>
      </c>
      <c r="G108" s="6"/>
    </row>
    <row r="109" spans="2:7" ht="13.5" thickBot="1">
      <c r="B109" s="18"/>
      <c r="C109" s="7"/>
      <c r="D109" s="20"/>
      <c r="E109" s="83" t="s">
        <v>1</v>
      </c>
      <c r="F109" s="22">
        <v>16</v>
      </c>
      <c r="G109" s="6"/>
    </row>
    <row r="110" spans="2:7" ht="13.5" thickBot="1">
      <c r="B110" s="18"/>
      <c r="G110" s="6"/>
    </row>
    <row r="111" spans="2:7">
      <c r="B111" s="18"/>
      <c r="C111" s="3" t="s">
        <v>4</v>
      </c>
      <c r="D111" s="16"/>
      <c r="E111" s="80" t="s">
        <v>114</v>
      </c>
      <c r="F111" s="84"/>
      <c r="G111" s="6"/>
    </row>
    <row r="112" spans="2:7">
      <c r="B112" s="18"/>
      <c r="C112" s="5" t="s">
        <v>2</v>
      </c>
      <c r="E112" s="39" t="s">
        <v>326</v>
      </c>
      <c r="F112" s="6"/>
      <c r="G112" s="6"/>
    </row>
    <row r="113" spans="2:7" ht="13.5" thickBot="1">
      <c r="B113" s="18"/>
      <c r="C113" s="7" t="s">
        <v>3</v>
      </c>
      <c r="D113" s="20"/>
      <c r="E113" s="81" t="s">
        <v>326</v>
      </c>
      <c r="F113" s="9"/>
      <c r="G113" s="6"/>
    </row>
    <row r="114" spans="2:7" ht="13.5" thickBot="1">
      <c r="B114" s="18"/>
      <c r="G114" s="6"/>
    </row>
    <row r="115" spans="2:7" ht="13.5" thickBot="1">
      <c r="B115" s="18"/>
      <c r="C115" s="23" t="s">
        <v>29</v>
      </c>
      <c r="D115" s="24"/>
      <c r="E115" s="87" t="s">
        <v>263</v>
      </c>
      <c r="F115" s="25"/>
      <c r="G115" s="6"/>
    </row>
    <row r="116" spans="2:7">
      <c r="B116" s="18"/>
      <c r="G116" s="6"/>
    </row>
    <row r="117" spans="2:7">
      <c r="B117" s="203"/>
      <c r="C117" t="s">
        <v>5</v>
      </c>
      <c r="D117" s="197"/>
      <c r="E117" s="197"/>
      <c r="F117" s="197"/>
      <c r="G117" s="204"/>
    </row>
    <row r="118" spans="2:7">
      <c r="B118" s="203"/>
      <c r="D118" s="197"/>
      <c r="E118" s="197"/>
      <c r="F118" s="197"/>
      <c r="G118" s="204"/>
    </row>
    <row r="119" spans="2:7">
      <c r="B119" s="5">
        <v>1</v>
      </c>
      <c r="C119" s="39" t="s">
        <v>1172</v>
      </c>
      <c r="D119" s="197"/>
      <c r="E119" s="197"/>
      <c r="F119" s="197"/>
      <c r="G119" s="204"/>
    </row>
    <row r="120" spans="2:7">
      <c r="B120" s="5">
        <v>2</v>
      </c>
      <c r="C120" s="39" t="s">
        <v>1434</v>
      </c>
      <c r="D120" s="197"/>
      <c r="E120" s="197"/>
      <c r="F120" s="197"/>
      <c r="G120" s="204"/>
    </row>
    <row r="121" spans="2:7">
      <c r="B121" s="5">
        <v>3</v>
      </c>
      <c r="C121" s="39" t="s">
        <v>1476</v>
      </c>
      <c r="D121" s="197"/>
      <c r="E121" s="197"/>
      <c r="F121" s="197"/>
      <c r="G121" s="204"/>
    </row>
    <row r="122" spans="2:7">
      <c r="B122" s="5">
        <v>4</v>
      </c>
      <c r="C122" s="39" t="s">
        <v>1320</v>
      </c>
      <c r="D122" s="197"/>
      <c r="E122" s="197"/>
      <c r="F122" s="197"/>
      <c r="G122" s="204"/>
    </row>
    <row r="123" spans="2:7">
      <c r="B123" s="5">
        <v>5</v>
      </c>
      <c r="C123" s="39" t="s">
        <v>1106</v>
      </c>
      <c r="D123" s="197"/>
      <c r="E123" s="197"/>
      <c r="F123" s="197"/>
      <c r="G123" s="204"/>
    </row>
    <row r="124" spans="2:7">
      <c r="B124" s="5">
        <v>6</v>
      </c>
      <c r="C124" s="39" t="s">
        <v>1095</v>
      </c>
      <c r="D124" s="197"/>
      <c r="E124" s="197"/>
      <c r="F124" s="197"/>
      <c r="G124" s="204"/>
    </row>
    <row r="125" spans="2:7">
      <c r="B125" s="5">
        <v>7</v>
      </c>
      <c r="C125" s="39" t="s">
        <v>211</v>
      </c>
      <c r="D125" s="197"/>
      <c r="E125" s="197"/>
      <c r="F125" s="197"/>
      <c r="G125" s="204"/>
    </row>
    <row r="126" spans="2:7">
      <c r="B126" s="5">
        <v>8</v>
      </c>
      <c r="C126" s="39" t="s">
        <v>230</v>
      </c>
      <c r="D126" s="197"/>
      <c r="E126" s="197"/>
      <c r="F126" s="197"/>
      <c r="G126" s="204"/>
    </row>
    <row r="127" spans="2:7">
      <c r="B127" s="5">
        <v>9</v>
      </c>
      <c r="C127" s="39" t="s">
        <v>214</v>
      </c>
      <c r="D127" s="197"/>
      <c r="E127" s="197"/>
      <c r="F127" s="197"/>
      <c r="G127" s="204"/>
    </row>
    <row r="128" spans="2:7">
      <c r="B128" s="5">
        <v>10</v>
      </c>
      <c r="C128" s="39" t="s">
        <v>234</v>
      </c>
      <c r="D128" s="197"/>
      <c r="E128" s="197"/>
      <c r="F128" s="197"/>
      <c r="G128" s="204"/>
    </row>
    <row r="129" spans="2:7">
      <c r="B129" s="5">
        <v>11</v>
      </c>
      <c r="C129" s="39" t="s">
        <v>1403</v>
      </c>
      <c r="D129" s="197"/>
      <c r="E129" s="197"/>
      <c r="F129" s="197"/>
      <c r="G129" s="204"/>
    </row>
    <row r="130" spans="2:7">
      <c r="B130" s="5">
        <v>12</v>
      </c>
      <c r="C130" s="39" t="s">
        <v>1198</v>
      </c>
      <c r="D130" s="197"/>
      <c r="E130" s="197"/>
      <c r="F130" s="197"/>
      <c r="G130" s="204"/>
    </row>
    <row r="131" spans="2:7">
      <c r="B131" s="5">
        <v>13</v>
      </c>
      <c r="C131" s="39" t="s">
        <v>18</v>
      </c>
      <c r="D131" s="197"/>
      <c r="E131" s="197"/>
      <c r="F131" s="197"/>
      <c r="G131" s="204"/>
    </row>
    <row r="132" spans="2:7">
      <c r="B132" s="5">
        <v>14</v>
      </c>
      <c r="C132" s="39" t="s">
        <v>1491</v>
      </c>
      <c r="D132" s="197"/>
      <c r="E132" s="197"/>
      <c r="F132" s="197"/>
      <c r="G132" s="204"/>
    </row>
    <row r="133" spans="2:7">
      <c r="B133" s="5">
        <v>15</v>
      </c>
      <c r="C133" s="39" t="s">
        <v>1340</v>
      </c>
      <c r="D133" s="197"/>
      <c r="E133" s="197"/>
      <c r="F133" s="197"/>
      <c r="G133" s="204"/>
    </row>
    <row r="134" spans="2:7">
      <c r="B134" s="203"/>
      <c r="C134" s="197"/>
      <c r="D134" s="197"/>
      <c r="E134" s="197"/>
      <c r="F134" s="197"/>
      <c r="G134" s="204"/>
    </row>
    <row r="135" spans="2:7">
      <c r="B135" s="203"/>
      <c r="C135" s="39" t="s">
        <v>325</v>
      </c>
      <c r="D135" s="197"/>
      <c r="E135" s="197"/>
      <c r="F135" s="197"/>
      <c r="G135" s="204"/>
    </row>
    <row r="136" spans="2:7">
      <c r="B136" s="203"/>
      <c r="C136" s="198" t="s">
        <v>1518</v>
      </c>
      <c r="D136" s="197"/>
      <c r="E136" s="197"/>
      <c r="F136" s="197"/>
      <c r="G136" s="204"/>
    </row>
    <row r="137" spans="2:7">
      <c r="B137" s="203"/>
      <c r="C137" s="198" t="s">
        <v>1521</v>
      </c>
      <c r="D137" s="197"/>
      <c r="E137" s="197"/>
      <c r="F137" s="197"/>
      <c r="G137" s="204"/>
    </row>
    <row r="138" spans="2:7">
      <c r="B138" s="203"/>
      <c r="C138" s="198" t="s">
        <v>1454</v>
      </c>
      <c r="D138" s="197"/>
      <c r="E138" s="197"/>
      <c r="F138" s="197"/>
      <c r="G138" s="204"/>
    </row>
    <row r="139" spans="2:7">
      <c r="B139" s="203"/>
      <c r="C139" s="198" t="s">
        <v>1519</v>
      </c>
      <c r="D139" s="197"/>
      <c r="E139" s="197"/>
      <c r="F139" s="197"/>
      <c r="G139" s="204"/>
    </row>
    <row r="140" spans="2:7">
      <c r="B140" s="203"/>
      <c r="C140" s="198" t="s">
        <v>1520</v>
      </c>
      <c r="D140" s="197"/>
      <c r="E140" s="197"/>
      <c r="F140" s="197"/>
      <c r="G140" s="204"/>
    </row>
    <row r="141" spans="2:7">
      <c r="B141" s="203"/>
      <c r="C141" s="198" t="s">
        <v>1470</v>
      </c>
      <c r="D141" s="197"/>
      <c r="E141" s="197"/>
      <c r="F141" s="197"/>
      <c r="G141" s="204"/>
    </row>
    <row r="142" spans="2:7">
      <c r="B142" s="203"/>
      <c r="C142" s="198" t="s">
        <v>1471</v>
      </c>
      <c r="D142" s="197"/>
      <c r="E142" s="197"/>
      <c r="F142" s="197"/>
      <c r="G142" s="204"/>
    </row>
    <row r="143" spans="2:7">
      <c r="B143" s="203"/>
      <c r="C143" s="197"/>
      <c r="D143" s="197"/>
      <c r="E143" s="197"/>
      <c r="F143" s="197"/>
      <c r="G143" s="204"/>
    </row>
    <row r="144" spans="2:7">
      <c r="B144" s="203"/>
      <c r="C144" s="2" t="s">
        <v>21</v>
      </c>
      <c r="D144" s="197"/>
      <c r="E144" s="197"/>
      <c r="F144" s="197"/>
      <c r="G144" s="204"/>
    </row>
    <row r="145" spans="2:7">
      <c r="B145" s="82" t="s">
        <v>336</v>
      </c>
      <c r="C145" s="198" t="s">
        <v>236</v>
      </c>
      <c r="D145" s="197"/>
      <c r="E145" s="197"/>
      <c r="F145" s="197"/>
      <c r="G145" s="204"/>
    </row>
    <row r="146" spans="2:7">
      <c r="B146" s="18"/>
      <c r="C146" s="39"/>
      <c r="D146" s="197"/>
      <c r="E146" s="197"/>
      <c r="F146" s="197"/>
      <c r="G146" s="204"/>
    </row>
    <row r="147" spans="2:7">
      <c r="B147" s="18"/>
      <c r="C147" s="15" t="s">
        <v>337</v>
      </c>
      <c r="D147" s="197"/>
      <c r="E147" s="197"/>
      <c r="F147" s="197"/>
      <c r="G147" s="204"/>
    </row>
    <row r="148" spans="2:7">
      <c r="B148" s="82" t="s">
        <v>336</v>
      </c>
      <c r="C148" s="198" t="s">
        <v>236</v>
      </c>
      <c r="D148" s="197"/>
      <c r="E148" s="197"/>
      <c r="F148" s="197"/>
      <c r="G148" s="204"/>
    </row>
    <row r="149" spans="2:7">
      <c r="B149" s="18"/>
      <c r="D149" s="197"/>
      <c r="E149" s="197"/>
      <c r="F149" s="197"/>
      <c r="G149" s="204"/>
    </row>
    <row r="150" spans="2:7">
      <c r="B150" s="18"/>
      <c r="C150" s="1" t="s">
        <v>22</v>
      </c>
      <c r="D150" s="197"/>
      <c r="E150" s="197"/>
      <c r="F150" s="197"/>
      <c r="G150" s="204"/>
    </row>
    <row r="151" spans="2:7">
      <c r="B151" s="82" t="s">
        <v>335</v>
      </c>
      <c r="C151" s="39" t="s">
        <v>236</v>
      </c>
      <c r="D151" s="197"/>
      <c r="E151" s="197"/>
      <c r="F151" s="197"/>
      <c r="G151" s="204"/>
    </row>
    <row r="152" spans="2:7">
      <c r="B152" s="203"/>
      <c r="D152" s="197"/>
      <c r="E152" s="197"/>
      <c r="F152" s="197"/>
      <c r="G152" s="204"/>
    </row>
    <row r="153" spans="2:7">
      <c r="B153" s="203"/>
      <c r="C153" s="1" t="s">
        <v>23</v>
      </c>
      <c r="D153" s="197"/>
      <c r="E153" s="197"/>
      <c r="F153" s="197"/>
      <c r="G153" s="204"/>
    </row>
    <row r="154" spans="2:7">
      <c r="B154" s="82" t="s">
        <v>336</v>
      </c>
      <c r="C154" s="66" t="s">
        <v>1172</v>
      </c>
      <c r="D154" s="197"/>
      <c r="E154" s="197"/>
      <c r="F154" s="197"/>
      <c r="G154" s="204"/>
    </row>
    <row r="155" spans="2:7">
      <c r="B155" s="82" t="s">
        <v>336</v>
      </c>
      <c r="C155" s="66" t="s">
        <v>1522</v>
      </c>
      <c r="D155" s="197"/>
      <c r="E155" s="197"/>
      <c r="F155" s="197"/>
      <c r="G155" s="204"/>
    </row>
    <row r="156" spans="2:7">
      <c r="B156" s="203"/>
      <c r="C156" s="66"/>
      <c r="D156" s="197"/>
      <c r="E156" s="197"/>
      <c r="F156" s="197"/>
      <c r="G156" s="204"/>
    </row>
    <row r="157" spans="2:7" ht="13.5" thickBot="1">
      <c r="B157" s="205"/>
      <c r="C157" s="20"/>
      <c r="D157" s="206"/>
      <c r="E157" s="206"/>
      <c r="F157" s="206"/>
      <c r="G157" s="207"/>
    </row>
    <row r="158" spans="2:7" ht="13.5" thickBot="1">
      <c r="B158" s="82"/>
      <c r="C158" s="66"/>
      <c r="D158" s="197"/>
      <c r="E158" s="197"/>
      <c r="F158" s="197"/>
      <c r="G158" s="204"/>
    </row>
    <row r="159" spans="2:7" ht="13.5" thickBot="1">
      <c r="B159" s="236">
        <v>46123</v>
      </c>
      <c r="C159" s="237"/>
      <c r="D159" s="237"/>
      <c r="E159" s="237"/>
      <c r="F159" s="237"/>
      <c r="G159" s="238"/>
    </row>
    <row r="160" spans="2:7" ht="13.5" thickBot="1">
      <c r="B160" s="18"/>
      <c r="G160" s="6"/>
    </row>
    <row r="161" spans="2:7">
      <c r="B161" s="18"/>
      <c r="C161" s="21" t="s">
        <v>27</v>
      </c>
      <c r="D161" s="16"/>
      <c r="E161" s="80" t="s">
        <v>1</v>
      </c>
      <c r="F161" s="4">
        <v>28</v>
      </c>
      <c r="G161" s="6"/>
    </row>
    <row r="162" spans="2:7" ht="13.5" thickBot="1">
      <c r="B162" s="18"/>
      <c r="C162" s="7"/>
      <c r="D162" s="20"/>
      <c r="E162" s="83" t="s">
        <v>170</v>
      </c>
      <c r="F162" s="22">
        <v>32</v>
      </c>
      <c r="G162" s="6"/>
    </row>
    <row r="163" spans="2:7" ht="13.5" thickBot="1">
      <c r="B163" s="18"/>
      <c r="G163" s="6"/>
    </row>
    <row r="164" spans="2:7">
      <c r="B164" s="18"/>
      <c r="C164" s="3" t="s">
        <v>4</v>
      </c>
      <c r="D164" s="16"/>
      <c r="E164" s="80" t="s">
        <v>1</v>
      </c>
      <c r="F164" s="84" t="s">
        <v>205</v>
      </c>
      <c r="G164" s="6"/>
    </row>
    <row r="165" spans="2:7">
      <c r="B165" s="18"/>
      <c r="C165" s="5" t="s">
        <v>2</v>
      </c>
      <c r="E165" s="39" t="s">
        <v>404</v>
      </c>
      <c r="F165" s="6"/>
      <c r="G165" s="6"/>
    </row>
    <row r="166" spans="2:7" ht="13.5" thickBot="1">
      <c r="B166" s="18"/>
      <c r="C166" s="7" t="s">
        <v>3</v>
      </c>
      <c r="D166" s="20"/>
      <c r="E166" s="81" t="s">
        <v>326</v>
      </c>
      <c r="F166" s="9"/>
      <c r="G166" s="6"/>
    </row>
    <row r="167" spans="2:7" ht="13.5" thickBot="1">
      <c r="B167" s="18"/>
      <c r="G167" s="6"/>
    </row>
    <row r="168" spans="2:7" ht="13.5" thickBot="1">
      <c r="B168" s="18"/>
      <c r="C168" s="23" t="s">
        <v>29</v>
      </c>
      <c r="D168" s="24"/>
      <c r="E168" s="87"/>
      <c r="F168" s="25"/>
      <c r="G168" s="6"/>
    </row>
    <row r="169" spans="2:7">
      <c r="B169" s="18"/>
      <c r="G169" s="6"/>
    </row>
    <row r="170" spans="2:7">
      <c r="B170" s="203"/>
      <c r="C170" t="s">
        <v>5</v>
      </c>
      <c r="D170" s="197"/>
      <c r="E170" s="197"/>
      <c r="F170" s="197"/>
      <c r="G170" s="204"/>
    </row>
    <row r="171" spans="2:7">
      <c r="B171" s="203"/>
      <c r="D171" s="197"/>
      <c r="E171" s="197"/>
      <c r="F171" s="197"/>
      <c r="G171" s="204"/>
    </row>
    <row r="172" spans="2:7">
      <c r="B172" s="5">
        <v>1</v>
      </c>
      <c r="C172" s="39" t="s">
        <v>1105</v>
      </c>
      <c r="D172" s="197"/>
      <c r="E172" s="197"/>
      <c r="F172" s="197"/>
      <c r="G172" s="204"/>
    </row>
    <row r="173" spans="2:7">
      <c r="B173" s="5">
        <v>2</v>
      </c>
      <c r="C173" s="39" t="s">
        <v>1434</v>
      </c>
      <c r="D173" s="197"/>
      <c r="E173" s="197"/>
      <c r="F173" s="197"/>
      <c r="G173" s="204"/>
    </row>
    <row r="174" spans="2:7">
      <c r="B174" s="5">
        <v>3</v>
      </c>
      <c r="C174" s="39" t="s">
        <v>1476</v>
      </c>
      <c r="D174" s="197"/>
      <c r="E174" s="197"/>
      <c r="F174" s="197"/>
      <c r="G174" s="204"/>
    </row>
    <row r="175" spans="2:7">
      <c r="B175" s="5">
        <v>4</v>
      </c>
      <c r="C175" s="39" t="s">
        <v>1320</v>
      </c>
      <c r="D175" s="197"/>
      <c r="E175" s="197"/>
      <c r="F175" s="197"/>
      <c r="G175" s="204"/>
    </row>
    <row r="176" spans="2:7">
      <c r="B176" s="5">
        <v>5</v>
      </c>
      <c r="C176" s="39" t="s">
        <v>1329</v>
      </c>
      <c r="D176" s="197"/>
      <c r="E176" s="197"/>
      <c r="F176" s="197"/>
      <c r="G176" s="204"/>
    </row>
    <row r="177" spans="2:7">
      <c r="B177" s="5">
        <v>6</v>
      </c>
      <c r="C177" s="39" t="s">
        <v>1095</v>
      </c>
      <c r="D177" s="197"/>
      <c r="E177" s="197"/>
      <c r="F177" s="197"/>
      <c r="G177" s="204"/>
    </row>
    <row r="178" spans="2:7">
      <c r="B178" s="5">
        <v>7</v>
      </c>
      <c r="C178" s="39" t="s">
        <v>211</v>
      </c>
      <c r="D178" s="197"/>
      <c r="E178" s="197"/>
      <c r="F178" s="197"/>
      <c r="G178" s="204"/>
    </row>
    <row r="179" spans="2:7">
      <c r="B179" s="5">
        <v>8</v>
      </c>
      <c r="C179" s="39" t="s">
        <v>1315</v>
      </c>
      <c r="D179" s="197"/>
      <c r="E179" s="197"/>
      <c r="F179" s="197"/>
      <c r="G179" s="204"/>
    </row>
    <row r="180" spans="2:7">
      <c r="B180" s="5">
        <v>9</v>
      </c>
      <c r="C180" s="39" t="s">
        <v>214</v>
      </c>
      <c r="D180" s="197"/>
      <c r="E180" s="197"/>
      <c r="F180" s="197"/>
      <c r="G180" s="204"/>
    </row>
    <row r="181" spans="2:7">
      <c r="B181" s="5">
        <v>10</v>
      </c>
      <c r="C181" s="39" t="s">
        <v>234</v>
      </c>
      <c r="D181" s="197"/>
      <c r="E181" s="197"/>
      <c r="F181" s="197"/>
      <c r="G181" s="204"/>
    </row>
    <row r="182" spans="2:7">
      <c r="B182" s="5">
        <v>11</v>
      </c>
      <c r="C182" s="39" t="s">
        <v>1403</v>
      </c>
      <c r="D182" s="197"/>
      <c r="E182" s="197"/>
      <c r="F182" s="197"/>
      <c r="G182" s="204"/>
    </row>
    <row r="183" spans="2:7">
      <c r="B183" s="5">
        <v>12</v>
      </c>
      <c r="C183" s="39" t="s">
        <v>1198</v>
      </c>
      <c r="D183" s="197"/>
      <c r="E183" s="197"/>
      <c r="F183" s="197"/>
      <c r="G183" s="204"/>
    </row>
    <row r="184" spans="2:7">
      <c r="B184" s="5">
        <v>13</v>
      </c>
      <c r="C184" s="39" t="s">
        <v>18</v>
      </c>
      <c r="D184" s="197"/>
      <c r="E184" s="197"/>
      <c r="F184" s="197"/>
      <c r="G184" s="204"/>
    </row>
    <row r="185" spans="2:7">
      <c r="B185" s="5">
        <v>14</v>
      </c>
      <c r="C185" s="39" t="s">
        <v>1491</v>
      </c>
      <c r="D185" s="197"/>
      <c r="E185" s="197"/>
      <c r="F185" s="197"/>
      <c r="G185" s="204"/>
    </row>
    <row r="186" spans="2:7">
      <c r="B186" s="5">
        <v>15</v>
      </c>
      <c r="C186" s="39" t="s">
        <v>1340</v>
      </c>
      <c r="D186" s="197"/>
      <c r="E186" s="197"/>
      <c r="F186" s="197"/>
      <c r="G186" s="204"/>
    </row>
    <row r="187" spans="2:7">
      <c r="B187" s="203"/>
      <c r="C187" s="197"/>
      <c r="D187" s="197"/>
      <c r="E187" s="197"/>
      <c r="F187" s="197"/>
      <c r="G187" s="204"/>
    </row>
    <row r="188" spans="2:7">
      <c r="B188" s="203"/>
      <c r="C188" s="39" t="s">
        <v>325</v>
      </c>
      <c r="D188" s="197"/>
      <c r="E188" s="197"/>
      <c r="F188" s="197"/>
      <c r="G188" s="204"/>
    </row>
    <row r="189" spans="2:7">
      <c r="B189" s="203"/>
      <c r="C189" s="198" t="s">
        <v>1523</v>
      </c>
      <c r="D189" s="197"/>
      <c r="E189" s="197"/>
      <c r="F189" s="197"/>
      <c r="G189" s="204"/>
    </row>
    <row r="190" spans="2:7">
      <c r="B190" s="203"/>
      <c r="C190" s="198" t="s">
        <v>1321</v>
      </c>
      <c r="D190" s="197"/>
      <c r="E190" s="197"/>
      <c r="F190" s="197"/>
      <c r="G190" s="204"/>
    </row>
    <row r="191" spans="2:7">
      <c r="B191" s="203"/>
      <c r="C191" s="198" t="s">
        <v>1524</v>
      </c>
      <c r="D191" s="197"/>
      <c r="E191" s="197"/>
      <c r="F191" s="197"/>
      <c r="G191" s="204"/>
    </row>
    <row r="192" spans="2:7">
      <c r="B192" s="203"/>
      <c r="C192" s="198" t="s">
        <v>1471</v>
      </c>
      <c r="D192" s="197"/>
      <c r="E192" s="197"/>
      <c r="F192" s="197"/>
      <c r="G192" s="204"/>
    </row>
    <row r="193" spans="2:7">
      <c r="B193" s="203"/>
      <c r="C193" s="198" t="s">
        <v>1525</v>
      </c>
      <c r="D193" s="197"/>
      <c r="E193" s="197"/>
      <c r="F193" s="197"/>
      <c r="G193" s="204"/>
    </row>
    <row r="194" spans="2:7">
      <c r="B194" s="203"/>
      <c r="C194" s="198" t="s">
        <v>1482</v>
      </c>
      <c r="D194" s="197"/>
      <c r="E194" s="197"/>
      <c r="F194" s="197"/>
      <c r="G194" s="204"/>
    </row>
    <row r="195" spans="2:7">
      <c r="B195" s="203"/>
      <c r="C195" s="198" t="s">
        <v>1526</v>
      </c>
      <c r="D195" s="197"/>
      <c r="E195" s="197"/>
      <c r="F195" s="197"/>
      <c r="G195" s="204"/>
    </row>
    <row r="196" spans="2:7">
      <c r="B196" s="203"/>
      <c r="C196" s="197"/>
      <c r="D196" s="197"/>
      <c r="E196" s="197"/>
      <c r="F196" s="197"/>
      <c r="G196" s="204"/>
    </row>
    <row r="197" spans="2:7">
      <c r="B197" s="203"/>
      <c r="C197" s="2" t="s">
        <v>21</v>
      </c>
      <c r="D197" s="197"/>
      <c r="E197" s="197"/>
      <c r="F197" s="197"/>
      <c r="G197" s="204"/>
    </row>
    <row r="198" spans="2:7">
      <c r="B198" s="82" t="s">
        <v>352</v>
      </c>
      <c r="C198" s="198" t="s">
        <v>1095</v>
      </c>
      <c r="D198" s="197"/>
      <c r="E198" s="197"/>
      <c r="F198" s="197"/>
      <c r="G198" s="204"/>
    </row>
    <row r="199" spans="2:7">
      <c r="B199" s="82" t="s">
        <v>336</v>
      </c>
      <c r="C199" s="198" t="s">
        <v>1510</v>
      </c>
      <c r="D199" s="197"/>
      <c r="E199" s="197"/>
      <c r="F199" s="197"/>
      <c r="G199" s="204"/>
    </row>
    <row r="200" spans="2:7">
      <c r="B200" s="82" t="s">
        <v>336</v>
      </c>
      <c r="C200" s="198" t="s">
        <v>1320</v>
      </c>
      <c r="D200" s="197"/>
      <c r="E200" s="197"/>
      <c r="F200" s="197"/>
      <c r="G200" s="204"/>
    </row>
    <row r="201" spans="2:7">
      <c r="B201" s="18"/>
      <c r="C201" s="39"/>
      <c r="D201" s="197"/>
      <c r="E201" s="197"/>
      <c r="F201" s="197"/>
      <c r="G201" s="204"/>
    </row>
    <row r="202" spans="2:7">
      <c r="B202" s="18"/>
      <c r="C202" s="15" t="s">
        <v>337</v>
      </c>
      <c r="D202" s="197"/>
      <c r="E202" s="197"/>
      <c r="F202" s="197"/>
      <c r="G202" s="204"/>
    </row>
    <row r="203" spans="2:7">
      <c r="B203" s="82" t="s">
        <v>338</v>
      </c>
      <c r="C203" s="198" t="s">
        <v>236</v>
      </c>
      <c r="D203" s="197"/>
      <c r="E203" s="197"/>
      <c r="F203" s="197"/>
      <c r="G203" s="204"/>
    </row>
    <row r="204" spans="2:7">
      <c r="B204" s="18"/>
      <c r="D204" s="197"/>
      <c r="E204" s="197"/>
      <c r="F204" s="197"/>
      <c r="G204" s="204"/>
    </row>
    <row r="205" spans="2:7">
      <c r="B205" s="18"/>
      <c r="C205" s="1" t="s">
        <v>22</v>
      </c>
      <c r="D205" s="197"/>
      <c r="E205" s="197"/>
      <c r="F205" s="197"/>
      <c r="G205" s="204"/>
    </row>
    <row r="206" spans="2:7">
      <c r="B206" s="82"/>
      <c r="C206" s="39" t="s">
        <v>339</v>
      </c>
      <c r="D206" s="197"/>
      <c r="E206" s="197"/>
      <c r="F206" s="197"/>
      <c r="G206" s="204"/>
    </row>
    <row r="207" spans="2:7">
      <c r="B207" s="203"/>
      <c r="D207" s="197"/>
      <c r="E207" s="197"/>
      <c r="F207" s="197"/>
      <c r="G207" s="204"/>
    </row>
    <row r="208" spans="2:7">
      <c r="B208" s="203"/>
      <c r="C208" s="1" t="s">
        <v>23</v>
      </c>
      <c r="D208" s="197"/>
      <c r="E208" s="197"/>
      <c r="F208" s="197"/>
      <c r="G208" s="204"/>
    </row>
    <row r="209" spans="2:7">
      <c r="B209" s="82" t="s">
        <v>336</v>
      </c>
      <c r="C209" s="66" t="s">
        <v>211</v>
      </c>
      <c r="D209" s="197"/>
      <c r="E209" s="197"/>
      <c r="F209" s="197"/>
      <c r="G209" s="204"/>
    </row>
    <row r="210" spans="2:7">
      <c r="B210" s="82" t="s">
        <v>336</v>
      </c>
      <c r="C210" s="66" t="s">
        <v>1105</v>
      </c>
      <c r="D210" s="197"/>
      <c r="E210" s="197"/>
      <c r="F210" s="197"/>
      <c r="G210" s="204"/>
    </row>
    <row r="211" spans="2:7">
      <c r="B211" s="82" t="s">
        <v>336</v>
      </c>
      <c r="C211" s="66" t="s">
        <v>1500</v>
      </c>
      <c r="D211" s="197"/>
      <c r="E211" s="197"/>
      <c r="F211" s="197"/>
      <c r="G211" s="204"/>
    </row>
    <row r="212" spans="2:7">
      <c r="B212" s="82" t="s">
        <v>336</v>
      </c>
      <c r="C212" s="66" t="s">
        <v>1527</v>
      </c>
      <c r="D212" s="197"/>
      <c r="E212" s="197"/>
      <c r="F212" s="197"/>
      <c r="G212" s="204"/>
    </row>
    <row r="213" spans="2:7">
      <c r="B213" s="203"/>
      <c r="C213" s="66"/>
      <c r="D213" s="197"/>
      <c r="E213" s="197"/>
      <c r="F213" s="197"/>
      <c r="G213" s="204"/>
    </row>
    <row r="214" spans="2:7" ht="13.5" thickBot="1">
      <c r="B214" s="205"/>
      <c r="C214" s="20"/>
      <c r="D214" s="206"/>
      <c r="E214" s="206"/>
      <c r="F214" s="206"/>
      <c r="G214" s="207"/>
    </row>
    <row r="215" spans="2:7" ht="13.5" thickBot="1">
      <c r="B215" s="121"/>
      <c r="C215" s="16"/>
      <c r="D215" s="16"/>
      <c r="E215" s="120"/>
      <c r="F215" s="16"/>
      <c r="G215" s="16"/>
    </row>
    <row r="216" spans="2:7" ht="13.5" thickBot="1">
      <c r="B216" s="236">
        <v>46130</v>
      </c>
      <c r="C216" s="237"/>
      <c r="D216" s="237"/>
      <c r="E216" s="237"/>
      <c r="F216" s="237"/>
      <c r="G216" s="238"/>
    </row>
    <row r="217" spans="2:7" ht="13.5" thickBot="1">
      <c r="B217" s="18"/>
      <c r="G217" s="6"/>
    </row>
    <row r="218" spans="2:7">
      <c r="B218" s="18"/>
      <c r="C218" s="21" t="s">
        <v>27</v>
      </c>
      <c r="D218" s="16"/>
      <c r="E218" s="80" t="s">
        <v>127</v>
      </c>
      <c r="F218" s="4">
        <v>36</v>
      </c>
      <c r="G218" s="6"/>
    </row>
    <row r="219" spans="2:7" ht="13.5" thickBot="1">
      <c r="B219" s="18"/>
      <c r="C219" s="7"/>
      <c r="D219" s="20"/>
      <c r="E219" s="83" t="s">
        <v>1</v>
      </c>
      <c r="F219" s="22">
        <v>24</v>
      </c>
      <c r="G219" s="6"/>
    </row>
    <row r="220" spans="2:7" ht="13.5" thickBot="1">
      <c r="B220" s="18"/>
      <c r="G220" s="6"/>
    </row>
    <row r="221" spans="2:7">
      <c r="B221" s="18"/>
      <c r="C221" s="3" t="s">
        <v>4</v>
      </c>
      <c r="D221" s="16"/>
      <c r="E221" s="80" t="s">
        <v>127</v>
      </c>
      <c r="F221" s="84"/>
      <c r="G221" s="6"/>
    </row>
    <row r="222" spans="2:7">
      <c r="B222" s="18"/>
      <c r="C222" s="5" t="s">
        <v>2</v>
      </c>
      <c r="E222" s="39" t="s">
        <v>326</v>
      </c>
      <c r="F222" s="6"/>
      <c r="G222" s="6"/>
    </row>
    <row r="223" spans="2:7" ht="13.5" thickBot="1">
      <c r="B223" s="18"/>
      <c r="C223" s="7" t="s">
        <v>3</v>
      </c>
      <c r="D223" s="20"/>
      <c r="E223" s="81" t="s">
        <v>326</v>
      </c>
      <c r="F223" s="9"/>
      <c r="G223" s="6"/>
    </row>
    <row r="224" spans="2:7" ht="13.5" thickBot="1">
      <c r="B224" s="18"/>
      <c r="G224" s="6"/>
    </row>
    <row r="225" spans="2:7" ht="13.5" thickBot="1">
      <c r="B225" s="18"/>
      <c r="C225" s="23" t="s">
        <v>29</v>
      </c>
      <c r="D225" s="24"/>
      <c r="E225" s="87" t="s">
        <v>1507</v>
      </c>
      <c r="F225" s="25"/>
      <c r="G225" s="6"/>
    </row>
    <row r="226" spans="2:7">
      <c r="B226" s="18"/>
      <c r="G226" s="6"/>
    </row>
    <row r="227" spans="2:7">
      <c r="B227" s="203"/>
      <c r="C227" t="s">
        <v>5</v>
      </c>
      <c r="D227" s="197"/>
      <c r="E227" s="197"/>
      <c r="F227" s="197"/>
      <c r="G227" s="204"/>
    </row>
    <row r="228" spans="2:7">
      <c r="B228" s="203"/>
      <c r="D228" s="197"/>
      <c r="E228" s="197"/>
      <c r="F228" s="197"/>
      <c r="G228" s="204"/>
    </row>
    <row r="229" spans="2:7">
      <c r="B229" s="5">
        <v>1</v>
      </c>
      <c r="C229" s="39" t="s">
        <v>1172</v>
      </c>
      <c r="D229" s="197"/>
      <c r="E229" s="197"/>
      <c r="F229" s="197"/>
      <c r="G229" s="204"/>
    </row>
    <row r="230" spans="2:7">
      <c r="B230" s="5">
        <v>2</v>
      </c>
      <c r="C230" s="39" t="s">
        <v>1434</v>
      </c>
      <c r="D230" s="197"/>
      <c r="E230" s="197"/>
      <c r="F230" s="197"/>
      <c r="G230" s="204"/>
    </row>
    <row r="231" spans="2:7">
      <c r="B231" s="5">
        <v>3</v>
      </c>
      <c r="C231" s="39" t="s">
        <v>1476</v>
      </c>
      <c r="D231" s="197"/>
      <c r="E231" s="197"/>
      <c r="F231" s="197"/>
      <c r="G231" s="204"/>
    </row>
    <row r="232" spans="2:7">
      <c r="B232" s="5">
        <v>4</v>
      </c>
      <c r="C232" s="39" t="s">
        <v>1315</v>
      </c>
      <c r="D232" s="197"/>
      <c r="E232" s="197"/>
      <c r="F232" s="197"/>
      <c r="G232" s="204"/>
    </row>
    <row r="233" spans="2:7">
      <c r="B233" s="5">
        <v>5</v>
      </c>
      <c r="C233" s="39" t="s">
        <v>1329</v>
      </c>
      <c r="D233" s="197"/>
      <c r="E233" s="197"/>
      <c r="F233" s="197"/>
      <c r="G233" s="204"/>
    </row>
    <row r="234" spans="2:7">
      <c r="B234" s="5">
        <v>6</v>
      </c>
      <c r="C234" s="39" t="s">
        <v>1095</v>
      </c>
      <c r="D234" s="197"/>
      <c r="E234" s="197"/>
      <c r="F234" s="197"/>
      <c r="G234" s="204"/>
    </row>
    <row r="235" spans="2:7">
      <c r="B235" s="5">
        <v>7</v>
      </c>
      <c r="C235" s="39" t="s">
        <v>211</v>
      </c>
      <c r="D235" s="197"/>
      <c r="E235" s="197"/>
      <c r="F235" s="197"/>
      <c r="G235" s="204"/>
    </row>
    <row r="236" spans="2:7">
      <c r="B236" s="5">
        <v>8</v>
      </c>
      <c r="C236" s="39" t="s">
        <v>1096</v>
      </c>
      <c r="D236" s="197"/>
      <c r="E236" s="197"/>
      <c r="F236" s="197"/>
      <c r="G236" s="204"/>
    </row>
    <row r="237" spans="2:7">
      <c r="B237" s="5">
        <v>9</v>
      </c>
      <c r="C237" s="39" t="s">
        <v>214</v>
      </c>
      <c r="D237" s="197"/>
      <c r="E237" s="197"/>
      <c r="F237" s="197"/>
      <c r="G237" s="204"/>
    </row>
    <row r="238" spans="2:7">
      <c r="B238" s="5">
        <v>10</v>
      </c>
      <c r="C238" s="39" t="s">
        <v>1112</v>
      </c>
      <c r="D238" s="197"/>
      <c r="E238" s="197"/>
      <c r="F238" s="197"/>
      <c r="G238" s="204"/>
    </row>
    <row r="239" spans="2:7">
      <c r="B239" s="5">
        <v>11</v>
      </c>
      <c r="C239" s="39" t="s">
        <v>1403</v>
      </c>
      <c r="D239" s="197"/>
      <c r="E239" s="197"/>
      <c r="F239" s="197"/>
      <c r="G239" s="204"/>
    </row>
    <row r="240" spans="2:7">
      <c r="B240" s="5">
        <v>12</v>
      </c>
      <c r="C240" s="39" t="s">
        <v>1198</v>
      </c>
      <c r="D240" s="197"/>
      <c r="E240" s="197"/>
      <c r="F240" s="197"/>
      <c r="G240" s="204"/>
    </row>
    <row r="241" spans="2:7">
      <c r="B241" s="5">
        <v>13</v>
      </c>
      <c r="C241" s="39" t="s">
        <v>1340</v>
      </c>
      <c r="D241" s="197"/>
      <c r="E241" s="197"/>
      <c r="F241" s="197"/>
      <c r="G241" s="204"/>
    </row>
    <row r="242" spans="2:7">
      <c r="B242" s="5">
        <v>14</v>
      </c>
      <c r="C242" s="39" t="s">
        <v>1491</v>
      </c>
      <c r="D242" s="197"/>
      <c r="E242" s="197"/>
      <c r="F242" s="197"/>
      <c r="G242" s="204"/>
    </row>
    <row r="243" spans="2:7">
      <c r="B243" s="5">
        <v>15</v>
      </c>
      <c r="C243" s="39" t="s">
        <v>1510</v>
      </c>
      <c r="D243" s="197"/>
      <c r="E243" s="197"/>
      <c r="F243" s="197"/>
      <c r="G243" s="204"/>
    </row>
    <row r="244" spans="2:7">
      <c r="B244" s="203"/>
      <c r="C244" s="197"/>
      <c r="D244" s="197"/>
      <c r="E244" s="197"/>
      <c r="F244" s="197"/>
      <c r="G244" s="204"/>
    </row>
    <row r="245" spans="2:7">
      <c r="B245" s="203"/>
      <c r="C245" s="39" t="s">
        <v>325</v>
      </c>
      <c r="D245" s="197"/>
      <c r="E245" s="197"/>
      <c r="F245" s="197"/>
      <c r="G245" s="204"/>
    </row>
    <row r="246" spans="2:7">
      <c r="B246" s="203"/>
      <c r="C246" s="198" t="s">
        <v>1529</v>
      </c>
      <c r="D246" s="197"/>
      <c r="E246" s="197"/>
      <c r="F246" s="197"/>
      <c r="G246" s="204"/>
    </row>
    <row r="247" spans="2:7">
      <c r="B247" s="203"/>
      <c r="C247" s="198" t="s">
        <v>1499</v>
      </c>
      <c r="D247" s="197"/>
      <c r="E247" s="197"/>
      <c r="F247" s="197"/>
      <c r="G247" s="204"/>
    </row>
    <row r="248" spans="2:7">
      <c r="B248" s="203"/>
      <c r="C248" s="198" t="s">
        <v>1471</v>
      </c>
      <c r="D248" s="197"/>
      <c r="E248" s="197"/>
      <c r="F248" s="197"/>
      <c r="G248" s="204"/>
    </row>
    <row r="249" spans="2:7">
      <c r="B249" s="203"/>
      <c r="C249" s="198" t="s">
        <v>1531</v>
      </c>
      <c r="D249" s="197"/>
      <c r="E249" s="197"/>
      <c r="F249" s="197"/>
      <c r="G249" s="204"/>
    </row>
    <row r="250" spans="2:7">
      <c r="B250" s="203"/>
      <c r="C250" s="197"/>
      <c r="D250" s="197"/>
      <c r="E250" s="197"/>
      <c r="F250" s="197"/>
      <c r="G250" s="204"/>
    </row>
    <row r="251" spans="2:7">
      <c r="B251" s="203"/>
      <c r="C251" s="2" t="s">
        <v>21</v>
      </c>
      <c r="D251" s="197"/>
      <c r="E251" s="197"/>
      <c r="F251" s="197"/>
      <c r="G251" s="204"/>
    </row>
    <row r="252" spans="2:7">
      <c r="B252" s="82" t="s">
        <v>336</v>
      </c>
      <c r="C252" s="198" t="s">
        <v>1476</v>
      </c>
      <c r="D252" s="197"/>
      <c r="E252" s="197"/>
      <c r="F252" s="197"/>
      <c r="G252" s="204"/>
    </row>
    <row r="253" spans="2:7">
      <c r="B253" s="82" t="s">
        <v>336</v>
      </c>
      <c r="C253" s="198" t="s">
        <v>1096</v>
      </c>
      <c r="D253" s="197"/>
      <c r="E253" s="197"/>
      <c r="F253" s="197"/>
      <c r="G253" s="204"/>
    </row>
    <row r="254" spans="2:7">
      <c r="B254" s="82" t="s">
        <v>336</v>
      </c>
      <c r="C254" s="198" t="s">
        <v>236</v>
      </c>
      <c r="D254" s="197"/>
      <c r="E254" s="197"/>
      <c r="F254" s="197"/>
      <c r="G254" s="204"/>
    </row>
    <row r="255" spans="2:7">
      <c r="B255" s="18"/>
      <c r="C255" s="39"/>
      <c r="D255" s="197"/>
      <c r="E255" s="197"/>
      <c r="F255" s="197"/>
      <c r="G255" s="204"/>
    </row>
    <row r="256" spans="2:7">
      <c r="B256" s="18"/>
      <c r="C256" s="15" t="s">
        <v>337</v>
      </c>
      <c r="D256" s="197"/>
      <c r="E256" s="197"/>
      <c r="F256" s="197"/>
      <c r="G256" s="204"/>
    </row>
    <row r="257" spans="2:7">
      <c r="B257" s="82" t="s">
        <v>335</v>
      </c>
      <c r="C257" s="198" t="s">
        <v>236</v>
      </c>
      <c r="D257" s="197"/>
      <c r="E257" s="197"/>
      <c r="F257" s="197"/>
      <c r="G257" s="204"/>
    </row>
    <row r="258" spans="2:7">
      <c r="B258" s="18"/>
      <c r="D258" s="197"/>
      <c r="E258" s="197"/>
      <c r="F258" s="197"/>
      <c r="G258" s="204"/>
    </row>
    <row r="259" spans="2:7">
      <c r="B259" s="18"/>
      <c r="C259" s="1" t="s">
        <v>22</v>
      </c>
      <c r="D259" s="197"/>
      <c r="E259" s="197"/>
      <c r="F259" s="197"/>
      <c r="G259" s="204"/>
    </row>
    <row r="260" spans="2:7">
      <c r="B260" s="82" t="s">
        <v>336</v>
      </c>
      <c r="C260" s="39" t="s">
        <v>236</v>
      </c>
      <c r="D260" s="197"/>
      <c r="E260" s="197"/>
      <c r="F260" s="197"/>
      <c r="G260" s="204"/>
    </row>
    <row r="261" spans="2:7">
      <c r="B261" s="203"/>
      <c r="D261" s="197"/>
      <c r="E261" s="197"/>
      <c r="F261" s="197"/>
      <c r="G261" s="204"/>
    </row>
    <row r="262" spans="2:7">
      <c r="B262" s="203"/>
      <c r="C262" s="1" t="s">
        <v>23</v>
      </c>
      <c r="D262" s="197"/>
      <c r="E262" s="197"/>
      <c r="F262" s="197"/>
      <c r="G262" s="204"/>
    </row>
    <row r="263" spans="2:7">
      <c r="B263" s="82"/>
      <c r="C263" s="66" t="s">
        <v>339</v>
      </c>
      <c r="D263" s="197"/>
      <c r="E263" s="197"/>
      <c r="F263" s="197"/>
      <c r="G263" s="204"/>
    </row>
    <row r="264" spans="2:7" ht="13.5" thickBot="1">
      <c r="B264" s="163"/>
      <c r="C264" s="81"/>
      <c r="D264" s="206"/>
      <c r="E264" s="206"/>
      <c r="F264" s="206"/>
      <c r="G264" s="207"/>
    </row>
    <row r="265" spans="2:7" ht="13.5" thickBot="1">
      <c r="B265" s="82"/>
      <c r="C265" s="66"/>
      <c r="D265" s="197"/>
      <c r="E265" s="197"/>
      <c r="F265" s="197"/>
      <c r="G265" s="204"/>
    </row>
    <row r="266" spans="2:7" ht="13.5" thickBot="1">
      <c r="B266" s="236">
        <v>46137</v>
      </c>
      <c r="C266" s="237"/>
      <c r="D266" s="237"/>
      <c r="E266" s="237"/>
      <c r="F266" s="237"/>
      <c r="G266" s="238"/>
    </row>
    <row r="267" spans="2:7" ht="13.5" thickBot="1">
      <c r="B267" s="18"/>
      <c r="G267" s="6"/>
    </row>
    <row r="268" spans="2:7">
      <c r="B268" s="18"/>
      <c r="C268" s="21" t="s">
        <v>27</v>
      </c>
      <c r="D268" s="16"/>
      <c r="E268" s="80" t="s">
        <v>1</v>
      </c>
      <c r="F268" s="4">
        <v>16</v>
      </c>
      <c r="G268" s="6"/>
    </row>
    <row r="269" spans="2:7" ht="13.5" thickBot="1">
      <c r="B269" s="18"/>
      <c r="C269" s="7"/>
      <c r="D269" s="20"/>
      <c r="E269" s="83" t="s">
        <v>118</v>
      </c>
      <c r="F269" s="22">
        <v>23</v>
      </c>
      <c r="G269" s="6"/>
    </row>
    <row r="270" spans="2:7" ht="13.5" thickBot="1">
      <c r="B270" s="18"/>
      <c r="G270" s="6"/>
    </row>
    <row r="271" spans="2:7">
      <c r="B271" s="18"/>
      <c r="C271" s="3" t="s">
        <v>4</v>
      </c>
      <c r="D271" s="16"/>
      <c r="E271" s="80" t="s">
        <v>1</v>
      </c>
      <c r="F271" s="84" t="s">
        <v>205</v>
      </c>
      <c r="G271" s="6"/>
    </row>
    <row r="272" spans="2:7">
      <c r="B272" s="18"/>
      <c r="C272" s="5" t="s">
        <v>2</v>
      </c>
      <c r="E272" s="39" t="s">
        <v>326</v>
      </c>
      <c r="F272" s="6"/>
      <c r="G272" s="6"/>
    </row>
    <row r="273" spans="2:7" ht="13.5" thickBot="1">
      <c r="B273" s="18"/>
      <c r="C273" s="7" t="s">
        <v>3</v>
      </c>
      <c r="D273" s="20"/>
      <c r="E273" s="81" t="s">
        <v>326</v>
      </c>
      <c r="F273" s="9"/>
      <c r="G273" s="6"/>
    </row>
    <row r="274" spans="2:7" ht="13.5" thickBot="1">
      <c r="B274" s="18"/>
      <c r="G274" s="6"/>
    </row>
    <row r="275" spans="2:7" ht="13.5" thickBot="1">
      <c r="B275" s="18"/>
      <c r="C275" s="23" t="s">
        <v>29</v>
      </c>
      <c r="D275" s="24"/>
      <c r="E275" s="87" t="s">
        <v>1504</v>
      </c>
      <c r="F275" s="25"/>
      <c r="G275" s="6"/>
    </row>
    <row r="276" spans="2:7">
      <c r="B276" s="18"/>
      <c r="G276" s="6"/>
    </row>
    <row r="277" spans="2:7">
      <c r="B277" s="203"/>
      <c r="C277" t="s">
        <v>5</v>
      </c>
      <c r="D277" s="197"/>
      <c r="E277" s="197"/>
      <c r="F277" s="197"/>
      <c r="G277" s="204"/>
    </row>
    <row r="278" spans="2:7">
      <c r="B278" s="203"/>
      <c r="D278" s="197"/>
      <c r="E278" s="197"/>
      <c r="F278" s="197"/>
      <c r="G278" s="204"/>
    </row>
    <row r="279" spans="2:7">
      <c r="B279" s="5">
        <v>1</v>
      </c>
      <c r="C279" s="39" t="s">
        <v>1172</v>
      </c>
      <c r="D279" s="197"/>
      <c r="E279" s="197"/>
      <c r="F279" s="197"/>
      <c r="G279" s="204"/>
    </row>
    <row r="280" spans="2:7">
      <c r="B280" s="5">
        <v>2</v>
      </c>
      <c r="C280" s="39" t="s">
        <v>1434</v>
      </c>
      <c r="D280" s="197"/>
      <c r="E280" s="197"/>
      <c r="F280" s="197"/>
      <c r="G280" s="204"/>
    </row>
    <row r="281" spans="2:7">
      <c r="B281" s="5">
        <v>3</v>
      </c>
      <c r="C281" s="39" t="s">
        <v>1500</v>
      </c>
      <c r="D281" s="197"/>
      <c r="E281" s="197"/>
      <c r="F281" s="197"/>
      <c r="G281" s="204"/>
    </row>
    <row r="282" spans="2:7">
      <c r="B282" s="5">
        <v>4</v>
      </c>
      <c r="C282" s="39" t="s">
        <v>1320</v>
      </c>
      <c r="D282" s="197"/>
      <c r="E282" s="197"/>
      <c r="F282" s="197"/>
      <c r="G282" s="204"/>
    </row>
    <row r="283" spans="2:7">
      <c r="B283" s="5">
        <v>5</v>
      </c>
      <c r="C283" s="39" t="s">
        <v>1329</v>
      </c>
      <c r="D283" s="197"/>
      <c r="E283" s="197"/>
      <c r="F283" s="197"/>
      <c r="G283" s="204"/>
    </row>
    <row r="284" spans="2:7">
      <c r="B284" s="5">
        <v>6</v>
      </c>
      <c r="C284" s="39" t="s">
        <v>1095</v>
      </c>
      <c r="D284" s="197"/>
      <c r="E284" s="197"/>
      <c r="F284" s="197"/>
      <c r="G284" s="204"/>
    </row>
    <row r="285" spans="2:7">
      <c r="B285" s="5">
        <v>7</v>
      </c>
      <c r="C285" s="39" t="s">
        <v>211</v>
      </c>
      <c r="D285" s="197"/>
      <c r="E285" s="197"/>
      <c r="F285" s="197"/>
      <c r="G285" s="204"/>
    </row>
    <row r="286" spans="2:7">
      <c r="B286" s="5">
        <v>8</v>
      </c>
      <c r="C286" s="39" t="s">
        <v>1315</v>
      </c>
      <c r="D286" s="197"/>
      <c r="E286" s="197"/>
      <c r="F286" s="197"/>
      <c r="G286" s="204"/>
    </row>
    <row r="287" spans="2:7">
      <c r="B287" s="5">
        <v>9</v>
      </c>
      <c r="C287" s="39" t="s">
        <v>214</v>
      </c>
      <c r="D287" s="197"/>
      <c r="E287" s="197"/>
      <c r="F287" s="197"/>
      <c r="G287" s="204"/>
    </row>
    <row r="288" spans="2:7">
      <c r="B288" s="5">
        <v>10</v>
      </c>
      <c r="C288" s="39" t="s">
        <v>1112</v>
      </c>
      <c r="D288" s="197"/>
      <c r="E288" s="197"/>
      <c r="F288" s="197"/>
      <c r="G288" s="204"/>
    </row>
    <row r="289" spans="2:7">
      <c r="B289" s="5">
        <v>11</v>
      </c>
      <c r="C289" s="39" t="s">
        <v>1533</v>
      </c>
      <c r="D289" s="197"/>
      <c r="E289" s="197"/>
      <c r="F289" s="197"/>
      <c r="G289" s="204"/>
    </row>
    <row r="290" spans="2:7">
      <c r="B290" s="5">
        <v>12</v>
      </c>
      <c r="C290" s="39" t="s">
        <v>1198</v>
      </c>
      <c r="D290" s="197"/>
      <c r="E290" s="197"/>
      <c r="F290" s="197"/>
      <c r="G290" s="204"/>
    </row>
    <row r="291" spans="2:7">
      <c r="B291" s="5">
        <v>13</v>
      </c>
      <c r="C291" s="39" t="s">
        <v>18</v>
      </c>
      <c r="D291" s="197"/>
      <c r="E291" s="197"/>
      <c r="F291" s="197"/>
      <c r="G291" s="204"/>
    </row>
    <row r="292" spans="2:7">
      <c r="B292" s="5">
        <v>14</v>
      </c>
      <c r="C292" s="39" t="s">
        <v>1491</v>
      </c>
      <c r="D292" s="197"/>
      <c r="E292" s="197"/>
      <c r="F292" s="197"/>
      <c r="G292" s="204"/>
    </row>
    <row r="293" spans="2:7">
      <c r="B293" s="5">
        <v>15</v>
      </c>
      <c r="C293" s="39" t="s">
        <v>1403</v>
      </c>
      <c r="D293" s="197"/>
      <c r="E293" s="197"/>
      <c r="F293" s="197"/>
      <c r="G293" s="204"/>
    </row>
    <row r="294" spans="2:7">
      <c r="B294" s="203"/>
      <c r="C294" s="197"/>
      <c r="D294" s="197"/>
      <c r="E294" s="197"/>
      <c r="F294" s="197"/>
      <c r="G294" s="204"/>
    </row>
    <row r="295" spans="2:7">
      <c r="B295" s="203"/>
      <c r="C295" s="39" t="s">
        <v>325</v>
      </c>
      <c r="D295" s="197"/>
      <c r="E295" s="197"/>
      <c r="F295" s="197"/>
      <c r="G295" s="204"/>
    </row>
    <row r="296" spans="2:7">
      <c r="B296" s="203"/>
      <c r="C296" s="198" t="s">
        <v>1321</v>
      </c>
      <c r="D296" s="197"/>
      <c r="E296" s="197"/>
      <c r="F296" s="197"/>
      <c r="G296" s="204"/>
    </row>
    <row r="297" spans="2:7">
      <c r="B297" s="203"/>
      <c r="C297" s="198" t="s">
        <v>1534</v>
      </c>
      <c r="D297" s="197"/>
      <c r="E297" s="197"/>
      <c r="F297" s="197"/>
      <c r="G297" s="204"/>
    </row>
    <row r="298" spans="2:7">
      <c r="B298" s="203"/>
      <c r="C298" s="198" t="s">
        <v>1535</v>
      </c>
      <c r="D298" s="197"/>
      <c r="E298" s="197"/>
      <c r="F298" s="197"/>
      <c r="G298" s="204"/>
    </row>
    <row r="299" spans="2:7">
      <c r="B299" s="203"/>
      <c r="C299" s="198" t="s">
        <v>1536</v>
      </c>
      <c r="D299" s="197"/>
      <c r="E299" s="197"/>
      <c r="F299" s="197"/>
      <c r="G299" s="204"/>
    </row>
    <row r="300" spans="2:7">
      <c r="B300" s="203"/>
      <c r="C300" s="197"/>
      <c r="D300" s="197"/>
      <c r="E300" s="197"/>
      <c r="F300" s="197"/>
      <c r="G300" s="204"/>
    </row>
    <row r="301" spans="2:7">
      <c r="B301" s="203"/>
      <c r="C301" s="2" t="s">
        <v>21</v>
      </c>
      <c r="D301" s="197"/>
      <c r="E301" s="197"/>
      <c r="F301" s="197"/>
      <c r="G301" s="204"/>
    </row>
    <row r="302" spans="2:7">
      <c r="B302" s="82" t="s">
        <v>336</v>
      </c>
      <c r="C302" s="198" t="s">
        <v>1434</v>
      </c>
      <c r="D302" s="197"/>
      <c r="E302" s="197"/>
      <c r="F302" s="197"/>
      <c r="G302" s="204"/>
    </row>
    <row r="303" spans="2:7">
      <c r="B303" s="18"/>
      <c r="C303" s="39"/>
      <c r="D303" s="197"/>
      <c r="E303" s="197"/>
      <c r="F303" s="197"/>
      <c r="G303" s="204"/>
    </row>
    <row r="304" spans="2:7">
      <c r="B304" s="18"/>
      <c r="C304" s="15" t="s">
        <v>337</v>
      </c>
      <c r="D304" s="197"/>
      <c r="E304" s="197"/>
      <c r="F304" s="197"/>
      <c r="G304" s="204"/>
    </row>
    <row r="305" spans="2:7">
      <c r="B305" s="82" t="s">
        <v>336</v>
      </c>
      <c r="C305" s="198" t="s">
        <v>236</v>
      </c>
      <c r="D305" s="197"/>
      <c r="E305" s="197"/>
      <c r="F305" s="197"/>
      <c r="G305" s="204"/>
    </row>
    <row r="306" spans="2:7">
      <c r="B306" s="18"/>
      <c r="D306" s="197"/>
      <c r="E306" s="197"/>
      <c r="F306" s="197"/>
      <c r="G306" s="204"/>
    </row>
    <row r="307" spans="2:7">
      <c r="B307" s="18"/>
      <c r="C307" s="1" t="s">
        <v>22</v>
      </c>
      <c r="D307" s="197"/>
      <c r="E307" s="197"/>
      <c r="F307" s="197"/>
      <c r="G307" s="204"/>
    </row>
    <row r="308" spans="2:7">
      <c r="B308" s="82" t="s">
        <v>335</v>
      </c>
      <c r="C308" s="39" t="s">
        <v>236</v>
      </c>
      <c r="D308" s="197"/>
      <c r="E308" s="197"/>
      <c r="F308" s="197"/>
      <c r="G308" s="204"/>
    </row>
    <row r="309" spans="2:7">
      <c r="B309" s="203"/>
      <c r="D309" s="197"/>
      <c r="E309" s="197"/>
      <c r="F309" s="197"/>
      <c r="G309" s="204"/>
    </row>
    <row r="310" spans="2:7">
      <c r="B310" s="203"/>
      <c r="C310" s="1" t="s">
        <v>23</v>
      </c>
      <c r="D310" s="197"/>
      <c r="E310" s="197"/>
      <c r="F310" s="197"/>
      <c r="G310" s="204"/>
    </row>
    <row r="311" spans="2:7">
      <c r="B311" s="82" t="s">
        <v>336</v>
      </c>
      <c r="C311" s="66" t="s">
        <v>1500</v>
      </c>
      <c r="D311" s="197"/>
      <c r="E311" s="197"/>
      <c r="F311" s="197"/>
      <c r="G311" s="204"/>
    </row>
    <row r="312" spans="2:7">
      <c r="B312" s="82"/>
      <c r="C312" s="66"/>
      <c r="D312" s="197"/>
      <c r="E312" s="197"/>
      <c r="F312" s="197"/>
      <c r="G312" s="204"/>
    </row>
    <row r="313" spans="2:7">
      <c r="B313" s="82"/>
      <c r="C313" s="15" t="s">
        <v>1537</v>
      </c>
      <c r="D313" s="197"/>
      <c r="E313" s="197"/>
      <c r="F313" s="197"/>
      <c r="G313" s="204"/>
    </row>
    <row r="314" spans="2:7">
      <c r="B314" s="82" t="s">
        <v>336</v>
      </c>
      <c r="C314" s="66" t="s">
        <v>1538</v>
      </c>
      <c r="D314" s="197"/>
      <c r="E314" s="197"/>
      <c r="F314" s="197"/>
      <c r="G314" s="204"/>
    </row>
    <row r="315" spans="2:7" ht="13.5" thickBot="1">
      <c r="B315" s="163"/>
      <c r="C315" s="81"/>
      <c r="D315" s="206"/>
      <c r="E315" s="206"/>
      <c r="F315" s="206"/>
      <c r="G315" s="207"/>
    </row>
    <row r="316" spans="2:7" ht="13.5" thickBot="1">
      <c r="B316" s="82"/>
      <c r="C316" s="66"/>
      <c r="G316" s="6"/>
    </row>
    <row r="317" spans="2:7" ht="13.5" thickBot="1">
      <c r="B317" s="236">
        <v>46151</v>
      </c>
      <c r="C317" s="237"/>
      <c r="D317" s="237"/>
      <c r="E317" s="237"/>
      <c r="F317" s="237"/>
      <c r="G317" s="238"/>
    </row>
    <row r="318" spans="2:7" ht="13.5" thickBot="1">
      <c r="B318" s="18"/>
      <c r="G318" s="6"/>
    </row>
    <row r="319" spans="2:7">
      <c r="B319" s="18"/>
      <c r="C319" s="21" t="s">
        <v>27</v>
      </c>
      <c r="D319" s="16"/>
      <c r="E319" s="80" t="s">
        <v>1114</v>
      </c>
      <c r="F319" s="4">
        <v>50</v>
      </c>
      <c r="G319" s="6"/>
    </row>
    <row r="320" spans="2:7" ht="13.5" thickBot="1">
      <c r="B320" s="18"/>
      <c r="C320" s="7"/>
      <c r="D320" s="20"/>
      <c r="E320" s="83" t="s">
        <v>1</v>
      </c>
      <c r="F320" s="22">
        <v>29</v>
      </c>
      <c r="G320" s="6"/>
    </row>
    <row r="321" spans="2:7" ht="13.5" thickBot="1">
      <c r="B321" s="18"/>
      <c r="G321" s="6"/>
    </row>
    <row r="322" spans="2:7">
      <c r="B322" s="18"/>
      <c r="C322" s="3" t="s">
        <v>4</v>
      </c>
      <c r="D322" s="16"/>
      <c r="E322" s="80" t="s">
        <v>1114</v>
      </c>
      <c r="F322" s="84"/>
      <c r="G322" s="6"/>
    </row>
    <row r="323" spans="2:7">
      <c r="B323" s="18"/>
      <c r="C323" s="5" t="s">
        <v>2</v>
      </c>
      <c r="E323" s="39" t="s">
        <v>404</v>
      </c>
      <c r="F323" s="6"/>
      <c r="G323" s="6"/>
    </row>
    <row r="324" spans="2:7" ht="13.5" thickBot="1">
      <c r="B324" s="18"/>
      <c r="C324" s="7" t="s">
        <v>3</v>
      </c>
      <c r="D324" s="20"/>
      <c r="E324" s="81" t="s">
        <v>326</v>
      </c>
      <c r="F324" s="9"/>
      <c r="G324" s="6"/>
    </row>
    <row r="325" spans="2:7" ht="13.5" thickBot="1">
      <c r="B325" s="18"/>
      <c r="G325" s="6"/>
    </row>
    <row r="326" spans="2:7" ht="13.5" thickBot="1">
      <c r="B326" s="18"/>
      <c r="C326" s="23" t="s">
        <v>29</v>
      </c>
      <c r="D326" s="24"/>
      <c r="E326" s="87" t="s">
        <v>1392</v>
      </c>
      <c r="F326" s="25"/>
      <c r="G326" s="6"/>
    </row>
    <row r="327" spans="2:7">
      <c r="B327" s="18"/>
      <c r="G327" s="6"/>
    </row>
    <row r="328" spans="2:7">
      <c r="B328" s="203"/>
      <c r="C328" t="s">
        <v>5</v>
      </c>
      <c r="D328" s="197"/>
      <c r="E328" s="197"/>
      <c r="F328" s="197"/>
      <c r="G328" s="204"/>
    </row>
    <row r="329" spans="2:7">
      <c r="B329" s="203"/>
      <c r="D329" s="197"/>
      <c r="E329" s="197"/>
      <c r="F329" s="197"/>
      <c r="G329" s="204"/>
    </row>
    <row r="330" spans="2:7">
      <c r="B330" s="5">
        <v>1</v>
      </c>
      <c r="C330" s="39" t="s">
        <v>1172</v>
      </c>
      <c r="D330" s="197"/>
      <c r="E330" s="197"/>
      <c r="F330" s="197"/>
      <c r="G330" s="204"/>
    </row>
    <row r="331" spans="2:7">
      <c r="B331" s="5">
        <v>2</v>
      </c>
      <c r="C331" s="39" t="s">
        <v>1434</v>
      </c>
      <c r="D331" s="197"/>
      <c r="E331" s="197"/>
      <c r="F331" s="197"/>
      <c r="G331" s="204"/>
    </row>
    <row r="332" spans="2:7">
      <c r="B332" s="5">
        <v>3</v>
      </c>
      <c r="C332" s="39" t="s">
        <v>1500</v>
      </c>
      <c r="D332" s="197"/>
      <c r="E332" s="197"/>
      <c r="F332" s="197"/>
      <c r="G332" s="204"/>
    </row>
    <row r="333" spans="2:7">
      <c r="B333" s="5">
        <v>4</v>
      </c>
      <c r="C333" s="39" t="s">
        <v>1320</v>
      </c>
      <c r="D333" s="197"/>
      <c r="E333" s="197"/>
      <c r="F333" s="197"/>
      <c r="G333" s="204"/>
    </row>
    <row r="334" spans="2:7">
      <c r="B334" s="5">
        <v>5</v>
      </c>
      <c r="C334" s="39" t="s">
        <v>207</v>
      </c>
      <c r="D334" s="197"/>
      <c r="E334" s="197"/>
      <c r="F334" s="197"/>
      <c r="G334" s="204"/>
    </row>
    <row r="335" spans="2:7">
      <c r="B335" s="5">
        <v>6</v>
      </c>
      <c r="C335" s="39" t="s">
        <v>1315</v>
      </c>
      <c r="D335" s="197"/>
      <c r="E335" s="197"/>
      <c r="F335" s="197"/>
      <c r="G335" s="204"/>
    </row>
    <row r="336" spans="2:7">
      <c r="B336" s="5">
        <v>7</v>
      </c>
      <c r="C336" s="39" t="s">
        <v>211</v>
      </c>
      <c r="D336" s="197"/>
      <c r="E336" s="197"/>
      <c r="F336" s="197"/>
      <c r="G336" s="204"/>
    </row>
    <row r="337" spans="2:7">
      <c r="B337" s="5">
        <v>8</v>
      </c>
      <c r="C337" s="39" t="s">
        <v>1096</v>
      </c>
      <c r="D337" s="197"/>
      <c r="E337" s="197"/>
      <c r="F337" s="197"/>
      <c r="G337" s="204"/>
    </row>
    <row r="338" spans="2:7">
      <c r="B338" s="5">
        <v>9</v>
      </c>
      <c r="C338" s="39" t="s">
        <v>234</v>
      </c>
      <c r="D338" s="197"/>
      <c r="E338" s="197"/>
      <c r="F338" s="197"/>
      <c r="G338" s="204"/>
    </row>
    <row r="339" spans="2:7">
      <c r="B339" s="5">
        <v>10</v>
      </c>
      <c r="C339" s="39" t="s">
        <v>1112</v>
      </c>
      <c r="D339" s="197"/>
      <c r="E339" s="197"/>
      <c r="F339" s="197"/>
      <c r="G339" s="204"/>
    </row>
    <row r="340" spans="2:7">
      <c r="B340" s="5">
        <v>11</v>
      </c>
      <c r="C340" s="39" t="s">
        <v>1403</v>
      </c>
      <c r="D340" s="197"/>
      <c r="E340" s="197"/>
      <c r="F340" s="197"/>
      <c r="G340" s="204"/>
    </row>
    <row r="341" spans="2:7">
      <c r="B341" s="5">
        <v>12</v>
      </c>
      <c r="C341" s="39" t="s">
        <v>1198</v>
      </c>
      <c r="D341" s="197"/>
      <c r="E341" s="197"/>
      <c r="F341" s="197"/>
      <c r="G341" s="204"/>
    </row>
    <row r="342" spans="2:7">
      <c r="B342" s="5">
        <v>13</v>
      </c>
      <c r="C342" s="39" t="s">
        <v>18</v>
      </c>
      <c r="D342" s="197"/>
      <c r="E342" s="197"/>
      <c r="F342" s="197"/>
      <c r="G342" s="204"/>
    </row>
    <row r="343" spans="2:7">
      <c r="B343" s="5">
        <v>14</v>
      </c>
      <c r="C343" s="39" t="s">
        <v>1491</v>
      </c>
      <c r="D343" s="197"/>
      <c r="E343" s="197"/>
      <c r="F343" s="197"/>
      <c r="G343" s="204"/>
    </row>
    <row r="344" spans="2:7">
      <c r="B344" s="5">
        <v>15</v>
      </c>
      <c r="C344" s="39" t="s">
        <v>1344</v>
      </c>
      <c r="D344" s="197"/>
      <c r="E344" s="197"/>
      <c r="F344" s="197"/>
      <c r="G344" s="204"/>
    </row>
    <row r="345" spans="2:7">
      <c r="B345" s="203"/>
      <c r="C345" s="197"/>
      <c r="D345" s="197"/>
      <c r="E345" s="197"/>
      <c r="F345" s="197"/>
      <c r="G345" s="204"/>
    </row>
    <row r="346" spans="2:7">
      <c r="B346" s="203"/>
      <c r="C346" s="39" t="s">
        <v>325</v>
      </c>
      <c r="D346" s="197"/>
      <c r="E346" s="197"/>
      <c r="F346" s="197"/>
      <c r="G346" s="204"/>
    </row>
    <row r="347" spans="2:7">
      <c r="B347" s="203"/>
      <c r="C347" s="198" t="s">
        <v>1322</v>
      </c>
      <c r="D347" s="197"/>
      <c r="E347" s="197"/>
      <c r="F347" s="197"/>
      <c r="G347" s="204"/>
    </row>
    <row r="348" spans="2:7">
      <c r="B348" s="203"/>
      <c r="C348" s="198" t="s">
        <v>1539</v>
      </c>
      <c r="D348" s="197"/>
      <c r="E348" s="197"/>
      <c r="F348" s="197"/>
      <c r="G348" s="204"/>
    </row>
    <row r="349" spans="2:7">
      <c r="B349" s="203"/>
      <c r="C349" s="198" t="s">
        <v>1289</v>
      </c>
      <c r="D349" s="197"/>
      <c r="E349" s="197"/>
      <c r="F349" s="197"/>
      <c r="G349" s="204"/>
    </row>
    <row r="350" spans="2:7">
      <c r="B350" s="203"/>
      <c r="C350" s="198" t="s">
        <v>1536</v>
      </c>
      <c r="D350" s="197"/>
      <c r="E350" s="197"/>
      <c r="F350" s="197"/>
      <c r="G350" s="204"/>
    </row>
    <row r="351" spans="2:7">
      <c r="B351" s="203"/>
      <c r="C351" s="197"/>
      <c r="D351" s="197"/>
      <c r="E351" s="197"/>
      <c r="F351" s="197"/>
      <c r="G351" s="204"/>
    </row>
    <row r="352" spans="2:7">
      <c r="B352" s="203"/>
      <c r="C352" s="2" t="s">
        <v>21</v>
      </c>
      <c r="D352" s="197"/>
      <c r="E352" s="197"/>
      <c r="F352" s="197"/>
      <c r="G352" s="204"/>
    </row>
    <row r="353" spans="2:7">
      <c r="B353" s="82" t="s">
        <v>336</v>
      </c>
      <c r="C353" s="198" t="s">
        <v>1096</v>
      </c>
      <c r="D353" s="197"/>
      <c r="E353" s="197"/>
      <c r="F353" s="197"/>
      <c r="G353" s="204"/>
    </row>
    <row r="354" spans="2:7">
      <c r="B354" s="82" t="s">
        <v>336</v>
      </c>
      <c r="C354" s="198" t="s">
        <v>207</v>
      </c>
      <c r="D354" s="197"/>
      <c r="E354" s="197"/>
      <c r="F354" s="197"/>
      <c r="G354" s="204"/>
    </row>
    <row r="355" spans="2:7">
      <c r="B355" s="82" t="s">
        <v>336</v>
      </c>
      <c r="C355" s="198" t="s">
        <v>1172</v>
      </c>
      <c r="D355" s="197"/>
      <c r="E355" s="197"/>
      <c r="F355" s="197"/>
      <c r="G355" s="204"/>
    </row>
    <row r="356" spans="2:7">
      <c r="B356" s="82" t="s">
        <v>336</v>
      </c>
      <c r="C356" s="198" t="s">
        <v>18</v>
      </c>
      <c r="D356" s="197"/>
      <c r="E356" s="197"/>
      <c r="F356" s="197"/>
      <c r="G356" s="204"/>
    </row>
    <row r="357" spans="2:7">
      <c r="B357" s="18"/>
      <c r="C357" s="39"/>
      <c r="D357" s="197"/>
      <c r="E357" s="197"/>
      <c r="F357" s="197"/>
      <c r="G357" s="204"/>
    </row>
    <row r="358" spans="2:7">
      <c r="B358" s="18"/>
      <c r="C358" s="15" t="s">
        <v>337</v>
      </c>
      <c r="D358" s="197"/>
      <c r="E358" s="197"/>
      <c r="F358" s="197"/>
      <c r="G358" s="204"/>
    </row>
    <row r="359" spans="2:7">
      <c r="B359" s="82" t="s">
        <v>335</v>
      </c>
      <c r="C359" s="198" t="s">
        <v>236</v>
      </c>
      <c r="D359" s="197"/>
      <c r="E359" s="197"/>
      <c r="F359" s="197"/>
      <c r="G359" s="204"/>
    </row>
    <row r="360" spans="2:7">
      <c r="B360" s="18"/>
      <c r="D360" s="197"/>
      <c r="E360" s="197"/>
      <c r="F360" s="197"/>
      <c r="G360" s="204"/>
    </row>
    <row r="361" spans="2:7">
      <c r="B361" s="18"/>
      <c r="C361" s="1" t="s">
        <v>22</v>
      </c>
      <c r="D361" s="197"/>
      <c r="E361" s="197"/>
      <c r="F361" s="197"/>
      <c r="G361" s="204"/>
    </row>
    <row r="362" spans="2:7">
      <c r="B362" s="82" t="s">
        <v>336</v>
      </c>
      <c r="C362" s="39" t="s">
        <v>236</v>
      </c>
      <c r="D362" s="197"/>
      <c r="E362" s="197"/>
      <c r="F362" s="197"/>
      <c r="G362" s="204"/>
    </row>
    <row r="363" spans="2:7">
      <c r="B363" s="203"/>
      <c r="D363" s="197"/>
      <c r="E363" s="197"/>
      <c r="F363" s="197"/>
      <c r="G363" s="204"/>
    </row>
    <row r="364" spans="2:7">
      <c r="B364" s="203"/>
      <c r="C364" s="1" t="s">
        <v>23</v>
      </c>
      <c r="D364" s="197"/>
      <c r="E364" s="197"/>
      <c r="F364" s="197"/>
      <c r="G364" s="204"/>
    </row>
    <row r="365" spans="2:7">
      <c r="B365" s="82" t="s">
        <v>336</v>
      </c>
      <c r="C365" s="66" t="s">
        <v>1476</v>
      </c>
      <c r="D365" s="197"/>
      <c r="E365" s="197"/>
      <c r="F365" s="197"/>
      <c r="G365" s="204"/>
    </row>
    <row r="366" spans="2:7">
      <c r="B366" s="82"/>
      <c r="C366" s="66"/>
      <c r="D366" s="197"/>
      <c r="E366" s="197"/>
      <c r="F366" s="197"/>
      <c r="G366" s="204"/>
    </row>
    <row r="367" spans="2:7" ht="13.5" thickBot="1">
      <c r="B367" s="163"/>
      <c r="C367" s="81"/>
      <c r="D367" s="206"/>
      <c r="E367" s="206"/>
      <c r="F367" s="206"/>
      <c r="G367" s="207"/>
    </row>
    <row r="368" spans="2:7" ht="13.5" thickBot="1">
      <c r="B368" s="82"/>
      <c r="C368" s="198"/>
      <c r="G368" s="6"/>
    </row>
    <row r="369" spans="2:7" ht="13.5" thickBot="1">
      <c r="B369" s="236">
        <v>46158</v>
      </c>
      <c r="C369" s="237"/>
      <c r="D369" s="237"/>
      <c r="E369" s="237"/>
      <c r="F369" s="237"/>
      <c r="G369" s="238"/>
    </row>
    <row r="370" spans="2:7" ht="13.5" thickBot="1">
      <c r="B370" s="18"/>
      <c r="G370" s="6"/>
    </row>
    <row r="371" spans="2:7">
      <c r="B371" s="18"/>
      <c r="C371" s="21" t="s">
        <v>27</v>
      </c>
      <c r="D371" s="16"/>
      <c r="E371" s="80" t="s">
        <v>126</v>
      </c>
      <c r="F371" s="4">
        <v>44</v>
      </c>
      <c r="G371" s="6"/>
    </row>
    <row r="372" spans="2:7" ht="13.5" thickBot="1">
      <c r="B372" s="18"/>
      <c r="C372" s="7"/>
      <c r="D372" s="20"/>
      <c r="E372" s="83" t="s">
        <v>1</v>
      </c>
      <c r="F372" s="22">
        <v>36</v>
      </c>
      <c r="G372" s="6"/>
    </row>
    <row r="373" spans="2:7" ht="13.5" thickBot="1">
      <c r="B373" s="18"/>
      <c r="G373" s="6"/>
    </row>
    <row r="374" spans="2:7">
      <c r="B374" s="18"/>
      <c r="C374" s="3" t="s">
        <v>4</v>
      </c>
      <c r="D374" s="16"/>
      <c r="E374" s="80" t="s">
        <v>126</v>
      </c>
      <c r="F374" s="84"/>
      <c r="G374" s="6"/>
    </row>
    <row r="375" spans="2:7">
      <c r="B375" s="18"/>
      <c r="C375" s="5" t="s">
        <v>2</v>
      </c>
      <c r="E375" s="39" t="s">
        <v>404</v>
      </c>
      <c r="F375" s="6"/>
      <c r="G375" s="6"/>
    </row>
    <row r="376" spans="2:7" ht="13.5" thickBot="1">
      <c r="B376" s="18"/>
      <c r="C376" s="7" t="s">
        <v>3</v>
      </c>
      <c r="D376" s="20"/>
      <c r="E376" s="81" t="s">
        <v>344</v>
      </c>
      <c r="F376" s="9"/>
      <c r="G376" s="6"/>
    </row>
    <row r="377" spans="2:7" ht="13.5" thickBot="1">
      <c r="B377" s="18"/>
      <c r="G377" s="6"/>
    </row>
    <row r="378" spans="2:7" ht="13.5" thickBot="1">
      <c r="B378" s="18"/>
      <c r="C378" s="23" t="s">
        <v>29</v>
      </c>
      <c r="D378" s="24"/>
      <c r="E378" s="87" t="s">
        <v>1461</v>
      </c>
      <c r="F378" s="25"/>
      <c r="G378" s="6"/>
    </row>
    <row r="379" spans="2:7">
      <c r="B379" s="18"/>
      <c r="G379" s="6"/>
    </row>
    <row r="380" spans="2:7">
      <c r="B380" s="203"/>
      <c r="C380" t="s">
        <v>5</v>
      </c>
      <c r="D380" s="197"/>
      <c r="E380" s="197"/>
      <c r="F380" s="197"/>
      <c r="G380" s="204"/>
    </row>
    <row r="381" spans="2:7">
      <c r="B381" s="203"/>
      <c r="D381" s="197"/>
      <c r="E381" s="197"/>
      <c r="F381" s="197"/>
      <c r="G381" s="204"/>
    </row>
    <row r="382" spans="2:7">
      <c r="B382" s="5">
        <v>1</v>
      </c>
      <c r="C382" s="39" t="s">
        <v>1172</v>
      </c>
      <c r="D382" s="197"/>
      <c r="E382" s="197"/>
      <c r="F382" s="197"/>
      <c r="G382" s="204"/>
    </row>
    <row r="383" spans="2:7">
      <c r="B383" s="5">
        <v>2</v>
      </c>
      <c r="C383" s="39" t="s">
        <v>1434</v>
      </c>
      <c r="D383" s="197"/>
      <c r="E383" s="197"/>
      <c r="F383" s="197"/>
      <c r="G383" s="204"/>
    </row>
    <row r="384" spans="2:7">
      <c r="B384" s="5">
        <v>3</v>
      </c>
      <c r="C384" s="39" t="s">
        <v>1476</v>
      </c>
      <c r="D384" s="197"/>
      <c r="E384" s="197"/>
      <c r="F384" s="197"/>
      <c r="G384" s="204"/>
    </row>
    <row r="385" spans="2:7">
      <c r="B385" s="5">
        <v>4</v>
      </c>
      <c r="C385" s="39" t="s">
        <v>1320</v>
      </c>
      <c r="D385" s="197"/>
      <c r="E385" s="197"/>
      <c r="F385" s="197"/>
      <c r="G385" s="204"/>
    </row>
    <row r="386" spans="2:7">
      <c r="B386" s="5">
        <v>5</v>
      </c>
      <c r="C386" s="39" t="s">
        <v>207</v>
      </c>
      <c r="D386" s="197"/>
      <c r="E386" s="197"/>
      <c r="F386" s="197"/>
      <c r="G386" s="204"/>
    </row>
    <row r="387" spans="2:7">
      <c r="B387" s="5">
        <v>6</v>
      </c>
      <c r="C387" s="39" t="s">
        <v>1315</v>
      </c>
      <c r="D387" s="197"/>
      <c r="E387" s="197"/>
      <c r="F387" s="197"/>
      <c r="G387" s="204"/>
    </row>
    <row r="388" spans="2:7">
      <c r="B388" s="5">
        <v>7</v>
      </c>
      <c r="C388" s="39" t="s">
        <v>211</v>
      </c>
      <c r="D388" s="197"/>
      <c r="E388" s="197"/>
      <c r="F388" s="197"/>
      <c r="G388" s="204"/>
    </row>
    <row r="389" spans="2:7">
      <c r="B389" s="5">
        <v>8</v>
      </c>
      <c r="C389" s="39" t="s">
        <v>1096</v>
      </c>
      <c r="D389" s="197"/>
      <c r="E389" s="197"/>
      <c r="F389" s="197"/>
      <c r="G389" s="204"/>
    </row>
    <row r="390" spans="2:7">
      <c r="B390" s="5">
        <v>9</v>
      </c>
      <c r="C390" s="39" t="s">
        <v>234</v>
      </c>
      <c r="D390" s="197"/>
      <c r="E390" s="197"/>
      <c r="F390" s="197"/>
      <c r="G390" s="204"/>
    </row>
    <row r="391" spans="2:7">
      <c r="B391" s="5">
        <v>10</v>
      </c>
      <c r="C391" s="39" t="s">
        <v>1112</v>
      </c>
      <c r="D391" s="197"/>
      <c r="E391" s="197"/>
      <c r="F391" s="197"/>
      <c r="G391" s="204"/>
    </row>
    <row r="392" spans="2:7">
      <c r="B392" s="5">
        <v>11</v>
      </c>
      <c r="C392" s="39" t="s">
        <v>1403</v>
      </c>
      <c r="D392" s="197"/>
      <c r="E392" s="197"/>
      <c r="F392" s="197"/>
      <c r="G392" s="204"/>
    </row>
    <row r="393" spans="2:7">
      <c r="B393" s="5">
        <v>12</v>
      </c>
      <c r="C393" s="39" t="s">
        <v>1198</v>
      </c>
      <c r="D393" s="197"/>
      <c r="E393" s="197"/>
      <c r="F393" s="197"/>
      <c r="G393" s="204"/>
    </row>
    <row r="394" spans="2:7">
      <c r="B394" s="5">
        <v>13</v>
      </c>
      <c r="C394" s="39" t="s">
        <v>18</v>
      </c>
      <c r="D394" s="197"/>
      <c r="E394" s="197"/>
      <c r="F394" s="197"/>
      <c r="G394" s="204"/>
    </row>
    <row r="395" spans="2:7">
      <c r="B395" s="5">
        <v>14</v>
      </c>
      <c r="C395" s="39" t="s">
        <v>1491</v>
      </c>
      <c r="D395" s="197"/>
      <c r="E395" s="197"/>
      <c r="F395" s="197"/>
      <c r="G395" s="204"/>
    </row>
    <row r="396" spans="2:7">
      <c r="B396" s="5">
        <v>15</v>
      </c>
      <c r="C396" s="39" t="s">
        <v>1344</v>
      </c>
      <c r="D396" s="197"/>
      <c r="E396" s="197"/>
      <c r="F396" s="197"/>
      <c r="G396" s="204"/>
    </row>
    <row r="397" spans="2:7">
      <c r="B397" s="203"/>
      <c r="C397" s="197"/>
      <c r="D397" s="197"/>
      <c r="E397" s="197"/>
      <c r="F397" s="197"/>
      <c r="G397" s="204"/>
    </row>
    <row r="398" spans="2:7">
      <c r="B398" s="203"/>
      <c r="C398" s="39" t="s">
        <v>325</v>
      </c>
      <c r="D398" s="197"/>
      <c r="E398" s="197"/>
      <c r="F398" s="197"/>
      <c r="G398" s="204"/>
    </row>
    <row r="399" spans="2:7">
      <c r="B399" s="203"/>
      <c r="C399" s="198" t="s">
        <v>1541</v>
      </c>
      <c r="D399" s="197"/>
      <c r="E399" s="197"/>
      <c r="F399" s="197"/>
      <c r="G399" s="204"/>
    </row>
    <row r="400" spans="2:7">
      <c r="B400" s="203"/>
      <c r="C400" s="198" t="s">
        <v>1542</v>
      </c>
      <c r="D400" s="197"/>
      <c r="E400" s="197"/>
      <c r="F400" s="197"/>
      <c r="G400" s="204"/>
    </row>
    <row r="401" spans="2:7">
      <c r="B401" s="203"/>
      <c r="C401" s="198" t="s">
        <v>1289</v>
      </c>
      <c r="D401" s="197"/>
      <c r="E401" s="197"/>
      <c r="F401" s="197"/>
      <c r="G401" s="204"/>
    </row>
    <row r="402" spans="2:7">
      <c r="B402" s="203"/>
      <c r="C402" s="198" t="s">
        <v>1543</v>
      </c>
      <c r="D402" s="197"/>
      <c r="E402" s="197"/>
      <c r="F402" s="197"/>
      <c r="G402" s="204"/>
    </row>
    <row r="403" spans="2:7">
      <c r="B403" s="203"/>
      <c r="C403" s="197"/>
      <c r="D403" s="197"/>
      <c r="E403" s="197"/>
      <c r="F403" s="197"/>
      <c r="G403" s="204"/>
    </row>
    <row r="404" spans="2:7">
      <c r="B404" s="203"/>
      <c r="C404" s="2" t="s">
        <v>21</v>
      </c>
      <c r="D404" s="197"/>
      <c r="E404" s="197"/>
      <c r="F404" s="197"/>
      <c r="G404" s="204"/>
    </row>
    <row r="405" spans="2:7">
      <c r="B405" s="82" t="s">
        <v>352</v>
      </c>
      <c r="C405" s="198" t="s">
        <v>1434</v>
      </c>
      <c r="D405" s="197"/>
      <c r="E405" s="197"/>
      <c r="F405" s="197"/>
      <c r="G405" s="204"/>
    </row>
    <row r="406" spans="2:7">
      <c r="B406" s="82" t="s">
        <v>336</v>
      </c>
      <c r="C406" s="198" t="s">
        <v>234</v>
      </c>
      <c r="D406" s="197"/>
      <c r="E406" s="197"/>
      <c r="F406" s="197"/>
      <c r="G406" s="204"/>
    </row>
    <row r="407" spans="2:7">
      <c r="B407" s="82" t="s">
        <v>336</v>
      </c>
      <c r="C407" s="198" t="s">
        <v>1491</v>
      </c>
      <c r="D407" s="197"/>
      <c r="E407" s="197"/>
      <c r="F407" s="197"/>
      <c r="G407" s="204"/>
    </row>
    <row r="408" spans="2:7">
      <c r="B408" s="82" t="s">
        <v>336</v>
      </c>
      <c r="C408" s="198" t="s">
        <v>1476</v>
      </c>
      <c r="D408" s="197"/>
      <c r="E408" s="197"/>
      <c r="F408" s="197"/>
      <c r="G408" s="204"/>
    </row>
    <row r="409" spans="2:7">
      <c r="B409" s="18"/>
      <c r="C409" s="39"/>
      <c r="D409" s="197"/>
      <c r="E409" s="197"/>
      <c r="F409" s="197"/>
      <c r="G409" s="204"/>
    </row>
    <row r="410" spans="2:7">
      <c r="B410" s="18"/>
      <c r="C410" s="15" t="s">
        <v>337</v>
      </c>
      <c r="D410" s="197"/>
      <c r="E410" s="197"/>
      <c r="F410" s="197"/>
      <c r="G410" s="204"/>
    </row>
    <row r="411" spans="2:7">
      <c r="B411" s="82" t="s">
        <v>338</v>
      </c>
      <c r="C411" s="198" t="s">
        <v>236</v>
      </c>
      <c r="D411" s="197"/>
      <c r="E411" s="197"/>
      <c r="F411" s="197"/>
      <c r="G411" s="204"/>
    </row>
    <row r="412" spans="2:7">
      <c r="B412" s="18"/>
      <c r="D412" s="197"/>
      <c r="E412" s="197"/>
      <c r="F412" s="197"/>
      <c r="G412" s="204"/>
    </row>
    <row r="413" spans="2:7">
      <c r="B413" s="18"/>
      <c r="C413" s="1" t="s">
        <v>22</v>
      </c>
      <c r="D413" s="197"/>
      <c r="E413" s="197"/>
      <c r="F413" s="197"/>
      <c r="G413" s="204"/>
    </row>
    <row r="414" spans="2:7">
      <c r="B414" s="82" t="s">
        <v>336</v>
      </c>
      <c r="C414" s="39" t="s">
        <v>236</v>
      </c>
      <c r="D414" s="197"/>
      <c r="E414" s="197"/>
      <c r="F414" s="197"/>
      <c r="G414" s="204"/>
    </row>
    <row r="415" spans="2:7">
      <c r="B415" s="203"/>
      <c r="D415" s="197"/>
      <c r="E415" s="197"/>
      <c r="F415" s="197"/>
      <c r="G415" s="204"/>
    </row>
    <row r="416" spans="2:7">
      <c r="B416" s="203"/>
      <c r="C416" s="1" t="s">
        <v>23</v>
      </c>
      <c r="D416" s="197"/>
      <c r="E416" s="197"/>
      <c r="F416" s="197"/>
      <c r="G416" s="204"/>
    </row>
    <row r="417" spans="2:7">
      <c r="B417" s="82" t="s">
        <v>336</v>
      </c>
      <c r="C417" s="66" t="s">
        <v>234</v>
      </c>
      <c r="D417" s="197"/>
      <c r="E417" s="197"/>
      <c r="F417" s="197"/>
      <c r="G417" s="204"/>
    </row>
    <row r="418" spans="2:7">
      <c r="B418" s="82"/>
      <c r="C418" s="66"/>
      <c r="D418" s="197"/>
      <c r="E418" s="197"/>
      <c r="F418" s="197"/>
      <c r="G418" s="204"/>
    </row>
    <row r="419" spans="2:7" ht="13.5" thickBot="1">
      <c r="B419" s="163"/>
      <c r="C419" s="81"/>
      <c r="D419" s="206"/>
      <c r="E419" s="206"/>
      <c r="F419" s="206"/>
      <c r="G419" s="207"/>
    </row>
    <row r="420" spans="2:7" ht="13.5" thickBot="1">
      <c r="B420" s="203"/>
      <c r="C420" s="198"/>
      <c r="G420" s="6"/>
    </row>
    <row r="421" spans="2:7" ht="13.5" thickBot="1">
      <c r="B421" s="236">
        <v>46165</v>
      </c>
      <c r="C421" s="237"/>
      <c r="D421" s="237"/>
      <c r="E421" s="237"/>
      <c r="F421" s="237"/>
      <c r="G421" s="238"/>
    </row>
    <row r="422" spans="2:7" ht="13.5" thickBot="1">
      <c r="B422" s="18"/>
      <c r="G422" s="6"/>
    </row>
    <row r="423" spans="2:7">
      <c r="B423" s="18"/>
      <c r="C423" s="21" t="s">
        <v>27</v>
      </c>
      <c r="D423" s="16"/>
      <c r="E423" s="80" t="s">
        <v>1</v>
      </c>
      <c r="F423" s="4">
        <v>36</v>
      </c>
      <c r="G423" s="6"/>
    </row>
    <row r="424" spans="2:7" ht="13.5" thickBot="1">
      <c r="B424" s="18"/>
      <c r="C424" s="7"/>
      <c r="D424" s="20"/>
      <c r="E424" s="83" t="s">
        <v>125</v>
      </c>
      <c r="F424" s="22">
        <v>38</v>
      </c>
      <c r="G424" s="6"/>
    </row>
    <row r="425" spans="2:7" ht="13.5" thickBot="1">
      <c r="B425" s="18"/>
      <c r="G425" s="6"/>
    </row>
    <row r="426" spans="2:7">
      <c r="B426" s="18"/>
      <c r="C426" s="3" t="s">
        <v>4</v>
      </c>
      <c r="D426" s="16"/>
      <c r="E426" s="80" t="s">
        <v>1</v>
      </c>
      <c r="F426" s="84" t="s">
        <v>205</v>
      </c>
      <c r="G426" s="6"/>
    </row>
    <row r="427" spans="2:7">
      <c r="B427" s="18"/>
      <c r="C427" s="5" t="s">
        <v>2</v>
      </c>
      <c r="E427" s="39" t="s">
        <v>404</v>
      </c>
      <c r="F427" s="6"/>
      <c r="G427" s="6"/>
    </row>
    <row r="428" spans="2:7" ht="13.5" thickBot="1">
      <c r="B428" s="18"/>
      <c r="C428" s="7" t="s">
        <v>3</v>
      </c>
      <c r="D428" s="20"/>
      <c r="E428" s="81" t="s">
        <v>326</v>
      </c>
      <c r="F428" s="9"/>
      <c r="G428" s="6"/>
    </row>
    <row r="429" spans="2:7" ht="13.5" thickBot="1">
      <c r="B429" s="18"/>
      <c r="G429" s="6"/>
    </row>
    <row r="430" spans="2:7" ht="13.5" thickBot="1">
      <c r="B430" s="18"/>
      <c r="C430" s="23" t="s">
        <v>29</v>
      </c>
      <c r="D430" s="24"/>
      <c r="E430" s="87" t="s">
        <v>1330</v>
      </c>
      <c r="F430" s="25"/>
      <c r="G430" s="6"/>
    </row>
    <row r="431" spans="2:7">
      <c r="B431" s="18"/>
      <c r="G431" s="6"/>
    </row>
    <row r="432" spans="2:7">
      <c r="B432" s="203"/>
      <c r="C432" t="s">
        <v>5</v>
      </c>
      <c r="D432" s="197"/>
      <c r="E432" s="197"/>
      <c r="F432" s="197"/>
      <c r="G432" s="204"/>
    </row>
    <row r="433" spans="2:7">
      <c r="B433" s="203"/>
      <c r="D433" s="197"/>
      <c r="E433" s="197"/>
      <c r="F433" s="197"/>
      <c r="G433" s="204"/>
    </row>
    <row r="434" spans="2:7">
      <c r="B434" s="5">
        <v>1</v>
      </c>
      <c r="C434" s="39" t="s">
        <v>327</v>
      </c>
      <c r="D434" s="197"/>
      <c r="E434" s="197"/>
      <c r="F434" s="197"/>
      <c r="G434" s="204"/>
    </row>
    <row r="435" spans="2:7">
      <c r="B435" s="5">
        <v>2</v>
      </c>
      <c r="C435" s="39" t="s">
        <v>1434</v>
      </c>
      <c r="D435" s="197"/>
      <c r="E435" s="197"/>
      <c r="F435" s="197"/>
      <c r="G435" s="204"/>
    </row>
    <row r="436" spans="2:7">
      <c r="B436" s="5">
        <v>3</v>
      </c>
      <c r="C436" s="39" t="s">
        <v>1476</v>
      </c>
      <c r="D436" s="197"/>
      <c r="E436" s="197"/>
      <c r="F436" s="197"/>
      <c r="G436" s="204"/>
    </row>
    <row r="437" spans="2:7">
      <c r="B437" s="5">
        <v>4</v>
      </c>
      <c r="C437" s="39" t="s">
        <v>1320</v>
      </c>
      <c r="D437" s="197"/>
      <c r="E437" s="197"/>
      <c r="F437" s="197"/>
      <c r="G437" s="204"/>
    </row>
    <row r="438" spans="2:7">
      <c r="B438" s="5">
        <v>5</v>
      </c>
      <c r="C438" s="39" t="s">
        <v>207</v>
      </c>
      <c r="D438" s="197"/>
      <c r="E438" s="197"/>
      <c r="F438" s="197"/>
      <c r="G438" s="204"/>
    </row>
    <row r="439" spans="2:7">
      <c r="B439" s="5">
        <v>6</v>
      </c>
      <c r="C439" s="39" t="s">
        <v>1095</v>
      </c>
      <c r="D439" s="197"/>
      <c r="E439" s="197"/>
      <c r="F439" s="197"/>
      <c r="G439" s="204"/>
    </row>
    <row r="440" spans="2:7">
      <c r="B440" s="5">
        <v>7</v>
      </c>
      <c r="C440" s="39" t="s">
        <v>1324</v>
      </c>
      <c r="D440" s="197"/>
      <c r="E440" s="197"/>
      <c r="F440" s="197"/>
      <c r="G440" s="204"/>
    </row>
    <row r="441" spans="2:7">
      <c r="B441" s="5">
        <v>8</v>
      </c>
      <c r="C441" s="39" t="s">
        <v>1096</v>
      </c>
      <c r="D441" s="197"/>
      <c r="E441" s="197"/>
      <c r="F441" s="197"/>
      <c r="G441" s="204"/>
    </row>
    <row r="442" spans="2:7">
      <c r="B442" s="5">
        <v>9</v>
      </c>
      <c r="C442" s="39" t="s">
        <v>234</v>
      </c>
      <c r="D442" s="197"/>
      <c r="E442" s="197"/>
      <c r="F442" s="197"/>
      <c r="G442" s="204"/>
    </row>
    <row r="443" spans="2:7">
      <c r="B443" s="5">
        <v>10</v>
      </c>
      <c r="C443" s="39" t="s">
        <v>1112</v>
      </c>
      <c r="D443" s="197"/>
      <c r="E443" s="197"/>
      <c r="F443" s="197"/>
      <c r="G443" s="204"/>
    </row>
    <row r="444" spans="2:7">
      <c r="B444" s="5">
        <v>11</v>
      </c>
      <c r="C444" s="39" t="s">
        <v>1403</v>
      </c>
      <c r="D444" s="197"/>
      <c r="E444" s="197"/>
      <c r="F444" s="197"/>
      <c r="G444" s="204"/>
    </row>
    <row r="445" spans="2:7">
      <c r="B445" s="5">
        <v>12</v>
      </c>
      <c r="C445" s="39" t="s">
        <v>1198</v>
      </c>
      <c r="D445" s="197"/>
      <c r="E445" s="197"/>
      <c r="F445" s="197"/>
      <c r="G445" s="204"/>
    </row>
    <row r="446" spans="2:7">
      <c r="B446" s="5">
        <v>13</v>
      </c>
      <c r="C446" s="39" t="s">
        <v>18</v>
      </c>
      <c r="D446" s="197"/>
      <c r="E446" s="197"/>
      <c r="F446" s="197"/>
      <c r="G446" s="204"/>
    </row>
    <row r="447" spans="2:7">
      <c r="B447" s="5">
        <v>14</v>
      </c>
      <c r="C447" s="39" t="s">
        <v>1491</v>
      </c>
      <c r="D447" s="197"/>
      <c r="E447" s="197"/>
      <c r="F447" s="197"/>
      <c r="G447" s="204"/>
    </row>
    <row r="448" spans="2:7">
      <c r="B448" s="5">
        <v>15</v>
      </c>
      <c r="C448" s="39" t="s">
        <v>1344</v>
      </c>
      <c r="D448" s="197"/>
      <c r="E448" s="197"/>
      <c r="F448" s="197"/>
      <c r="G448" s="204"/>
    </row>
    <row r="449" spans="2:7">
      <c r="B449" s="203"/>
      <c r="C449" s="197"/>
      <c r="D449" s="197"/>
      <c r="E449" s="197"/>
      <c r="F449" s="197"/>
      <c r="G449" s="204"/>
    </row>
    <row r="450" spans="2:7">
      <c r="B450" s="203"/>
      <c r="C450" s="39" t="s">
        <v>325</v>
      </c>
      <c r="D450" s="197"/>
      <c r="E450" s="197"/>
      <c r="F450" s="197"/>
      <c r="G450" s="204"/>
    </row>
    <row r="451" spans="2:7">
      <c r="B451" s="203"/>
      <c r="C451" s="198" t="s">
        <v>1544</v>
      </c>
      <c r="D451" s="197"/>
      <c r="E451" s="197"/>
      <c r="F451" s="197"/>
      <c r="G451" s="204"/>
    </row>
    <row r="452" spans="2:7">
      <c r="B452" s="203"/>
      <c r="C452" s="198" t="s">
        <v>1545</v>
      </c>
      <c r="D452" s="197"/>
      <c r="E452" s="197"/>
      <c r="F452" s="197"/>
      <c r="G452" s="204"/>
    </row>
    <row r="453" spans="2:7">
      <c r="B453" s="203"/>
      <c r="C453" s="197"/>
      <c r="D453" s="197"/>
      <c r="E453" s="197"/>
      <c r="F453" s="197"/>
      <c r="G453" s="204"/>
    </row>
    <row r="454" spans="2:7">
      <c r="B454" s="203"/>
      <c r="C454" s="2" t="s">
        <v>21</v>
      </c>
      <c r="D454" s="197"/>
      <c r="E454" s="197"/>
      <c r="F454" s="197"/>
      <c r="G454" s="204"/>
    </row>
    <row r="455" spans="2:7">
      <c r="B455" s="82" t="s">
        <v>336</v>
      </c>
      <c r="C455" s="198" t="s">
        <v>1434</v>
      </c>
      <c r="D455" s="197"/>
      <c r="E455" s="197"/>
      <c r="F455" s="197"/>
      <c r="G455" s="204"/>
    </row>
    <row r="456" spans="2:7">
      <c r="B456" s="82" t="s">
        <v>336</v>
      </c>
      <c r="C456" s="198" t="s">
        <v>236</v>
      </c>
      <c r="D456" s="197"/>
      <c r="E456" s="197"/>
      <c r="F456" s="197"/>
      <c r="G456" s="204"/>
    </row>
    <row r="457" spans="2:7">
      <c r="B457" s="82" t="s">
        <v>336</v>
      </c>
      <c r="C457" s="198" t="s">
        <v>1491</v>
      </c>
      <c r="D457" s="197"/>
      <c r="E457" s="197"/>
      <c r="F457" s="197"/>
      <c r="G457" s="204"/>
    </row>
    <row r="458" spans="2:7">
      <c r="B458" s="82" t="s">
        <v>336</v>
      </c>
      <c r="C458" s="198" t="s">
        <v>1095</v>
      </c>
      <c r="D458" s="197"/>
      <c r="E458" s="197"/>
      <c r="F458" s="197"/>
      <c r="G458" s="204"/>
    </row>
    <row r="459" spans="2:7">
      <c r="B459" s="82" t="s">
        <v>336</v>
      </c>
      <c r="C459" s="198" t="s">
        <v>56</v>
      </c>
      <c r="D459" s="197"/>
      <c r="E459" s="197"/>
      <c r="F459" s="197"/>
      <c r="G459" s="204"/>
    </row>
    <row r="460" spans="2:7">
      <c r="B460" s="18"/>
      <c r="C460" s="39"/>
      <c r="D460" s="197"/>
      <c r="E460" s="197"/>
      <c r="F460" s="197"/>
      <c r="G460" s="204"/>
    </row>
    <row r="461" spans="2:7">
      <c r="B461" s="18"/>
      <c r="C461" s="15" t="s">
        <v>337</v>
      </c>
      <c r="D461" s="197"/>
      <c r="E461" s="197"/>
      <c r="F461" s="197"/>
      <c r="G461" s="204"/>
    </row>
    <row r="462" spans="2:7">
      <c r="B462" s="82" t="s">
        <v>335</v>
      </c>
      <c r="C462" s="198" t="s">
        <v>236</v>
      </c>
      <c r="D462" s="197"/>
      <c r="E462" s="197"/>
      <c r="F462" s="197"/>
      <c r="G462" s="204"/>
    </row>
    <row r="463" spans="2:7">
      <c r="B463" s="18"/>
      <c r="D463" s="197"/>
      <c r="E463" s="197"/>
      <c r="F463" s="197"/>
      <c r="G463" s="204"/>
    </row>
    <row r="464" spans="2:7">
      <c r="B464" s="18"/>
      <c r="C464" s="1" t="s">
        <v>22</v>
      </c>
      <c r="D464" s="197"/>
      <c r="E464" s="197"/>
      <c r="F464" s="197"/>
      <c r="G464" s="204"/>
    </row>
    <row r="465" spans="2:7">
      <c r="B465" s="82" t="s">
        <v>336</v>
      </c>
      <c r="C465" s="39" t="s">
        <v>236</v>
      </c>
      <c r="D465" s="197"/>
      <c r="E465" s="197"/>
      <c r="F465" s="197"/>
      <c r="G465" s="204"/>
    </row>
    <row r="466" spans="2:7">
      <c r="B466" s="203"/>
      <c r="D466" s="197"/>
      <c r="E466" s="197"/>
      <c r="F466" s="197"/>
      <c r="G466" s="204"/>
    </row>
    <row r="467" spans="2:7">
      <c r="B467" s="203"/>
      <c r="C467" s="1" t="s">
        <v>23</v>
      </c>
      <c r="D467" s="197"/>
      <c r="E467" s="197"/>
      <c r="F467" s="197"/>
      <c r="G467" s="204"/>
    </row>
    <row r="468" spans="2:7">
      <c r="B468" s="82" t="s">
        <v>336</v>
      </c>
      <c r="C468" s="66" t="s">
        <v>234</v>
      </c>
      <c r="D468" s="197"/>
      <c r="E468" s="197"/>
      <c r="F468" s="197"/>
      <c r="G468" s="204"/>
    </row>
    <row r="469" spans="2:7">
      <c r="B469" s="82" t="s">
        <v>336</v>
      </c>
      <c r="C469" s="66" t="s">
        <v>1329</v>
      </c>
      <c r="D469" s="197"/>
      <c r="E469" s="197"/>
      <c r="F469" s="197"/>
      <c r="G469" s="204"/>
    </row>
    <row r="470" spans="2:7" ht="13.5" thickBot="1">
      <c r="B470" s="163"/>
      <c r="C470" s="81"/>
      <c r="D470" s="206"/>
      <c r="E470" s="206"/>
      <c r="F470" s="206"/>
      <c r="G470" s="207"/>
    </row>
    <row r="471" spans="2:7" ht="13.5" thickBot="1">
      <c r="B471" s="203"/>
      <c r="C471" s="198"/>
      <c r="G471" s="6"/>
    </row>
    <row r="472" spans="2:7" ht="13.5" thickBot="1">
      <c r="B472" s="236">
        <v>46179</v>
      </c>
      <c r="C472" s="237"/>
      <c r="D472" s="237"/>
      <c r="E472" s="237"/>
      <c r="F472" s="237"/>
      <c r="G472" s="238"/>
    </row>
    <row r="473" spans="2:7" ht="13.5" thickBot="1">
      <c r="B473" s="18"/>
      <c r="G473" s="6"/>
    </row>
    <row r="474" spans="2:7">
      <c r="B474" s="18"/>
      <c r="C474" s="21" t="s">
        <v>27</v>
      </c>
      <c r="D474" s="16"/>
      <c r="E474" s="80" t="s">
        <v>106</v>
      </c>
      <c r="F474" s="4">
        <v>39</v>
      </c>
      <c r="G474" s="6"/>
    </row>
    <row r="475" spans="2:7" ht="13.5" thickBot="1">
      <c r="B475" s="18"/>
      <c r="C475" s="7"/>
      <c r="D475" s="20"/>
      <c r="E475" s="83" t="s">
        <v>1</v>
      </c>
      <c r="F475" s="22">
        <v>23</v>
      </c>
      <c r="G475" s="6"/>
    </row>
    <row r="476" spans="2:7" ht="13.5" thickBot="1">
      <c r="B476" s="18"/>
      <c r="G476" s="6"/>
    </row>
    <row r="477" spans="2:7">
      <c r="B477" s="18"/>
      <c r="C477" s="3" t="s">
        <v>4</v>
      </c>
      <c r="D477" s="16"/>
      <c r="E477" s="80" t="s">
        <v>106</v>
      </c>
      <c r="F477" s="84"/>
      <c r="G477" s="6"/>
    </row>
    <row r="478" spans="2:7">
      <c r="B478" s="18"/>
      <c r="C478" s="5" t="s">
        <v>2</v>
      </c>
      <c r="E478" s="39" t="s">
        <v>404</v>
      </c>
      <c r="F478" s="6"/>
      <c r="G478" s="6"/>
    </row>
    <row r="479" spans="2:7" ht="13.5" thickBot="1">
      <c r="B479" s="18"/>
      <c r="C479" s="7" t="s">
        <v>3</v>
      </c>
      <c r="D479" s="20"/>
      <c r="E479" s="81" t="s">
        <v>326</v>
      </c>
      <c r="F479" s="9"/>
      <c r="G479" s="6"/>
    </row>
    <row r="480" spans="2:7" ht="13.5" thickBot="1">
      <c r="B480" s="18"/>
      <c r="G480" s="6"/>
    </row>
    <row r="481" spans="2:26" ht="13.5" thickBot="1">
      <c r="B481" s="18"/>
      <c r="C481" s="23" t="s">
        <v>29</v>
      </c>
      <c r="D481" s="24"/>
      <c r="E481" s="87" t="s">
        <v>1504</v>
      </c>
      <c r="F481" s="25"/>
      <c r="G481" s="6"/>
    </row>
    <row r="482" spans="2:26">
      <c r="B482" s="18"/>
      <c r="G482" s="6"/>
    </row>
    <row r="483" spans="2:26">
      <c r="B483" s="203"/>
      <c r="C483" t="s">
        <v>5</v>
      </c>
      <c r="D483" s="197"/>
      <c r="E483" s="197"/>
      <c r="F483" s="197"/>
      <c r="G483" s="204"/>
    </row>
    <row r="484" spans="2:26">
      <c r="B484" s="203"/>
      <c r="D484" s="197"/>
      <c r="E484" s="197"/>
      <c r="F484" s="197"/>
      <c r="G484" s="204"/>
    </row>
    <row r="485" spans="2:26">
      <c r="B485" s="5">
        <v>1</v>
      </c>
      <c r="C485" s="39" t="s">
        <v>327</v>
      </c>
      <c r="D485" s="197"/>
      <c r="E485" s="197"/>
      <c r="F485" s="197"/>
      <c r="G485" s="204"/>
    </row>
    <row r="486" spans="2:26">
      <c r="B486" s="5">
        <v>2</v>
      </c>
      <c r="C486" s="39" t="s">
        <v>1434</v>
      </c>
      <c r="D486" s="197"/>
      <c r="E486" s="197"/>
      <c r="F486" s="197"/>
      <c r="G486" s="204"/>
    </row>
    <row r="487" spans="2:26">
      <c r="B487" s="5">
        <v>3</v>
      </c>
      <c r="C487" s="39" t="s">
        <v>1476</v>
      </c>
      <c r="D487" s="197"/>
      <c r="E487" s="197"/>
      <c r="F487" s="197"/>
      <c r="G487" s="204"/>
    </row>
    <row r="488" spans="2:26">
      <c r="B488" s="5">
        <v>4</v>
      </c>
      <c r="C488" s="39" t="s">
        <v>1320</v>
      </c>
      <c r="D488" s="197"/>
      <c r="E488" s="197"/>
      <c r="F488" s="197"/>
      <c r="G488" s="204"/>
    </row>
    <row r="489" spans="2:26">
      <c r="B489" s="5">
        <v>5</v>
      </c>
      <c r="C489" s="39" t="s">
        <v>207</v>
      </c>
      <c r="D489" s="197"/>
      <c r="E489" s="197"/>
      <c r="F489" s="197"/>
      <c r="G489" s="204"/>
    </row>
    <row r="490" spans="2:26">
      <c r="B490" s="5">
        <v>6</v>
      </c>
      <c r="C490" s="39" t="s">
        <v>1095</v>
      </c>
      <c r="D490" s="197"/>
      <c r="E490" s="197"/>
      <c r="F490" s="197"/>
      <c r="G490" s="204"/>
    </row>
    <row r="491" spans="2:26">
      <c r="B491" s="5">
        <v>7</v>
      </c>
      <c r="C491" s="39" t="s">
        <v>1324</v>
      </c>
      <c r="D491" s="197"/>
      <c r="E491" s="197"/>
      <c r="F491" s="197"/>
      <c r="G491" s="204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</row>
    <row r="492" spans="2:26">
      <c r="B492" s="5">
        <v>8</v>
      </c>
      <c r="C492" s="39" t="s">
        <v>1096</v>
      </c>
      <c r="D492" s="197"/>
      <c r="E492" s="197"/>
      <c r="F492" s="197"/>
      <c r="G492" s="204"/>
      <c r="I492" s="232"/>
      <c r="J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>
      <c r="B493" s="5">
        <v>9</v>
      </c>
      <c r="C493" s="39" t="s">
        <v>234</v>
      </c>
      <c r="D493" s="197"/>
      <c r="E493" s="197"/>
      <c r="F493" s="197"/>
      <c r="G493" s="204"/>
      <c r="I493" s="232"/>
      <c r="J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>
      <c r="B494" s="5">
        <v>10</v>
      </c>
      <c r="C494" s="39" t="s">
        <v>1112</v>
      </c>
      <c r="D494" s="197"/>
      <c r="E494" s="197"/>
      <c r="F494" s="197"/>
      <c r="G494" s="204"/>
      <c r="Y494" s="1"/>
      <c r="Z494" s="1"/>
    </row>
    <row r="495" spans="2:26">
      <c r="B495" s="5">
        <v>11</v>
      </c>
      <c r="C495" s="39" t="s">
        <v>1403</v>
      </c>
      <c r="D495" s="197"/>
      <c r="E495" s="197"/>
      <c r="F495" s="197"/>
      <c r="G495" s="204"/>
      <c r="I495" s="232"/>
      <c r="J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>
      <c r="B496" s="5">
        <v>12</v>
      </c>
      <c r="C496" s="39" t="s">
        <v>1198</v>
      </c>
      <c r="D496" s="197"/>
      <c r="E496" s="197"/>
      <c r="F496" s="197"/>
      <c r="G496" s="204"/>
      <c r="I496" s="232"/>
      <c r="J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9">
      <c r="B497" s="5">
        <v>13</v>
      </c>
      <c r="C497" s="39" t="s">
        <v>18</v>
      </c>
      <c r="D497" s="197"/>
      <c r="E497" s="197"/>
      <c r="F497" s="197"/>
      <c r="G497" s="204"/>
    </row>
    <row r="498" spans="2:9">
      <c r="B498" s="5">
        <v>14</v>
      </c>
      <c r="C498" s="39" t="s">
        <v>1533</v>
      </c>
      <c r="D498" s="197"/>
      <c r="E498" s="197"/>
      <c r="F498" s="197"/>
      <c r="G498" s="204"/>
    </row>
    <row r="499" spans="2:9">
      <c r="B499" s="5">
        <v>15</v>
      </c>
      <c r="C499" s="39" t="s">
        <v>1344</v>
      </c>
      <c r="D499" s="197"/>
      <c r="E499" s="197"/>
      <c r="F499" s="197"/>
      <c r="G499" s="204"/>
    </row>
    <row r="500" spans="2:9">
      <c r="B500" s="203"/>
      <c r="C500" s="197"/>
      <c r="D500" s="197"/>
      <c r="E500" s="197"/>
      <c r="F500" s="197"/>
      <c r="G500" s="204"/>
    </row>
    <row r="501" spans="2:9">
      <c r="B501" s="203"/>
      <c r="C501" s="39" t="s">
        <v>325</v>
      </c>
      <c r="D501" s="197"/>
      <c r="E501" s="197"/>
      <c r="F501" s="197"/>
      <c r="G501" s="204"/>
      <c r="I501" s="232"/>
    </row>
    <row r="502" spans="2:9">
      <c r="B502" s="203"/>
      <c r="C502" s="198" t="s">
        <v>1169</v>
      </c>
      <c r="D502" s="197"/>
      <c r="E502" s="197"/>
      <c r="F502" s="197"/>
      <c r="G502" s="204"/>
      <c r="I502" s="232"/>
    </row>
    <row r="503" spans="2:9">
      <c r="B503" s="203"/>
      <c r="C503" s="198" t="s">
        <v>1544</v>
      </c>
      <c r="D503" s="197"/>
      <c r="E503" s="197"/>
      <c r="F503" s="197"/>
      <c r="G503" s="204"/>
      <c r="I503" s="232"/>
    </row>
    <row r="504" spans="2:9">
      <c r="B504" s="203"/>
      <c r="C504" s="198" t="s">
        <v>1479</v>
      </c>
      <c r="D504" s="197"/>
      <c r="E504" s="197"/>
      <c r="F504" s="197"/>
      <c r="G504" s="204"/>
      <c r="I504" s="232"/>
    </row>
    <row r="505" spans="2:9">
      <c r="B505" s="203"/>
      <c r="C505" s="198" t="s">
        <v>1521</v>
      </c>
      <c r="D505" s="197"/>
      <c r="E505" s="197"/>
      <c r="F505" s="197"/>
      <c r="G505" s="204"/>
      <c r="I505" s="232"/>
    </row>
    <row r="506" spans="2:9">
      <c r="B506" s="203"/>
      <c r="C506" s="197"/>
      <c r="D506" s="197"/>
      <c r="E506" s="197"/>
      <c r="F506" s="197"/>
      <c r="G506" s="204"/>
      <c r="I506" s="232"/>
    </row>
    <row r="507" spans="2:9">
      <c r="B507" s="203"/>
      <c r="C507" s="2" t="s">
        <v>21</v>
      </c>
      <c r="D507" s="197"/>
      <c r="E507" s="197"/>
      <c r="F507" s="197"/>
      <c r="G507" s="204"/>
      <c r="I507" s="232"/>
    </row>
    <row r="508" spans="2:9">
      <c r="B508" s="82" t="s">
        <v>336</v>
      </c>
      <c r="C508" s="198" t="s">
        <v>1095</v>
      </c>
      <c r="D508" s="197"/>
      <c r="E508" s="197"/>
      <c r="F508" s="197"/>
      <c r="G508" s="204"/>
      <c r="I508" s="232"/>
    </row>
    <row r="509" spans="2:9">
      <c r="B509" s="82" t="s">
        <v>336</v>
      </c>
      <c r="C509" s="198" t="s">
        <v>1533</v>
      </c>
      <c r="D509" s="197"/>
      <c r="E509" s="197"/>
      <c r="F509" s="197"/>
      <c r="G509" s="204"/>
      <c r="I509" s="232"/>
    </row>
    <row r="510" spans="2:9">
      <c r="B510" s="18"/>
      <c r="C510" s="39"/>
      <c r="D510" s="197"/>
      <c r="E510" s="197"/>
      <c r="F510" s="197"/>
      <c r="G510" s="204"/>
      <c r="I510" s="232"/>
    </row>
    <row r="511" spans="2:9">
      <c r="B511" s="18"/>
      <c r="C511" s="15" t="s">
        <v>337</v>
      </c>
      <c r="D511" s="197"/>
      <c r="E511" s="197"/>
      <c r="F511" s="197"/>
      <c r="G511" s="204"/>
      <c r="I511" s="232"/>
    </row>
    <row r="512" spans="2:9">
      <c r="B512" s="82" t="s">
        <v>352</v>
      </c>
      <c r="C512" s="198" t="s">
        <v>236</v>
      </c>
      <c r="D512" s="197"/>
      <c r="E512" s="197"/>
      <c r="F512" s="197"/>
      <c r="G512" s="204"/>
      <c r="I512" s="232"/>
    </row>
    <row r="513" spans="2:9">
      <c r="B513" s="18"/>
      <c r="D513" s="197"/>
      <c r="E513" s="197"/>
      <c r="F513" s="197"/>
      <c r="G513" s="204"/>
      <c r="I513" s="232"/>
    </row>
    <row r="514" spans="2:9">
      <c r="B514" s="18"/>
      <c r="C514" s="1" t="s">
        <v>22</v>
      </c>
      <c r="D514" s="197"/>
      <c r="E514" s="197"/>
      <c r="F514" s="197"/>
      <c r="G514" s="204"/>
      <c r="I514" s="232"/>
    </row>
    <row r="515" spans="2:9">
      <c r="B515" s="82" t="s">
        <v>335</v>
      </c>
      <c r="C515" s="39" t="s">
        <v>236</v>
      </c>
      <c r="D515" s="197"/>
      <c r="E515" s="197"/>
      <c r="F515" s="197"/>
      <c r="G515" s="204"/>
    </row>
    <row r="516" spans="2:9">
      <c r="B516" s="203"/>
      <c r="D516" s="197"/>
      <c r="E516" s="197"/>
      <c r="F516" s="197"/>
      <c r="G516" s="204"/>
    </row>
    <row r="517" spans="2:9">
      <c r="B517" s="203"/>
      <c r="C517" s="1" t="s">
        <v>23</v>
      </c>
      <c r="D517" s="197"/>
      <c r="E517" s="197"/>
      <c r="F517" s="197"/>
      <c r="G517" s="204"/>
    </row>
    <row r="518" spans="2:9">
      <c r="B518" s="82" t="s">
        <v>336</v>
      </c>
      <c r="C518" s="66" t="s">
        <v>1095</v>
      </c>
      <c r="D518" s="197"/>
      <c r="E518" s="197"/>
      <c r="F518" s="197"/>
      <c r="G518" s="204"/>
    </row>
    <row r="519" spans="2:9">
      <c r="B519" s="82" t="s">
        <v>336</v>
      </c>
      <c r="C519" s="66" t="s">
        <v>1533</v>
      </c>
      <c r="D519" s="197"/>
      <c r="E519" s="197"/>
      <c r="F519" s="197"/>
      <c r="G519" s="204"/>
    </row>
    <row r="520" spans="2:9" ht="13.5" thickBot="1">
      <c r="B520" s="163"/>
      <c r="C520" s="81"/>
      <c r="D520" s="206"/>
      <c r="E520" s="206"/>
      <c r="F520" s="206"/>
      <c r="G520" s="207"/>
    </row>
    <row r="521" spans="2:9" ht="13.5" thickBot="1">
      <c r="B521" s="18"/>
      <c r="G521" s="6"/>
    </row>
    <row r="522" spans="2:9" ht="13.5" thickBot="1">
      <c r="B522" s="236">
        <v>46186</v>
      </c>
      <c r="C522" s="237"/>
      <c r="D522" s="237"/>
      <c r="E522" s="237"/>
      <c r="F522" s="237"/>
      <c r="G522" s="238"/>
    </row>
    <row r="523" spans="2:9" ht="13.5" thickBot="1">
      <c r="B523" s="18"/>
      <c r="G523" s="6"/>
    </row>
    <row r="524" spans="2:9">
      <c r="B524" s="18"/>
      <c r="C524" s="21" t="s">
        <v>27</v>
      </c>
      <c r="D524" s="16"/>
      <c r="E524" s="80" t="s">
        <v>1</v>
      </c>
      <c r="F524" s="4">
        <v>18</v>
      </c>
      <c r="G524" s="6"/>
    </row>
    <row r="525" spans="2:9" ht="13.5" thickBot="1">
      <c r="B525" s="18"/>
      <c r="C525" s="7"/>
      <c r="D525" s="20"/>
      <c r="E525" s="83" t="s">
        <v>62</v>
      </c>
      <c r="F525" s="22">
        <v>18</v>
      </c>
      <c r="G525" s="6"/>
    </row>
    <row r="526" spans="2:9" ht="13.5" thickBot="1">
      <c r="B526" s="18"/>
      <c r="G526" s="6"/>
    </row>
    <row r="527" spans="2:9">
      <c r="B527" s="18"/>
      <c r="C527" s="3" t="s">
        <v>4</v>
      </c>
      <c r="D527" s="16"/>
      <c r="E527" s="80" t="s">
        <v>1</v>
      </c>
      <c r="F527" s="84" t="s">
        <v>205</v>
      </c>
      <c r="G527" s="6"/>
    </row>
    <row r="528" spans="2:9">
      <c r="B528" s="18"/>
      <c r="C528" s="5" t="s">
        <v>2</v>
      </c>
      <c r="E528" s="39" t="s">
        <v>404</v>
      </c>
      <c r="F528" s="6"/>
      <c r="G528" s="6"/>
    </row>
    <row r="529" spans="2:7" ht="13.5" thickBot="1">
      <c r="B529" s="18"/>
      <c r="C529" s="7" t="s">
        <v>3</v>
      </c>
      <c r="D529" s="20"/>
      <c r="E529" s="81" t="s">
        <v>326</v>
      </c>
      <c r="F529" s="9"/>
      <c r="G529" s="6"/>
    </row>
    <row r="530" spans="2:7" ht="13.5" thickBot="1">
      <c r="B530" s="18"/>
      <c r="G530" s="6"/>
    </row>
    <row r="531" spans="2:7" ht="13.5" thickBot="1">
      <c r="B531" s="18"/>
      <c r="C531" s="23" t="s">
        <v>29</v>
      </c>
      <c r="D531" s="24"/>
      <c r="E531" s="87" t="s">
        <v>1416</v>
      </c>
      <c r="F531" s="25"/>
      <c r="G531" s="6"/>
    </row>
    <row r="532" spans="2:7">
      <c r="B532" s="18"/>
      <c r="G532" s="6"/>
    </row>
    <row r="533" spans="2:7">
      <c r="B533" s="203"/>
      <c r="C533" t="s">
        <v>5</v>
      </c>
      <c r="D533" s="197"/>
      <c r="E533" s="197"/>
      <c r="F533" s="197"/>
      <c r="G533" s="204"/>
    </row>
    <row r="534" spans="2:7">
      <c r="B534" s="203"/>
      <c r="D534" s="197"/>
      <c r="E534" s="197"/>
      <c r="F534" s="197"/>
      <c r="G534" s="204"/>
    </row>
    <row r="535" spans="2:7">
      <c r="B535" s="5">
        <v>1</v>
      </c>
      <c r="C535" s="39" t="s">
        <v>327</v>
      </c>
      <c r="D535" s="197"/>
      <c r="E535" s="197"/>
      <c r="F535" s="197"/>
      <c r="G535" s="204"/>
    </row>
    <row r="536" spans="2:7">
      <c r="B536" s="5">
        <v>2</v>
      </c>
      <c r="C536" s="39" t="s">
        <v>1434</v>
      </c>
      <c r="D536" s="197"/>
      <c r="E536" s="197"/>
      <c r="F536" s="197"/>
      <c r="G536" s="204"/>
    </row>
    <row r="537" spans="2:7">
      <c r="B537" s="5">
        <v>3</v>
      </c>
      <c r="C537" s="39" t="s">
        <v>1476</v>
      </c>
      <c r="D537" s="197"/>
      <c r="E537" s="197"/>
      <c r="F537" s="197"/>
      <c r="G537" s="204"/>
    </row>
    <row r="538" spans="2:7">
      <c r="B538" s="5">
        <v>4</v>
      </c>
      <c r="C538" s="39" t="s">
        <v>1320</v>
      </c>
      <c r="D538" s="197"/>
      <c r="E538" s="197"/>
      <c r="F538" s="197"/>
      <c r="G538" s="204"/>
    </row>
    <row r="539" spans="2:7">
      <c r="B539" s="5">
        <v>5</v>
      </c>
      <c r="C539" s="39" t="s">
        <v>207</v>
      </c>
      <c r="D539" s="197"/>
      <c r="E539" s="197"/>
      <c r="F539" s="197"/>
      <c r="G539" s="204"/>
    </row>
    <row r="540" spans="2:7">
      <c r="B540" s="5">
        <v>6</v>
      </c>
      <c r="C540" s="39" t="s">
        <v>211</v>
      </c>
      <c r="D540" s="197"/>
      <c r="E540" s="197"/>
      <c r="F540" s="197"/>
      <c r="G540" s="204"/>
    </row>
    <row r="541" spans="2:7">
      <c r="B541" s="5">
        <v>7</v>
      </c>
      <c r="C541" s="39" t="s">
        <v>1324</v>
      </c>
      <c r="D541" s="197"/>
      <c r="E541" s="197"/>
      <c r="F541" s="197"/>
      <c r="G541" s="204"/>
    </row>
    <row r="542" spans="2:7">
      <c r="B542" s="5">
        <v>8</v>
      </c>
      <c r="C542" s="39" t="s">
        <v>1096</v>
      </c>
      <c r="D542" s="197"/>
      <c r="E542" s="197"/>
      <c r="F542" s="197"/>
      <c r="G542" s="204"/>
    </row>
    <row r="543" spans="2:7">
      <c r="B543" s="5">
        <v>9</v>
      </c>
      <c r="C543" s="39" t="s">
        <v>234</v>
      </c>
      <c r="D543" s="197"/>
      <c r="E543" s="197"/>
      <c r="F543" s="197"/>
      <c r="G543" s="204"/>
    </row>
    <row r="544" spans="2:7">
      <c r="B544" s="5">
        <v>10</v>
      </c>
      <c r="C544" s="39" t="s">
        <v>1112</v>
      </c>
      <c r="D544" s="197"/>
      <c r="E544" s="197"/>
      <c r="F544" s="197"/>
      <c r="G544" s="204"/>
    </row>
    <row r="545" spans="2:7">
      <c r="B545" s="5">
        <v>11</v>
      </c>
      <c r="C545" s="39" t="s">
        <v>1403</v>
      </c>
      <c r="D545" s="197"/>
      <c r="E545" s="197"/>
      <c r="F545" s="197"/>
      <c r="G545" s="204"/>
    </row>
    <row r="546" spans="2:7">
      <c r="B546" s="5">
        <v>12</v>
      </c>
      <c r="C546" s="39" t="s">
        <v>1198</v>
      </c>
      <c r="D546" s="197"/>
      <c r="E546" s="197"/>
      <c r="F546" s="197"/>
      <c r="G546" s="204"/>
    </row>
    <row r="547" spans="2:7">
      <c r="B547" s="5">
        <v>13</v>
      </c>
      <c r="C547" s="39" t="s">
        <v>18</v>
      </c>
      <c r="D547" s="197"/>
      <c r="E547" s="197"/>
      <c r="F547" s="197"/>
      <c r="G547" s="204"/>
    </row>
    <row r="548" spans="2:7">
      <c r="B548" s="5">
        <v>14</v>
      </c>
      <c r="C548" s="39" t="s">
        <v>1533</v>
      </c>
      <c r="D548" s="197"/>
      <c r="E548" s="197"/>
      <c r="F548" s="197"/>
      <c r="G548" s="204"/>
    </row>
    <row r="549" spans="2:7">
      <c r="B549" s="5">
        <v>15</v>
      </c>
      <c r="C549" s="39" t="s">
        <v>214</v>
      </c>
      <c r="D549" s="197"/>
      <c r="E549" s="197"/>
      <c r="F549" s="197"/>
      <c r="G549" s="204"/>
    </row>
    <row r="550" spans="2:7">
      <c r="B550" s="203"/>
      <c r="C550" s="197"/>
      <c r="D550" s="197"/>
      <c r="E550" s="197"/>
      <c r="F550" s="197"/>
      <c r="G550" s="204"/>
    </row>
    <row r="551" spans="2:7">
      <c r="B551" s="203"/>
      <c r="C551" s="39" t="s">
        <v>325</v>
      </c>
      <c r="D551" s="197"/>
      <c r="E551" s="197"/>
      <c r="F551" s="197"/>
      <c r="G551" s="204"/>
    </row>
    <row r="552" spans="2:7">
      <c r="B552" s="203"/>
      <c r="C552" s="198" t="s">
        <v>1543</v>
      </c>
      <c r="D552" s="197"/>
      <c r="E552" s="197"/>
      <c r="F552" s="197"/>
      <c r="G552" s="204"/>
    </row>
    <row r="553" spans="2:7">
      <c r="B553" s="203"/>
      <c r="C553" s="198" t="s">
        <v>1169</v>
      </c>
      <c r="D553" s="197"/>
      <c r="E553" s="197"/>
      <c r="F553" s="197"/>
      <c r="G553" s="204"/>
    </row>
    <row r="554" spans="2:7">
      <c r="B554" s="203"/>
      <c r="C554" s="197"/>
      <c r="D554" s="197"/>
      <c r="E554" s="197"/>
      <c r="F554" s="197"/>
      <c r="G554" s="204"/>
    </row>
    <row r="555" spans="2:7">
      <c r="B555" s="203"/>
      <c r="C555" s="2" t="s">
        <v>21</v>
      </c>
      <c r="D555" s="197"/>
      <c r="E555" s="197"/>
      <c r="F555" s="197"/>
      <c r="G555" s="204"/>
    </row>
    <row r="556" spans="2:7">
      <c r="B556" s="82" t="s">
        <v>336</v>
      </c>
      <c r="C556" s="198" t="s">
        <v>1403</v>
      </c>
      <c r="D556" s="197"/>
      <c r="E556" s="197"/>
      <c r="F556" s="197"/>
      <c r="G556" s="204"/>
    </row>
    <row r="557" spans="2:7">
      <c r="B557" s="82" t="s">
        <v>336</v>
      </c>
      <c r="C557" s="198" t="s">
        <v>1434</v>
      </c>
      <c r="D557" s="197"/>
      <c r="E557" s="197"/>
      <c r="F557" s="197"/>
      <c r="G557" s="204"/>
    </row>
    <row r="558" spans="2:7">
      <c r="B558" s="18"/>
      <c r="C558" s="39"/>
      <c r="D558" s="197"/>
      <c r="E558" s="197"/>
      <c r="F558" s="197"/>
      <c r="G558" s="204"/>
    </row>
    <row r="559" spans="2:7">
      <c r="B559" s="18"/>
      <c r="C559" s="15" t="s">
        <v>337</v>
      </c>
      <c r="D559" s="197"/>
      <c r="E559" s="197"/>
      <c r="F559" s="197"/>
      <c r="G559" s="204"/>
    </row>
    <row r="560" spans="2:7">
      <c r="B560" s="82" t="s">
        <v>336</v>
      </c>
      <c r="C560" s="198" t="s">
        <v>236</v>
      </c>
      <c r="D560" s="197"/>
      <c r="E560" s="197"/>
      <c r="F560" s="197"/>
      <c r="G560" s="204"/>
    </row>
    <row r="561" spans="2:7">
      <c r="B561" s="18"/>
      <c r="D561" s="197"/>
      <c r="E561" s="197"/>
      <c r="F561" s="197"/>
      <c r="G561" s="204"/>
    </row>
    <row r="562" spans="2:7">
      <c r="B562" s="18"/>
      <c r="C562" s="1" t="s">
        <v>22</v>
      </c>
      <c r="D562" s="197"/>
      <c r="E562" s="197"/>
      <c r="F562" s="197"/>
      <c r="G562" s="204"/>
    </row>
    <row r="563" spans="2:7">
      <c r="B563" s="82" t="s">
        <v>352</v>
      </c>
      <c r="C563" s="39" t="s">
        <v>236</v>
      </c>
      <c r="D563" s="197"/>
      <c r="E563" s="197"/>
      <c r="F563" s="197"/>
      <c r="G563" s="204"/>
    </row>
    <row r="564" spans="2:7">
      <c r="B564" s="203"/>
      <c r="D564" s="197"/>
      <c r="E564" s="197"/>
      <c r="F564" s="197"/>
      <c r="G564" s="204"/>
    </row>
    <row r="565" spans="2:7">
      <c r="B565" s="203"/>
      <c r="C565" s="1" t="s">
        <v>23</v>
      </c>
      <c r="D565" s="197"/>
      <c r="E565" s="197"/>
      <c r="F565" s="197"/>
      <c r="G565" s="204"/>
    </row>
    <row r="566" spans="2:7">
      <c r="B566" s="82"/>
      <c r="C566" s="66" t="s">
        <v>339</v>
      </c>
      <c r="D566" s="197"/>
      <c r="E566" s="197"/>
      <c r="F566" s="197"/>
      <c r="G566" s="204"/>
    </row>
    <row r="567" spans="2:7">
      <c r="B567" s="82"/>
      <c r="C567" s="66"/>
      <c r="D567" s="197"/>
      <c r="E567" s="197"/>
      <c r="F567" s="197"/>
      <c r="G567" s="204"/>
    </row>
    <row r="568" spans="2:7" ht="13.5" thickBot="1">
      <c r="B568" s="163"/>
      <c r="C568" s="81"/>
      <c r="D568" s="206"/>
      <c r="E568" s="206"/>
      <c r="F568" s="206"/>
      <c r="G568" s="207"/>
    </row>
    <row r="569" spans="2:7" ht="13.5" thickBot="1">
      <c r="B569" s="5"/>
      <c r="C569" s="39"/>
      <c r="D569" s="197"/>
      <c r="E569" s="197"/>
      <c r="F569" s="197"/>
      <c r="G569" s="204"/>
    </row>
    <row r="570" spans="2:7" ht="13.5" thickBot="1">
      <c r="B570" s="236">
        <v>46193</v>
      </c>
      <c r="C570" s="237"/>
      <c r="D570" s="237"/>
      <c r="E570" s="237"/>
      <c r="F570" s="237"/>
      <c r="G570" s="238"/>
    </row>
    <row r="571" spans="2:7" ht="13.5" thickBot="1">
      <c r="B571" s="18"/>
      <c r="G571" s="6"/>
    </row>
    <row r="572" spans="2:7">
      <c r="B572" s="18"/>
      <c r="C572" s="21" t="s">
        <v>27</v>
      </c>
      <c r="D572" s="16"/>
      <c r="E572" s="80" t="s">
        <v>1154</v>
      </c>
      <c r="F572" s="4">
        <v>54</v>
      </c>
      <c r="G572" s="6"/>
    </row>
    <row r="573" spans="2:7" ht="13.5" thickBot="1">
      <c r="B573" s="18"/>
      <c r="C573" s="7"/>
      <c r="D573" s="20"/>
      <c r="E573" s="83" t="s">
        <v>1</v>
      </c>
      <c r="F573" s="22">
        <v>10</v>
      </c>
      <c r="G573" s="6"/>
    </row>
    <row r="574" spans="2:7" ht="13.5" thickBot="1">
      <c r="B574" s="18"/>
      <c r="G574" s="6"/>
    </row>
    <row r="575" spans="2:7">
      <c r="B575" s="18"/>
      <c r="C575" s="3" t="s">
        <v>4</v>
      </c>
      <c r="D575" s="16"/>
      <c r="E575" s="80" t="s">
        <v>1154</v>
      </c>
      <c r="F575" s="84"/>
      <c r="G575" s="6"/>
    </row>
    <row r="576" spans="2:7">
      <c r="B576" s="18"/>
      <c r="C576" s="5" t="s">
        <v>2</v>
      </c>
      <c r="E576" s="39" t="s">
        <v>326</v>
      </c>
      <c r="F576" s="6"/>
      <c r="G576" s="6"/>
    </row>
    <row r="577" spans="2:7" ht="13.5" thickBot="1">
      <c r="B577" s="18"/>
      <c r="C577" s="7" t="s">
        <v>3</v>
      </c>
      <c r="D577" s="20"/>
      <c r="E577" s="81" t="s">
        <v>326</v>
      </c>
      <c r="F577" s="9"/>
      <c r="G577" s="6"/>
    </row>
    <row r="578" spans="2:7" ht="13.5" thickBot="1">
      <c r="B578" s="18"/>
      <c r="G578" s="6"/>
    </row>
    <row r="579" spans="2:7" ht="13.5" thickBot="1">
      <c r="B579" s="18"/>
      <c r="C579" s="23" t="s">
        <v>29</v>
      </c>
      <c r="D579" s="24"/>
      <c r="E579" s="87" t="s">
        <v>1392</v>
      </c>
      <c r="F579" s="25"/>
      <c r="G579" s="6"/>
    </row>
    <row r="580" spans="2:7">
      <c r="B580" s="18"/>
      <c r="G580" s="6"/>
    </row>
    <row r="581" spans="2:7">
      <c r="B581" s="203"/>
      <c r="C581" t="s">
        <v>5</v>
      </c>
      <c r="D581" s="197"/>
      <c r="E581" s="197"/>
      <c r="F581" s="197"/>
      <c r="G581" s="204"/>
    </row>
    <row r="582" spans="2:7">
      <c r="B582" s="203"/>
      <c r="D582" s="197"/>
      <c r="E582" s="197"/>
      <c r="F582" s="197"/>
      <c r="G582" s="204"/>
    </row>
    <row r="583" spans="2:7">
      <c r="B583" s="5">
        <v>1</v>
      </c>
      <c r="C583" s="39" t="s">
        <v>1172</v>
      </c>
      <c r="D583" s="197"/>
      <c r="E583" s="197"/>
      <c r="F583" s="197"/>
      <c r="G583" s="204"/>
    </row>
    <row r="584" spans="2:7">
      <c r="B584" s="5">
        <v>2</v>
      </c>
      <c r="C584" s="39" t="s">
        <v>1434</v>
      </c>
      <c r="D584" s="197"/>
      <c r="E584" s="197"/>
      <c r="F584" s="197"/>
      <c r="G584" s="204"/>
    </row>
    <row r="585" spans="2:7">
      <c r="B585" s="5">
        <v>3</v>
      </c>
      <c r="C585" s="39" t="s">
        <v>1476</v>
      </c>
      <c r="D585" s="197"/>
      <c r="E585" s="197"/>
      <c r="F585" s="197"/>
      <c r="G585" s="204"/>
    </row>
    <row r="586" spans="2:7">
      <c r="B586" s="5">
        <v>4</v>
      </c>
      <c r="C586" s="39" t="s">
        <v>1320</v>
      </c>
      <c r="D586" s="197"/>
      <c r="E586" s="197"/>
      <c r="F586" s="197"/>
      <c r="G586" s="204"/>
    </row>
    <row r="587" spans="2:7">
      <c r="B587" s="5">
        <v>5</v>
      </c>
      <c r="C587" s="39" t="s">
        <v>207</v>
      </c>
      <c r="D587" s="197"/>
      <c r="E587" s="197"/>
      <c r="F587" s="197"/>
      <c r="G587" s="204"/>
    </row>
    <row r="588" spans="2:7">
      <c r="B588" s="5">
        <v>6</v>
      </c>
      <c r="C588" s="39" t="s">
        <v>211</v>
      </c>
      <c r="D588" s="197"/>
      <c r="E588" s="197"/>
      <c r="F588" s="197"/>
      <c r="G588" s="204"/>
    </row>
    <row r="589" spans="2:7">
      <c r="B589" s="5">
        <v>7</v>
      </c>
      <c r="C589" s="39" t="s">
        <v>1095</v>
      </c>
      <c r="D589" s="197"/>
      <c r="E589" s="197"/>
      <c r="F589" s="197"/>
      <c r="G589" s="204"/>
    </row>
    <row r="590" spans="2:7">
      <c r="B590" s="5">
        <v>8</v>
      </c>
      <c r="C590" s="39" t="s">
        <v>1315</v>
      </c>
      <c r="D590" s="197"/>
      <c r="E590" s="197"/>
      <c r="F590" s="197"/>
      <c r="G590" s="204"/>
    </row>
    <row r="591" spans="2:7">
      <c r="B591" s="5">
        <v>9</v>
      </c>
      <c r="C591" s="39" t="s">
        <v>234</v>
      </c>
      <c r="D591" s="197"/>
      <c r="E591" s="197"/>
      <c r="F591" s="197"/>
      <c r="G591" s="204"/>
    </row>
    <row r="592" spans="2:7">
      <c r="B592" s="5">
        <v>10</v>
      </c>
      <c r="C592" s="39" t="s">
        <v>1112</v>
      </c>
      <c r="D592" s="197"/>
      <c r="E592" s="197"/>
      <c r="F592" s="197"/>
      <c r="G592" s="204"/>
    </row>
    <row r="593" spans="2:7">
      <c r="B593" s="5">
        <v>11</v>
      </c>
      <c r="C593" s="39" t="s">
        <v>1403</v>
      </c>
      <c r="D593" s="197"/>
      <c r="E593" s="197"/>
      <c r="F593" s="197"/>
      <c r="G593" s="204"/>
    </row>
    <row r="594" spans="2:7">
      <c r="B594" s="5">
        <v>12</v>
      </c>
      <c r="C594" s="39" t="s">
        <v>1198</v>
      </c>
      <c r="D594" s="197"/>
      <c r="E594" s="197"/>
      <c r="F594" s="197"/>
      <c r="G594" s="204"/>
    </row>
    <row r="595" spans="2:7">
      <c r="B595" s="5">
        <v>13</v>
      </c>
      <c r="C595" s="39" t="s">
        <v>18</v>
      </c>
      <c r="D595" s="197"/>
      <c r="E595" s="197"/>
      <c r="F595" s="197"/>
      <c r="G595" s="204"/>
    </row>
    <row r="596" spans="2:7">
      <c r="B596" s="5">
        <v>14</v>
      </c>
      <c r="C596" s="39" t="s">
        <v>1491</v>
      </c>
      <c r="D596" s="197"/>
      <c r="E596" s="197"/>
      <c r="F596" s="197"/>
      <c r="G596" s="204"/>
    </row>
    <row r="597" spans="2:7">
      <c r="B597" s="5">
        <v>15</v>
      </c>
      <c r="C597" s="39" t="s">
        <v>214</v>
      </c>
      <c r="D597" s="197"/>
      <c r="E597" s="197"/>
      <c r="F597" s="197"/>
      <c r="G597" s="204"/>
    </row>
    <row r="598" spans="2:7">
      <c r="B598" s="203"/>
      <c r="C598" s="197"/>
      <c r="D598" s="197"/>
      <c r="E598" s="197"/>
      <c r="F598" s="197"/>
      <c r="G598" s="204"/>
    </row>
    <row r="599" spans="2:7">
      <c r="B599" s="203"/>
      <c r="C599" s="39" t="s">
        <v>325</v>
      </c>
      <c r="D599" s="197"/>
      <c r="E599" s="197"/>
      <c r="F599" s="197"/>
      <c r="G599" s="204"/>
    </row>
    <row r="600" spans="2:7">
      <c r="B600" s="203"/>
      <c r="C600" s="198" t="s">
        <v>1546</v>
      </c>
      <c r="D600" s="197"/>
      <c r="E600" s="197"/>
      <c r="F600" s="197"/>
      <c r="G600" s="204"/>
    </row>
    <row r="601" spans="2:7">
      <c r="B601" s="203"/>
      <c r="C601" s="198" t="s">
        <v>1547</v>
      </c>
      <c r="D601" s="197"/>
      <c r="E601" s="197"/>
      <c r="F601" s="197"/>
      <c r="G601" s="204"/>
    </row>
    <row r="602" spans="2:7">
      <c r="B602" s="203"/>
      <c r="C602" s="198" t="s">
        <v>1382</v>
      </c>
      <c r="D602" s="197"/>
      <c r="E602" s="197"/>
      <c r="F602" s="197"/>
      <c r="G602" s="204"/>
    </row>
    <row r="603" spans="2:7">
      <c r="B603" s="203"/>
      <c r="C603" s="198" t="s">
        <v>1322</v>
      </c>
      <c r="D603" s="197"/>
      <c r="E603" s="197"/>
      <c r="F603" s="197"/>
      <c r="G603" s="204"/>
    </row>
    <row r="604" spans="2:7">
      <c r="B604" s="203"/>
      <c r="C604" s="198" t="s">
        <v>1548</v>
      </c>
      <c r="D604" s="197"/>
      <c r="E604" s="197"/>
      <c r="F604" s="197"/>
      <c r="G604" s="204"/>
    </row>
    <row r="605" spans="2:7">
      <c r="B605" s="203"/>
      <c r="C605" s="197"/>
      <c r="D605" s="197"/>
      <c r="E605" s="197"/>
      <c r="F605" s="197"/>
      <c r="G605" s="204"/>
    </row>
    <row r="606" spans="2:7">
      <c r="B606" s="203"/>
      <c r="C606" s="2" t="s">
        <v>21</v>
      </c>
      <c r="D606" s="197"/>
      <c r="E606" s="197"/>
      <c r="F606" s="197"/>
      <c r="G606" s="204"/>
    </row>
    <row r="607" spans="2:7">
      <c r="B607" s="82" t="s">
        <v>336</v>
      </c>
      <c r="C607" s="198" t="s">
        <v>1315</v>
      </c>
      <c r="D607" s="197"/>
      <c r="E607" s="197"/>
      <c r="F607" s="197"/>
      <c r="G607" s="204"/>
    </row>
    <row r="608" spans="2:7">
      <c r="B608" s="18"/>
      <c r="C608" s="39"/>
      <c r="D608" s="197"/>
      <c r="E608" s="197"/>
      <c r="F608" s="197"/>
      <c r="G608" s="204"/>
    </row>
    <row r="609" spans="2:7">
      <c r="B609" s="18"/>
      <c r="C609" s="15" t="s">
        <v>337</v>
      </c>
      <c r="D609" s="197"/>
      <c r="E609" s="197"/>
      <c r="F609" s="197"/>
      <c r="G609" s="204"/>
    </row>
    <row r="610" spans="2:7">
      <c r="B610" s="82" t="s">
        <v>336</v>
      </c>
      <c r="C610" s="198" t="s">
        <v>236</v>
      </c>
      <c r="D610" s="197"/>
      <c r="E610" s="197"/>
      <c r="F610" s="197"/>
      <c r="G610" s="204"/>
    </row>
    <row r="611" spans="2:7">
      <c r="B611" s="18"/>
      <c r="D611" s="197"/>
      <c r="E611" s="197"/>
      <c r="F611" s="197"/>
      <c r="G611" s="204"/>
    </row>
    <row r="612" spans="2:7">
      <c r="B612" s="18"/>
      <c r="C612" s="1" t="s">
        <v>22</v>
      </c>
      <c r="D612" s="197"/>
      <c r="E612" s="197"/>
      <c r="F612" s="197"/>
      <c r="G612" s="204"/>
    </row>
    <row r="613" spans="2:7">
      <c r="B613" s="82" t="s">
        <v>336</v>
      </c>
      <c r="C613" s="39" t="s">
        <v>236</v>
      </c>
      <c r="D613" s="197"/>
      <c r="E613" s="197"/>
      <c r="F613" s="197"/>
      <c r="G613" s="204"/>
    </row>
    <row r="614" spans="2:7">
      <c r="B614" s="203"/>
      <c r="D614" s="197"/>
      <c r="E614" s="197"/>
      <c r="F614" s="197"/>
      <c r="G614" s="204"/>
    </row>
    <row r="615" spans="2:7">
      <c r="B615" s="203"/>
      <c r="C615" s="1" t="s">
        <v>23</v>
      </c>
      <c r="D615" s="197"/>
      <c r="E615" s="197"/>
      <c r="F615" s="197"/>
      <c r="G615" s="204"/>
    </row>
    <row r="616" spans="2:7">
      <c r="B616" s="82"/>
      <c r="C616" s="66" t="s">
        <v>339</v>
      </c>
      <c r="D616" s="197"/>
      <c r="E616" s="197"/>
      <c r="F616" s="197"/>
      <c r="G616" s="204"/>
    </row>
    <row r="617" spans="2:7">
      <c r="B617" s="82"/>
      <c r="C617" s="66"/>
      <c r="D617" s="197"/>
      <c r="E617" s="197"/>
      <c r="F617" s="197"/>
      <c r="G617" s="204"/>
    </row>
    <row r="618" spans="2:7" ht="13.5" thickBot="1">
      <c r="B618" s="163"/>
      <c r="C618" s="81"/>
      <c r="D618" s="206"/>
      <c r="E618" s="206"/>
      <c r="F618" s="206"/>
      <c r="G618" s="207"/>
    </row>
    <row r="619" spans="2:7" ht="13.5" thickBot="1">
      <c r="B619" s="203"/>
      <c r="D619" s="197"/>
      <c r="E619" s="197"/>
      <c r="F619" s="197"/>
      <c r="G619" s="204"/>
    </row>
    <row r="620" spans="2:7" ht="13.5" thickBot="1">
      <c r="B620" s="236">
        <v>46207</v>
      </c>
      <c r="C620" s="237"/>
      <c r="D620" s="237"/>
      <c r="E620" s="237"/>
      <c r="F620" s="237"/>
      <c r="G620" s="238"/>
    </row>
    <row r="621" spans="2:7" ht="13.5" thickBot="1">
      <c r="B621" s="18"/>
      <c r="G621" s="6"/>
    </row>
    <row r="622" spans="2:7">
      <c r="B622" s="18"/>
      <c r="C622" s="21" t="s">
        <v>27</v>
      </c>
      <c r="D622" s="16"/>
      <c r="E622" s="80" t="s">
        <v>1</v>
      </c>
      <c r="F622" s="4">
        <v>15</v>
      </c>
      <c r="G622" s="6"/>
    </row>
    <row r="623" spans="2:7" ht="13.5" thickBot="1">
      <c r="B623" s="18"/>
      <c r="C623" s="7"/>
      <c r="D623" s="20"/>
      <c r="E623" s="83" t="s">
        <v>91</v>
      </c>
      <c r="F623" s="22">
        <v>36</v>
      </c>
      <c r="G623" s="6"/>
    </row>
    <row r="624" spans="2:7" ht="13.5" thickBot="1">
      <c r="B624" s="18"/>
      <c r="G624" s="6"/>
    </row>
    <row r="625" spans="2:7">
      <c r="B625" s="18"/>
      <c r="C625" s="3" t="s">
        <v>4</v>
      </c>
      <c r="D625" s="16"/>
      <c r="E625" s="80" t="s">
        <v>1</v>
      </c>
      <c r="F625" s="84" t="s">
        <v>205</v>
      </c>
      <c r="G625" s="6"/>
    </row>
    <row r="626" spans="2:7">
      <c r="B626" s="18"/>
      <c r="C626" s="5" t="s">
        <v>2</v>
      </c>
      <c r="E626" s="39" t="s">
        <v>404</v>
      </c>
      <c r="F626" s="6"/>
      <c r="G626" s="6"/>
    </row>
    <row r="627" spans="2:7" ht="13.5" thickBot="1">
      <c r="B627" s="18"/>
      <c r="C627" s="7" t="s">
        <v>3</v>
      </c>
      <c r="D627" s="20"/>
      <c r="E627" s="81" t="s">
        <v>326</v>
      </c>
      <c r="F627" s="9"/>
      <c r="G627" s="6"/>
    </row>
    <row r="628" spans="2:7" ht="13.5" thickBot="1">
      <c r="B628" s="18"/>
      <c r="G628" s="6"/>
    </row>
    <row r="629" spans="2:7" ht="13.5" thickBot="1">
      <c r="B629" s="18"/>
      <c r="C629" s="23" t="s">
        <v>29</v>
      </c>
      <c r="D629" s="24"/>
      <c r="E629" s="87" t="s">
        <v>263</v>
      </c>
      <c r="F629" s="25"/>
      <c r="G629" s="6"/>
    </row>
    <row r="630" spans="2:7">
      <c r="B630" s="18"/>
      <c r="G630" s="6"/>
    </row>
    <row r="631" spans="2:7">
      <c r="B631" s="203"/>
      <c r="C631" t="s">
        <v>5</v>
      </c>
      <c r="D631" s="197"/>
      <c r="E631" s="197"/>
      <c r="F631" s="197"/>
      <c r="G631" s="204"/>
    </row>
    <row r="632" spans="2:7">
      <c r="B632" s="203"/>
      <c r="D632" s="197"/>
      <c r="E632" s="197"/>
      <c r="F632" s="197"/>
      <c r="G632" s="204"/>
    </row>
    <row r="633" spans="2:7">
      <c r="B633" s="5">
        <v>1</v>
      </c>
      <c r="C633" s="39" t="s">
        <v>1172</v>
      </c>
      <c r="D633" s="197"/>
      <c r="E633" s="197"/>
      <c r="F633" s="197"/>
      <c r="G633" s="204"/>
    </row>
    <row r="634" spans="2:7">
      <c r="B634" s="5">
        <v>2</v>
      </c>
      <c r="C634" s="39" t="s">
        <v>1434</v>
      </c>
      <c r="D634" s="197"/>
      <c r="E634" s="197"/>
      <c r="F634" s="197"/>
      <c r="G634" s="204"/>
    </row>
    <row r="635" spans="2:7">
      <c r="B635" s="5">
        <v>3</v>
      </c>
      <c r="C635" s="39" t="s">
        <v>1476</v>
      </c>
      <c r="D635" s="197"/>
      <c r="E635" s="197"/>
      <c r="F635" s="197"/>
      <c r="G635" s="204"/>
    </row>
    <row r="636" spans="2:7">
      <c r="B636" s="5">
        <v>4</v>
      </c>
      <c r="C636" s="39" t="s">
        <v>1329</v>
      </c>
      <c r="D636" s="197"/>
      <c r="E636" s="197"/>
      <c r="F636" s="197"/>
      <c r="G636" s="204"/>
    </row>
    <row r="637" spans="2:7">
      <c r="B637" s="5">
        <v>5</v>
      </c>
      <c r="C637" s="39" t="s">
        <v>207</v>
      </c>
      <c r="D637" s="197"/>
      <c r="E637" s="197"/>
      <c r="F637" s="197"/>
      <c r="G637" s="204"/>
    </row>
    <row r="638" spans="2:7">
      <c r="B638" s="5">
        <v>6</v>
      </c>
      <c r="C638" s="39" t="s">
        <v>211</v>
      </c>
      <c r="D638" s="197"/>
      <c r="E638" s="197"/>
      <c r="F638" s="197"/>
      <c r="G638" s="204"/>
    </row>
    <row r="639" spans="2:7">
      <c r="B639" s="5">
        <v>7</v>
      </c>
      <c r="C639" s="39" t="s">
        <v>1324</v>
      </c>
      <c r="D639" s="197"/>
      <c r="E639" s="197"/>
      <c r="F639" s="197"/>
      <c r="G639" s="204"/>
    </row>
    <row r="640" spans="2:7">
      <c r="B640" s="5">
        <v>8</v>
      </c>
      <c r="C640" s="39" t="s">
        <v>1315</v>
      </c>
      <c r="D640" s="197"/>
      <c r="E640" s="197"/>
      <c r="F640" s="197"/>
      <c r="G640" s="204"/>
    </row>
    <row r="641" spans="2:7">
      <c r="B641" s="5">
        <v>9</v>
      </c>
      <c r="C641" s="39" t="s">
        <v>14</v>
      </c>
      <c r="D641" s="197"/>
      <c r="E641" s="197"/>
      <c r="F641" s="197"/>
      <c r="G641" s="204"/>
    </row>
    <row r="642" spans="2:7">
      <c r="B642" s="5">
        <v>10</v>
      </c>
      <c r="C642" s="39" t="s">
        <v>234</v>
      </c>
      <c r="D642" s="197"/>
      <c r="E642" s="197"/>
      <c r="F642" s="197"/>
      <c r="G642" s="204"/>
    </row>
    <row r="643" spans="2:7">
      <c r="B643" s="5">
        <v>11</v>
      </c>
      <c r="C643" s="39" t="s">
        <v>1403</v>
      </c>
      <c r="D643" s="197"/>
      <c r="E643" s="197"/>
      <c r="F643" s="197"/>
      <c r="G643" s="204"/>
    </row>
    <row r="644" spans="2:7">
      <c r="B644" s="5">
        <v>12</v>
      </c>
      <c r="C644" s="39" t="s">
        <v>142</v>
      </c>
      <c r="D644" s="197"/>
      <c r="E644" s="197"/>
      <c r="F644" s="197"/>
      <c r="G644" s="204"/>
    </row>
    <row r="645" spans="2:7">
      <c r="B645" s="5">
        <v>13</v>
      </c>
      <c r="C645" s="39" t="s">
        <v>18</v>
      </c>
      <c r="D645" s="197"/>
      <c r="E645" s="197"/>
      <c r="F645" s="197"/>
      <c r="G645" s="204"/>
    </row>
    <row r="646" spans="2:7">
      <c r="B646" s="5">
        <v>14</v>
      </c>
      <c r="C646" s="39" t="s">
        <v>214</v>
      </c>
      <c r="D646" s="197"/>
      <c r="E646" s="197"/>
      <c r="F646" s="197"/>
      <c r="G646" s="204"/>
    </row>
    <row r="647" spans="2:7">
      <c r="B647" s="5">
        <v>15</v>
      </c>
      <c r="C647" s="39" t="s">
        <v>1198</v>
      </c>
      <c r="D647" s="197"/>
      <c r="E647" s="197"/>
      <c r="F647" s="197"/>
      <c r="G647" s="204"/>
    </row>
    <row r="648" spans="2:7">
      <c r="B648" s="203"/>
      <c r="C648" s="197"/>
      <c r="D648" s="197"/>
      <c r="E648" s="197"/>
      <c r="F648" s="197"/>
      <c r="G648" s="204"/>
    </row>
    <row r="649" spans="2:7">
      <c r="B649" s="203"/>
      <c r="C649" s="39" t="s">
        <v>325</v>
      </c>
      <c r="D649" s="197"/>
      <c r="E649" s="197"/>
      <c r="F649" s="197"/>
      <c r="G649" s="204"/>
    </row>
    <row r="650" spans="2:7">
      <c r="B650" s="203"/>
      <c r="C650" s="198" t="s">
        <v>1549</v>
      </c>
      <c r="D650" s="197"/>
      <c r="E650" s="197"/>
      <c r="F650" s="197"/>
      <c r="G650" s="204"/>
    </row>
    <row r="651" spans="2:7">
      <c r="B651" s="203"/>
      <c r="C651" s="198" t="s">
        <v>1547</v>
      </c>
      <c r="D651" s="197"/>
      <c r="E651" s="197"/>
      <c r="F651" s="197"/>
      <c r="G651" s="204"/>
    </row>
    <row r="652" spans="2:7">
      <c r="B652" s="203"/>
      <c r="C652" s="198" t="s">
        <v>1550</v>
      </c>
      <c r="D652" s="197"/>
      <c r="E652" s="197"/>
      <c r="F652" s="197"/>
      <c r="G652" s="204"/>
    </row>
    <row r="653" spans="2:7">
      <c r="B653" s="203"/>
      <c r="C653" s="198" t="s">
        <v>1551</v>
      </c>
      <c r="D653" s="197"/>
      <c r="E653" s="197"/>
      <c r="F653" s="197"/>
      <c r="G653" s="204"/>
    </row>
    <row r="654" spans="2:7">
      <c r="B654" s="203"/>
      <c r="C654" s="198" t="s">
        <v>1524</v>
      </c>
      <c r="D654" s="197"/>
      <c r="E654" s="197"/>
      <c r="F654" s="197"/>
      <c r="G654" s="204"/>
    </row>
    <row r="655" spans="2:7">
      <c r="B655" s="203"/>
      <c r="C655" s="198" t="s">
        <v>1552</v>
      </c>
      <c r="D655" s="197"/>
      <c r="E655" s="197"/>
      <c r="F655" s="197"/>
      <c r="G655" s="204"/>
    </row>
    <row r="656" spans="2:7">
      <c r="B656" s="203"/>
      <c r="C656" s="197"/>
      <c r="D656" s="197"/>
      <c r="E656" s="197"/>
      <c r="F656" s="197"/>
      <c r="G656" s="204"/>
    </row>
    <row r="657" spans="2:7">
      <c r="B657" s="203"/>
      <c r="C657" s="2" t="s">
        <v>21</v>
      </c>
      <c r="D657" s="197"/>
      <c r="E657" s="197"/>
      <c r="F657" s="197"/>
      <c r="G657" s="204"/>
    </row>
    <row r="658" spans="2:7">
      <c r="B658" s="82" t="s">
        <v>352</v>
      </c>
      <c r="C658" s="198" t="s">
        <v>236</v>
      </c>
      <c r="D658" s="197"/>
      <c r="E658" s="197"/>
      <c r="F658" s="197"/>
      <c r="G658" s="204"/>
    </row>
    <row r="659" spans="2:7">
      <c r="B659" s="18"/>
      <c r="C659" s="39"/>
      <c r="D659" s="197"/>
      <c r="E659" s="197"/>
      <c r="F659" s="197"/>
      <c r="G659" s="204"/>
    </row>
    <row r="660" spans="2:7">
      <c r="B660" s="18"/>
      <c r="C660" s="15" t="s">
        <v>337</v>
      </c>
      <c r="D660" s="197"/>
      <c r="E660" s="197"/>
      <c r="F660" s="197"/>
      <c r="G660" s="204"/>
    </row>
    <row r="661" spans="2:7">
      <c r="B661" s="82" t="s">
        <v>336</v>
      </c>
      <c r="C661" s="198" t="s">
        <v>236</v>
      </c>
      <c r="D661" s="197"/>
      <c r="E661" s="197"/>
      <c r="F661" s="197"/>
      <c r="G661" s="204"/>
    </row>
    <row r="662" spans="2:7">
      <c r="B662" s="18"/>
      <c r="D662" s="197"/>
      <c r="E662" s="197"/>
      <c r="F662" s="197"/>
      <c r="G662" s="204"/>
    </row>
    <row r="663" spans="2:7">
      <c r="B663" s="18"/>
      <c r="C663" s="1" t="s">
        <v>22</v>
      </c>
      <c r="D663" s="197"/>
      <c r="E663" s="197"/>
      <c r="F663" s="197"/>
      <c r="G663" s="204"/>
    </row>
    <row r="664" spans="2:7">
      <c r="B664" s="82" t="s">
        <v>336</v>
      </c>
      <c r="C664" s="39" t="s">
        <v>236</v>
      </c>
      <c r="D664" s="197"/>
      <c r="E664" s="197"/>
      <c r="F664" s="197"/>
      <c r="G664" s="204"/>
    </row>
    <row r="665" spans="2:7">
      <c r="B665" s="203"/>
      <c r="D665" s="197"/>
      <c r="E665" s="197"/>
      <c r="F665" s="197"/>
      <c r="G665" s="204"/>
    </row>
    <row r="666" spans="2:7">
      <c r="B666" s="203"/>
      <c r="C666" s="1" t="s">
        <v>23</v>
      </c>
      <c r="D666" s="197"/>
      <c r="E666" s="197"/>
      <c r="F666" s="197"/>
      <c r="G666" s="204"/>
    </row>
    <row r="667" spans="2:7">
      <c r="B667" s="82"/>
      <c r="C667" s="66" t="s">
        <v>1286</v>
      </c>
      <c r="D667" s="197"/>
      <c r="E667" s="197"/>
      <c r="F667" s="197"/>
      <c r="G667" s="204"/>
    </row>
    <row r="668" spans="2:7">
      <c r="B668" s="82"/>
      <c r="C668" s="66"/>
      <c r="D668" s="197"/>
      <c r="E668" s="197"/>
      <c r="F668" s="197"/>
      <c r="G668" s="204"/>
    </row>
    <row r="669" spans="2:7" ht="13.5" thickBot="1">
      <c r="B669" s="163"/>
      <c r="C669" s="81"/>
      <c r="D669" s="206"/>
      <c r="E669" s="206"/>
      <c r="F669" s="206"/>
      <c r="G669" s="207"/>
    </row>
    <row r="670" spans="2:7" ht="13.5" thickBot="1">
      <c r="B670" s="203"/>
      <c r="D670" s="197"/>
      <c r="E670" s="197"/>
      <c r="F670" s="197"/>
      <c r="G670" s="204"/>
    </row>
    <row r="671" spans="2:7" ht="13.5" thickBot="1">
      <c r="B671" s="236">
        <v>46214</v>
      </c>
      <c r="C671" s="237"/>
      <c r="D671" s="237"/>
      <c r="E671" s="237"/>
      <c r="F671" s="237"/>
      <c r="G671" s="238"/>
    </row>
    <row r="672" spans="2:7" ht="13.5" thickBot="1">
      <c r="B672" s="18"/>
      <c r="G672" s="6"/>
    </row>
    <row r="673" spans="2:7">
      <c r="B673" s="18"/>
      <c r="C673" s="21" t="s">
        <v>27</v>
      </c>
      <c r="D673" s="16"/>
      <c r="E673" s="80" t="s">
        <v>1</v>
      </c>
      <c r="F673" s="4">
        <v>15</v>
      </c>
      <c r="G673" s="6"/>
    </row>
    <row r="674" spans="2:7" ht="13.5" thickBot="1">
      <c r="B674" s="18"/>
      <c r="C674" s="7"/>
      <c r="D674" s="20"/>
      <c r="E674" s="83" t="s">
        <v>185</v>
      </c>
      <c r="F674" s="22">
        <v>36</v>
      </c>
      <c r="G674" s="6"/>
    </row>
    <row r="675" spans="2:7" ht="13.5" thickBot="1">
      <c r="B675" s="18"/>
      <c r="G675" s="6"/>
    </row>
    <row r="676" spans="2:7">
      <c r="B676" s="18"/>
      <c r="C676" s="3" t="s">
        <v>4</v>
      </c>
      <c r="D676" s="16"/>
      <c r="E676" s="80" t="s">
        <v>1</v>
      </c>
      <c r="F676" s="84" t="s">
        <v>205</v>
      </c>
      <c r="G676" s="6"/>
    </row>
    <row r="677" spans="2:7">
      <c r="B677" s="18"/>
      <c r="C677" s="5" t="s">
        <v>2</v>
      </c>
      <c r="E677" s="39" t="s">
        <v>404</v>
      </c>
      <c r="F677" s="6"/>
      <c r="G677" s="6"/>
    </row>
    <row r="678" spans="2:7" ht="13.5" thickBot="1">
      <c r="B678" s="18"/>
      <c r="C678" s="7" t="s">
        <v>3</v>
      </c>
      <c r="D678" s="20"/>
      <c r="E678" s="81" t="s">
        <v>326</v>
      </c>
      <c r="F678" s="9"/>
      <c r="G678" s="6"/>
    </row>
    <row r="679" spans="2:7" ht="13.5" thickBot="1">
      <c r="B679" s="18"/>
      <c r="G679" s="6"/>
    </row>
    <row r="680" spans="2:7" ht="13.5" thickBot="1">
      <c r="B680" s="18"/>
      <c r="C680" s="23" t="s">
        <v>29</v>
      </c>
      <c r="D680" s="24"/>
      <c r="E680" s="87" t="s">
        <v>1171</v>
      </c>
      <c r="F680" s="25"/>
      <c r="G680" s="6"/>
    </row>
    <row r="681" spans="2:7">
      <c r="B681" s="18"/>
      <c r="G681" s="6"/>
    </row>
    <row r="682" spans="2:7">
      <c r="B682" s="203"/>
      <c r="C682" t="s">
        <v>5</v>
      </c>
      <c r="D682" s="197"/>
      <c r="E682" s="197"/>
      <c r="F682" s="197"/>
      <c r="G682" s="204"/>
    </row>
    <row r="683" spans="2:7">
      <c r="B683" s="203"/>
      <c r="D683" s="197"/>
      <c r="E683" s="197"/>
      <c r="F683" s="197"/>
      <c r="G683" s="204"/>
    </row>
    <row r="684" spans="2:7">
      <c r="B684" s="5">
        <v>1</v>
      </c>
      <c r="C684" s="39" t="s">
        <v>1172</v>
      </c>
      <c r="D684" s="197"/>
      <c r="E684" s="197"/>
      <c r="F684" s="197"/>
      <c r="G684" s="204"/>
    </row>
    <row r="685" spans="2:7">
      <c r="B685" s="5">
        <v>2</v>
      </c>
      <c r="C685" s="39" t="s">
        <v>1434</v>
      </c>
      <c r="D685" s="197"/>
      <c r="E685" s="197"/>
      <c r="F685" s="197"/>
      <c r="G685" s="204"/>
    </row>
    <row r="686" spans="2:7">
      <c r="B686" s="5">
        <v>3</v>
      </c>
      <c r="C686" s="39" t="s">
        <v>1522</v>
      </c>
      <c r="D686" s="197"/>
      <c r="E686" s="197"/>
      <c r="F686" s="197"/>
      <c r="G686" s="204"/>
    </row>
    <row r="687" spans="2:7">
      <c r="B687" s="5">
        <v>4</v>
      </c>
      <c r="C687" s="39" t="s">
        <v>1329</v>
      </c>
      <c r="D687" s="197"/>
      <c r="E687" s="197"/>
      <c r="F687" s="197"/>
      <c r="G687" s="204"/>
    </row>
    <row r="688" spans="2:7">
      <c r="B688" s="5">
        <v>5</v>
      </c>
      <c r="C688" s="39" t="s">
        <v>207</v>
      </c>
      <c r="D688" s="197"/>
      <c r="E688" s="197"/>
      <c r="F688" s="197"/>
      <c r="G688" s="204"/>
    </row>
    <row r="689" spans="2:7">
      <c r="B689" s="5">
        <v>6</v>
      </c>
      <c r="C689" s="39" t="s">
        <v>211</v>
      </c>
      <c r="D689" s="197"/>
      <c r="E689" s="197"/>
      <c r="F689" s="197"/>
      <c r="G689" s="204"/>
    </row>
    <row r="690" spans="2:7">
      <c r="B690" s="5">
        <v>7</v>
      </c>
      <c r="C690" s="39" t="s">
        <v>1286</v>
      </c>
      <c r="D690" s="197"/>
      <c r="E690" s="197"/>
      <c r="F690" s="197"/>
      <c r="G690" s="204"/>
    </row>
    <row r="691" spans="2:7">
      <c r="B691" s="5">
        <v>8</v>
      </c>
      <c r="C691" s="39" t="s">
        <v>1315</v>
      </c>
      <c r="D691" s="197"/>
      <c r="E691" s="197"/>
      <c r="F691" s="197"/>
      <c r="G691" s="204"/>
    </row>
    <row r="692" spans="2:7">
      <c r="B692" s="5">
        <v>9</v>
      </c>
      <c r="C692" s="39" t="s">
        <v>214</v>
      </c>
      <c r="D692" s="197"/>
      <c r="E692" s="197"/>
      <c r="F692" s="197"/>
      <c r="G692" s="204"/>
    </row>
    <row r="693" spans="2:7">
      <c r="B693" s="5">
        <v>10</v>
      </c>
      <c r="C693" s="39" t="s">
        <v>234</v>
      </c>
      <c r="D693" s="197"/>
      <c r="E693" s="197"/>
      <c r="F693" s="197"/>
      <c r="G693" s="204"/>
    </row>
    <row r="694" spans="2:7">
      <c r="B694" s="5">
        <v>11</v>
      </c>
      <c r="C694" s="39" t="s">
        <v>1403</v>
      </c>
      <c r="D694" s="197"/>
      <c r="E694" s="197"/>
      <c r="F694" s="197"/>
      <c r="G694" s="204"/>
    </row>
    <row r="695" spans="2:7">
      <c r="B695" s="5">
        <v>12</v>
      </c>
      <c r="C695" s="39" t="s">
        <v>142</v>
      </c>
      <c r="D695" s="197"/>
      <c r="E695" s="197"/>
      <c r="F695" s="197"/>
      <c r="G695" s="204"/>
    </row>
    <row r="696" spans="2:7">
      <c r="B696" s="5">
        <v>13</v>
      </c>
      <c r="C696" s="39" t="s">
        <v>18</v>
      </c>
      <c r="D696" s="197"/>
      <c r="E696" s="197"/>
      <c r="F696" s="197"/>
      <c r="G696" s="204"/>
    </row>
    <row r="697" spans="2:7">
      <c r="B697" s="5">
        <v>14</v>
      </c>
      <c r="C697" s="39" t="s">
        <v>1491</v>
      </c>
      <c r="D697" s="197"/>
      <c r="E697" s="197"/>
      <c r="F697" s="197"/>
      <c r="G697" s="204"/>
    </row>
    <row r="698" spans="2:7">
      <c r="B698" s="5">
        <v>15</v>
      </c>
      <c r="C698" s="39" t="s">
        <v>1198</v>
      </c>
      <c r="D698" s="197"/>
      <c r="E698" s="197"/>
      <c r="F698" s="197"/>
      <c r="G698" s="204"/>
    </row>
    <row r="699" spans="2:7">
      <c r="B699" s="203"/>
      <c r="C699" s="197"/>
      <c r="D699" s="197"/>
      <c r="E699" s="197"/>
      <c r="F699" s="197"/>
      <c r="G699" s="204"/>
    </row>
    <row r="700" spans="2:7">
      <c r="B700" s="203"/>
      <c r="C700" s="39" t="s">
        <v>325</v>
      </c>
      <c r="D700" s="197"/>
      <c r="E700" s="197"/>
      <c r="F700" s="197"/>
      <c r="G700" s="204"/>
    </row>
    <row r="701" spans="2:7">
      <c r="B701" s="203"/>
      <c r="C701" s="198" t="s">
        <v>1551</v>
      </c>
      <c r="D701" s="197"/>
      <c r="E701" s="197"/>
      <c r="F701" s="197"/>
      <c r="G701" s="204"/>
    </row>
    <row r="702" spans="2:7">
      <c r="B702" s="203"/>
      <c r="C702" s="198" t="s">
        <v>1553</v>
      </c>
      <c r="D702" s="197"/>
      <c r="E702" s="197"/>
      <c r="F702" s="197"/>
      <c r="G702" s="204"/>
    </row>
    <row r="703" spans="2:7">
      <c r="B703" s="203"/>
      <c r="C703" s="198" t="s">
        <v>1554</v>
      </c>
      <c r="D703" s="197"/>
      <c r="E703" s="197"/>
      <c r="F703" s="197"/>
      <c r="G703" s="204"/>
    </row>
    <row r="704" spans="2:7">
      <c r="B704" s="203"/>
      <c r="C704" s="198" t="s">
        <v>1555</v>
      </c>
      <c r="D704" s="197"/>
      <c r="E704" s="197"/>
      <c r="F704" s="197"/>
      <c r="G704" s="204"/>
    </row>
    <row r="705" spans="2:12">
      <c r="B705" s="203"/>
      <c r="C705" s="198" t="s">
        <v>1556</v>
      </c>
      <c r="D705" s="197"/>
      <c r="E705" s="197"/>
      <c r="F705" s="197"/>
      <c r="G705" s="204"/>
    </row>
    <row r="706" spans="2:12">
      <c r="B706" s="203"/>
      <c r="C706" s="198" t="s">
        <v>1470</v>
      </c>
      <c r="D706" s="197"/>
      <c r="E706" s="197"/>
      <c r="F706" s="197"/>
      <c r="G706" s="204"/>
    </row>
    <row r="707" spans="2:12">
      <c r="B707" s="203"/>
      <c r="C707" s="198" t="s">
        <v>1238</v>
      </c>
      <c r="D707" s="197"/>
      <c r="E707" s="197"/>
      <c r="F707" s="197"/>
      <c r="G707" s="204"/>
    </row>
    <row r="708" spans="2:12">
      <c r="B708" s="203"/>
      <c r="C708" s="197"/>
      <c r="D708" s="197"/>
      <c r="E708" s="197"/>
      <c r="F708" s="197"/>
      <c r="G708" s="204"/>
    </row>
    <row r="709" spans="2:12">
      <c r="B709" s="203"/>
      <c r="C709" s="2" t="s">
        <v>21</v>
      </c>
      <c r="D709" s="197"/>
      <c r="E709" s="197"/>
      <c r="F709" s="197"/>
      <c r="G709" s="204"/>
    </row>
    <row r="710" spans="2:12">
      <c r="B710" s="82" t="s">
        <v>336</v>
      </c>
      <c r="C710" s="198" t="s">
        <v>1434</v>
      </c>
      <c r="D710" s="197"/>
      <c r="E710" s="197"/>
      <c r="F710" s="197"/>
      <c r="G710" s="204"/>
    </row>
    <row r="711" spans="2:12">
      <c r="B711" s="82" t="s">
        <v>336</v>
      </c>
      <c r="C711" s="198" t="s">
        <v>1403</v>
      </c>
      <c r="D711" s="197"/>
      <c r="E711" s="197"/>
      <c r="F711" s="197"/>
      <c r="G711" s="204"/>
    </row>
    <row r="712" spans="2:12">
      <c r="B712" s="18"/>
      <c r="C712" s="39"/>
      <c r="D712" s="197"/>
      <c r="E712" s="197"/>
      <c r="F712" s="197"/>
      <c r="G712" s="204"/>
    </row>
    <row r="713" spans="2:12">
      <c r="B713" s="18"/>
      <c r="C713" s="15" t="s">
        <v>337</v>
      </c>
      <c r="D713" s="197"/>
      <c r="E713" s="197"/>
      <c r="F713" s="197"/>
      <c r="G713" s="204"/>
    </row>
    <row r="714" spans="2:12">
      <c r="B714" s="82" t="s">
        <v>352</v>
      </c>
      <c r="C714" s="198" t="s">
        <v>236</v>
      </c>
      <c r="D714" s="197"/>
      <c r="E714" s="197"/>
      <c r="F714" s="197"/>
      <c r="G714" s="204"/>
    </row>
    <row r="715" spans="2:12">
      <c r="B715" s="18"/>
      <c r="D715" s="197"/>
      <c r="E715" s="197"/>
      <c r="F715" s="197"/>
      <c r="G715" s="204"/>
    </row>
    <row r="716" spans="2:12">
      <c r="B716" s="18"/>
      <c r="C716" s="1" t="s">
        <v>22</v>
      </c>
      <c r="D716" s="197"/>
      <c r="E716" s="197"/>
      <c r="F716" s="197"/>
      <c r="G716" s="204"/>
    </row>
    <row r="717" spans="2:12">
      <c r="B717" s="82"/>
      <c r="C717" s="39" t="s">
        <v>339</v>
      </c>
      <c r="D717" s="197"/>
      <c r="E717" s="197"/>
      <c r="F717" s="197"/>
      <c r="G717" s="204"/>
    </row>
    <row r="718" spans="2:12">
      <c r="B718" s="203"/>
      <c r="D718" s="197"/>
      <c r="E718" s="197"/>
      <c r="F718" s="197"/>
      <c r="G718" s="204"/>
    </row>
    <row r="719" spans="2:12">
      <c r="B719" s="203"/>
      <c r="C719" s="1" t="s">
        <v>23</v>
      </c>
      <c r="D719" s="197"/>
      <c r="E719" s="197"/>
      <c r="F719" s="197"/>
      <c r="G719" s="204"/>
    </row>
    <row r="720" spans="2:12">
      <c r="B720" s="82"/>
      <c r="C720" s="66" t="s">
        <v>339</v>
      </c>
      <c r="D720" s="197"/>
      <c r="E720" s="197"/>
      <c r="F720" s="197"/>
      <c r="G720" s="204"/>
      <c r="J720" s="39"/>
      <c r="K720" s="15"/>
      <c r="L720" s="15"/>
    </row>
    <row r="721" spans="2:7">
      <c r="B721" s="82"/>
      <c r="C721" s="66"/>
      <c r="D721" s="197"/>
      <c r="E721" s="197"/>
      <c r="F721" s="197"/>
      <c r="G721" s="204"/>
    </row>
    <row r="722" spans="2:7" ht="13.5" thickBot="1">
      <c r="B722" s="163"/>
      <c r="C722" s="81"/>
      <c r="D722" s="206"/>
      <c r="E722" s="206"/>
      <c r="F722" s="206"/>
      <c r="G722" s="207"/>
    </row>
    <row r="723" spans="2:7" ht="13.5" thickBot="1">
      <c r="B723" s="234"/>
      <c r="C723" s="24"/>
      <c r="D723" s="24"/>
      <c r="E723" s="87"/>
      <c r="F723" s="24"/>
      <c r="G723" s="25"/>
    </row>
    <row r="724" spans="2:7" ht="13.5" thickBot="1">
      <c r="B724" s="236">
        <v>46221</v>
      </c>
      <c r="C724" s="237"/>
      <c r="D724" s="237"/>
      <c r="E724" s="237"/>
      <c r="F724" s="237"/>
      <c r="G724" s="238"/>
    </row>
    <row r="725" spans="2:7" ht="13.5" thickBot="1">
      <c r="B725" s="18"/>
      <c r="G725" s="6"/>
    </row>
    <row r="726" spans="2:7">
      <c r="B726" s="18"/>
      <c r="C726" s="21" t="s">
        <v>27</v>
      </c>
      <c r="D726" s="16"/>
      <c r="E726" s="80" t="s">
        <v>95</v>
      </c>
      <c r="F726" s="4">
        <v>15</v>
      </c>
      <c r="G726" s="6"/>
    </row>
    <row r="727" spans="2:7" ht="13.5" thickBot="1">
      <c r="B727" s="18"/>
      <c r="C727" s="7"/>
      <c r="D727" s="20"/>
      <c r="E727" s="83" t="s">
        <v>1</v>
      </c>
      <c r="F727" s="22">
        <v>36</v>
      </c>
      <c r="G727" s="6"/>
    </row>
    <row r="728" spans="2:7" ht="13.5" thickBot="1">
      <c r="B728" s="18"/>
      <c r="G728" s="6"/>
    </row>
    <row r="729" spans="2:7">
      <c r="B729" s="18"/>
      <c r="C729" s="3" t="s">
        <v>4</v>
      </c>
      <c r="D729" s="16"/>
      <c r="E729" s="80" t="s">
        <v>95</v>
      </c>
      <c r="F729" s="84"/>
      <c r="G729" s="6"/>
    </row>
    <row r="730" spans="2:7">
      <c r="B730" s="18"/>
      <c r="C730" s="5" t="s">
        <v>2</v>
      </c>
      <c r="E730" s="39" t="s">
        <v>326</v>
      </c>
      <c r="F730" s="6"/>
      <c r="G730" s="6"/>
    </row>
    <row r="731" spans="2:7" ht="13.5" thickBot="1">
      <c r="B731" s="18"/>
      <c r="C731" s="7" t="s">
        <v>3</v>
      </c>
      <c r="D731" s="20"/>
      <c r="E731" s="81" t="s">
        <v>344</v>
      </c>
      <c r="F731" s="9"/>
      <c r="G731" s="6"/>
    </row>
    <row r="732" spans="2:7" ht="13.5" thickBot="1">
      <c r="B732" s="18"/>
      <c r="G732" s="6"/>
    </row>
    <row r="733" spans="2:7" ht="13.5" thickBot="1">
      <c r="B733" s="18"/>
      <c r="C733" s="23" t="s">
        <v>29</v>
      </c>
      <c r="D733" s="24"/>
      <c r="E733" s="87" t="s">
        <v>317</v>
      </c>
      <c r="F733" s="25"/>
      <c r="G733" s="6"/>
    </row>
    <row r="734" spans="2:7">
      <c r="B734" s="18"/>
      <c r="G734" s="6"/>
    </row>
    <row r="735" spans="2:7">
      <c r="B735" s="203"/>
      <c r="C735" t="s">
        <v>5</v>
      </c>
      <c r="D735" s="197"/>
      <c r="E735" s="197"/>
      <c r="F735" s="197"/>
      <c r="G735" s="204"/>
    </row>
    <row r="736" spans="2:7">
      <c r="B736" s="203"/>
      <c r="D736" s="197"/>
      <c r="E736" s="197"/>
      <c r="F736" s="197"/>
      <c r="G736" s="204"/>
    </row>
    <row r="737" spans="2:12">
      <c r="B737" s="5">
        <v>1</v>
      </c>
      <c r="C737" s="39" t="s">
        <v>1172</v>
      </c>
      <c r="D737" s="197"/>
      <c r="E737" s="197"/>
      <c r="F737" s="197"/>
      <c r="G737" s="204"/>
      <c r="J737" s="39"/>
    </row>
    <row r="738" spans="2:12">
      <c r="B738" s="5">
        <v>2</v>
      </c>
      <c r="C738" s="39" t="s">
        <v>1434</v>
      </c>
      <c r="D738" s="197"/>
      <c r="E738" s="197"/>
      <c r="F738" s="197"/>
      <c r="G738" s="204"/>
      <c r="L738" s="199"/>
    </row>
    <row r="739" spans="2:12">
      <c r="B739" s="5">
        <v>3</v>
      </c>
      <c r="C739" s="39" t="s">
        <v>1476</v>
      </c>
      <c r="D739" s="197"/>
      <c r="E739" s="197"/>
      <c r="F739" s="197"/>
      <c r="G739" s="204"/>
    </row>
    <row r="740" spans="2:12">
      <c r="B740" s="5">
        <v>4</v>
      </c>
      <c r="C740" s="39" t="s">
        <v>1329</v>
      </c>
      <c r="D740" s="197"/>
      <c r="E740" s="197"/>
      <c r="F740" s="197"/>
      <c r="G740" s="204"/>
    </row>
    <row r="741" spans="2:12">
      <c r="B741" s="5">
        <v>5</v>
      </c>
      <c r="C741" s="39" t="s">
        <v>207</v>
      </c>
      <c r="D741" s="197"/>
      <c r="E741" s="197"/>
      <c r="F741" s="197"/>
      <c r="G741" s="204"/>
    </row>
    <row r="742" spans="2:12">
      <c r="B742" s="5">
        <v>6</v>
      </c>
      <c r="C742" s="39" t="s">
        <v>211</v>
      </c>
      <c r="D742" s="197"/>
      <c r="E742" s="197"/>
      <c r="F742" s="197"/>
      <c r="G742" s="204"/>
    </row>
    <row r="743" spans="2:12">
      <c r="B743" s="5">
        <v>7</v>
      </c>
      <c r="C743" s="39" t="s">
        <v>1286</v>
      </c>
      <c r="D743" s="197"/>
      <c r="E743" s="197"/>
      <c r="F743" s="197"/>
      <c r="G743" s="204"/>
    </row>
    <row r="744" spans="2:12">
      <c r="B744" s="5">
        <v>8</v>
      </c>
      <c r="C744" s="39" t="s">
        <v>1315</v>
      </c>
      <c r="D744" s="197"/>
      <c r="E744" s="197"/>
      <c r="F744" s="197"/>
      <c r="G744" s="204"/>
    </row>
    <row r="745" spans="2:12">
      <c r="B745" s="5">
        <v>9</v>
      </c>
      <c r="C745" s="39" t="s">
        <v>214</v>
      </c>
      <c r="D745" s="197"/>
      <c r="E745" s="197"/>
      <c r="F745" s="197"/>
      <c r="G745" s="204"/>
    </row>
    <row r="746" spans="2:12">
      <c r="B746" s="5">
        <v>10</v>
      </c>
      <c r="C746" s="39" t="s">
        <v>1112</v>
      </c>
      <c r="D746" s="197"/>
      <c r="E746" s="197"/>
      <c r="F746" s="197"/>
      <c r="G746" s="204"/>
    </row>
    <row r="747" spans="2:12">
      <c r="B747" s="5">
        <v>11</v>
      </c>
      <c r="C747" s="39" t="s">
        <v>1403</v>
      </c>
      <c r="D747" s="197"/>
      <c r="E747" s="197"/>
      <c r="F747" s="197"/>
      <c r="G747" s="204"/>
    </row>
    <row r="748" spans="2:12">
      <c r="B748" s="5">
        <v>12</v>
      </c>
      <c r="C748" s="39" t="s">
        <v>142</v>
      </c>
      <c r="D748" s="197"/>
      <c r="E748" s="197"/>
      <c r="F748" s="197"/>
      <c r="G748" s="204"/>
    </row>
    <row r="749" spans="2:12">
      <c r="B749" s="5">
        <v>13</v>
      </c>
      <c r="C749" s="39" t="s">
        <v>1198</v>
      </c>
      <c r="D749" s="197"/>
      <c r="E749" s="197"/>
      <c r="F749" s="197"/>
      <c r="G749" s="204"/>
    </row>
    <row r="750" spans="2:12">
      <c r="B750" s="5">
        <v>14</v>
      </c>
      <c r="C750" s="39" t="s">
        <v>1491</v>
      </c>
      <c r="D750" s="197"/>
      <c r="E750" s="197"/>
      <c r="F750" s="197"/>
      <c r="G750" s="204"/>
    </row>
    <row r="751" spans="2:12">
      <c r="B751" s="5">
        <v>15</v>
      </c>
      <c r="C751" s="39" t="s">
        <v>1340</v>
      </c>
      <c r="D751" s="197"/>
      <c r="E751" s="197"/>
      <c r="F751" s="197"/>
      <c r="G751" s="204"/>
    </row>
    <row r="752" spans="2:12">
      <c r="B752" s="203"/>
      <c r="C752" s="197"/>
      <c r="D752" s="197"/>
      <c r="E752" s="197"/>
      <c r="F752" s="197"/>
      <c r="G752" s="204"/>
    </row>
    <row r="753" spans="2:7">
      <c r="B753" s="203"/>
      <c r="C753" s="39" t="s">
        <v>325</v>
      </c>
      <c r="D753" s="197"/>
      <c r="E753" s="197"/>
      <c r="F753" s="197"/>
      <c r="G753" s="204"/>
    </row>
    <row r="754" spans="2:7">
      <c r="B754" s="203"/>
      <c r="C754" s="198" t="s">
        <v>1551</v>
      </c>
      <c r="D754" s="197"/>
      <c r="E754" s="197"/>
      <c r="F754" s="197"/>
      <c r="G754" s="204"/>
    </row>
    <row r="755" spans="2:7">
      <c r="B755" s="203"/>
      <c r="C755" s="198" t="s">
        <v>1238</v>
      </c>
      <c r="D755" s="197"/>
      <c r="E755" s="197"/>
      <c r="F755" s="197"/>
      <c r="G755" s="204"/>
    </row>
    <row r="756" spans="2:7">
      <c r="B756" s="203"/>
      <c r="C756" s="197"/>
      <c r="D756" s="197"/>
      <c r="E756" s="197"/>
      <c r="F756" s="197"/>
      <c r="G756" s="204"/>
    </row>
    <row r="757" spans="2:7">
      <c r="B757" s="203"/>
      <c r="C757" s="2" t="s">
        <v>21</v>
      </c>
      <c r="D757" s="197"/>
      <c r="E757" s="197"/>
      <c r="F757" s="197"/>
      <c r="G757" s="204"/>
    </row>
    <row r="758" spans="2:7">
      <c r="B758" s="82"/>
      <c r="C758" s="198" t="s">
        <v>339</v>
      </c>
      <c r="D758" s="197"/>
      <c r="E758" s="197"/>
      <c r="F758" s="197"/>
      <c r="G758" s="204"/>
    </row>
    <row r="759" spans="2:7">
      <c r="B759" s="82"/>
      <c r="C759" s="198"/>
      <c r="D759" s="197"/>
      <c r="E759" s="197"/>
      <c r="F759" s="197"/>
      <c r="G759" s="204"/>
    </row>
    <row r="760" spans="2:7">
      <c r="B760" s="18"/>
      <c r="C760" s="39"/>
      <c r="D760" s="197"/>
      <c r="E760" s="197"/>
      <c r="F760" s="197"/>
      <c r="G760" s="204"/>
    </row>
    <row r="761" spans="2:7">
      <c r="B761" s="18"/>
      <c r="C761" s="15" t="s">
        <v>337</v>
      </c>
      <c r="D761" s="197"/>
      <c r="E761" s="197"/>
      <c r="F761" s="197"/>
      <c r="G761" s="204"/>
    </row>
    <row r="762" spans="2:7">
      <c r="B762" s="82"/>
      <c r="C762" s="198" t="s">
        <v>339</v>
      </c>
      <c r="D762" s="197"/>
      <c r="E762" s="197"/>
      <c r="F762" s="197"/>
      <c r="G762" s="204"/>
    </row>
    <row r="763" spans="2:7">
      <c r="B763" s="18"/>
      <c r="D763" s="197"/>
      <c r="E763" s="197"/>
      <c r="F763" s="197"/>
      <c r="G763" s="204"/>
    </row>
    <row r="764" spans="2:7">
      <c r="B764" s="18"/>
      <c r="C764" s="1" t="s">
        <v>22</v>
      </c>
      <c r="D764" s="197"/>
      <c r="E764" s="197"/>
      <c r="F764" s="197"/>
      <c r="G764" s="204"/>
    </row>
    <row r="765" spans="2:7">
      <c r="B765" s="82"/>
      <c r="C765" s="39" t="s">
        <v>339</v>
      </c>
      <c r="D765" s="197"/>
      <c r="E765" s="197"/>
      <c r="F765" s="197"/>
      <c r="G765" s="204"/>
    </row>
    <row r="766" spans="2:7">
      <c r="B766" s="203"/>
      <c r="D766" s="197"/>
      <c r="E766" s="197"/>
      <c r="F766" s="197"/>
      <c r="G766" s="204"/>
    </row>
    <row r="767" spans="2:7">
      <c r="B767" s="203"/>
      <c r="C767" s="1" t="s">
        <v>23</v>
      </c>
      <c r="D767" s="197"/>
      <c r="E767" s="197"/>
      <c r="F767" s="197"/>
      <c r="G767" s="204"/>
    </row>
    <row r="768" spans="2:7">
      <c r="B768" s="82"/>
      <c r="C768" s="66" t="s">
        <v>1476</v>
      </c>
      <c r="D768" s="197"/>
      <c r="E768" s="197"/>
      <c r="F768" s="197"/>
      <c r="G768" s="204"/>
    </row>
    <row r="769" spans="2:7">
      <c r="B769" s="82"/>
      <c r="C769" s="66" t="s">
        <v>33</v>
      </c>
      <c r="D769" s="197"/>
      <c r="E769" s="197"/>
      <c r="F769" s="197"/>
      <c r="G769" s="204"/>
    </row>
    <row r="770" spans="2:7">
      <c r="B770" s="82"/>
      <c r="C770" s="66" t="s">
        <v>1340</v>
      </c>
      <c r="D770" s="197"/>
      <c r="E770" s="197"/>
      <c r="F770" s="197"/>
      <c r="G770" s="204"/>
    </row>
    <row r="771" spans="2:7">
      <c r="B771" s="82"/>
      <c r="C771" s="66"/>
      <c r="D771" s="197"/>
      <c r="E771" s="197"/>
      <c r="F771" s="197"/>
      <c r="G771" s="204"/>
    </row>
    <row r="772" spans="2:7" ht="13.5" thickBot="1">
      <c r="B772" s="163"/>
      <c r="C772" s="81"/>
      <c r="D772" s="206"/>
      <c r="E772" s="206"/>
      <c r="F772" s="206"/>
      <c r="G772" s="207"/>
    </row>
    <row r="773" spans="2:7" ht="13.5" thickBot="1">
      <c r="B773" s="18"/>
      <c r="C773" s="24"/>
      <c r="D773" s="24"/>
      <c r="E773" s="87"/>
      <c r="F773" s="24"/>
      <c r="G773" s="6"/>
    </row>
    <row r="774" spans="2:7" ht="13.5" thickBot="1">
      <c r="B774" s="236">
        <v>46235</v>
      </c>
      <c r="C774" s="237"/>
      <c r="D774" s="237"/>
      <c r="E774" s="237"/>
      <c r="F774" s="237"/>
      <c r="G774" s="238"/>
    </row>
    <row r="775" spans="2:7" ht="13.5" thickBot="1">
      <c r="B775" s="18"/>
      <c r="G775" s="6"/>
    </row>
    <row r="776" spans="2:7">
      <c r="B776" s="18"/>
      <c r="C776" s="21" t="s">
        <v>27</v>
      </c>
      <c r="D776" s="16"/>
      <c r="E776" s="80" t="s">
        <v>1</v>
      </c>
      <c r="F776" s="4">
        <v>22</v>
      </c>
      <c r="G776" s="6"/>
    </row>
    <row r="777" spans="2:7" ht="13.5" thickBot="1">
      <c r="B777" s="18"/>
      <c r="C777" s="7"/>
      <c r="D777" s="20"/>
      <c r="E777" s="83" t="s">
        <v>114</v>
      </c>
      <c r="F777" s="22">
        <v>23</v>
      </c>
      <c r="G777" s="6"/>
    </row>
    <row r="778" spans="2:7" ht="13.5" thickBot="1">
      <c r="B778" s="18"/>
      <c r="G778" s="6"/>
    </row>
    <row r="779" spans="2:7">
      <c r="B779" s="18"/>
      <c r="C779" s="3" t="s">
        <v>4</v>
      </c>
      <c r="D779" s="16"/>
      <c r="E779" s="80" t="s">
        <v>1</v>
      </c>
      <c r="F779" s="84" t="s">
        <v>205</v>
      </c>
      <c r="G779" s="6"/>
    </row>
    <row r="780" spans="2:7">
      <c r="B780" s="18"/>
      <c r="C780" s="5" t="s">
        <v>2</v>
      </c>
      <c r="E780" s="39" t="s">
        <v>404</v>
      </c>
      <c r="F780" s="6"/>
      <c r="G780" s="6"/>
    </row>
    <row r="781" spans="2:7" ht="13.5" thickBot="1">
      <c r="B781" s="18"/>
      <c r="C781" s="7" t="s">
        <v>3</v>
      </c>
      <c r="D781" s="20"/>
      <c r="E781" s="81" t="s">
        <v>757</v>
      </c>
      <c r="F781" s="9"/>
      <c r="G781" s="6"/>
    </row>
    <row r="782" spans="2:7" ht="13.5" thickBot="1">
      <c r="B782" s="18"/>
      <c r="G782" s="6"/>
    </row>
    <row r="783" spans="2:7" ht="13.5" thickBot="1">
      <c r="B783" s="18"/>
      <c r="C783" s="23" t="s">
        <v>29</v>
      </c>
      <c r="D783" s="24"/>
      <c r="E783" s="87" t="s">
        <v>1461</v>
      </c>
      <c r="F783" s="25"/>
      <c r="G783" s="6"/>
    </row>
    <row r="784" spans="2:7">
      <c r="B784" s="18"/>
      <c r="G784" s="6"/>
    </row>
    <row r="785" spans="2:7">
      <c r="B785" s="203"/>
      <c r="C785" t="s">
        <v>5</v>
      </c>
      <c r="D785" s="197"/>
      <c r="E785" s="197"/>
      <c r="F785" s="197"/>
      <c r="G785" s="204"/>
    </row>
    <row r="786" spans="2:7">
      <c r="B786" s="203"/>
      <c r="D786" s="197"/>
      <c r="E786" s="197"/>
      <c r="F786" s="197"/>
      <c r="G786" s="204"/>
    </row>
    <row r="787" spans="2:7">
      <c r="B787" s="5">
        <v>1</v>
      </c>
      <c r="C787" s="39" t="s">
        <v>1172</v>
      </c>
      <c r="D787" s="197"/>
      <c r="E787" s="197"/>
      <c r="F787" s="197"/>
      <c r="G787" s="204"/>
    </row>
    <row r="788" spans="2:7">
      <c r="B788" s="5">
        <v>2</v>
      </c>
      <c r="C788" s="39" t="s">
        <v>1434</v>
      </c>
      <c r="D788" s="197"/>
      <c r="E788" s="197"/>
      <c r="F788" s="197"/>
      <c r="G788" s="204"/>
    </row>
    <row r="789" spans="2:7">
      <c r="B789" s="5">
        <v>3</v>
      </c>
      <c r="C789" s="39" t="s">
        <v>1476</v>
      </c>
      <c r="D789" s="197"/>
      <c r="E789" s="197"/>
      <c r="F789" s="197"/>
      <c r="G789" s="204"/>
    </row>
    <row r="790" spans="2:7">
      <c r="B790" s="5">
        <v>4</v>
      </c>
      <c r="C790" s="39" t="s">
        <v>1329</v>
      </c>
      <c r="D790" s="197"/>
      <c r="E790" s="197"/>
      <c r="F790" s="197"/>
      <c r="G790" s="204"/>
    </row>
    <row r="791" spans="2:7">
      <c r="B791" s="5">
        <v>5</v>
      </c>
      <c r="C791" s="39" t="s">
        <v>207</v>
      </c>
      <c r="D791" s="197"/>
      <c r="E791" s="197"/>
      <c r="F791" s="197"/>
      <c r="G791" s="204"/>
    </row>
    <row r="792" spans="2:7">
      <c r="B792" s="5">
        <v>6</v>
      </c>
      <c r="C792" s="39" t="s">
        <v>211</v>
      </c>
      <c r="D792" s="197"/>
      <c r="E792" s="197"/>
      <c r="F792" s="197"/>
      <c r="G792" s="204"/>
    </row>
    <row r="793" spans="2:7">
      <c r="B793" s="5">
        <v>7</v>
      </c>
      <c r="C793" s="39" t="s">
        <v>1286</v>
      </c>
      <c r="D793" s="197"/>
      <c r="E793" s="197"/>
      <c r="F793" s="197"/>
      <c r="G793" s="204"/>
    </row>
    <row r="794" spans="2:7">
      <c r="B794" s="5">
        <v>8</v>
      </c>
      <c r="C794" s="39" t="s">
        <v>1096</v>
      </c>
      <c r="D794" s="197"/>
      <c r="E794" s="197"/>
      <c r="F794" s="197"/>
      <c r="G794" s="204"/>
    </row>
    <row r="795" spans="2:7">
      <c r="B795" s="5">
        <v>9</v>
      </c>
      <c r="C795" s="39" t="s">
        <v>214</v>
      </c>
      <c r="D795" s="197"/>
      <c r="E795" s="197"/>
      <c r="F795" s="197"/>
      <c r="G795" s="204"/>
    </row>
    <row r="796" spans="2:7">
      <c r="B796" s="5">
        <v>10</v>
      </c>
      <c r="C796" s="39" t="s">
        <v>1112</v>
      </c>
      <c r="D796" s="197"/>
      <c r="E796" s="197"/>
      <c r="F796" s="197"/>
      <c r="G796" s="204"/>
    </row>
    <row r="797" spans="2:7">
      <c r="B797" s="5">
        <v>11</v>
      </c>
      <c r="C797" s="39" t="s">
        <v>1533</v>
      </c>
      <c r="D797" s="197"/>
      <c r="E797" s="197"/>
      <c r="F797" s="197"/>
      <c r="G797" s="204"/>
    </row>
    <row r="798" spans="2:7">
      <c r="B798" s="5">
        <v>12</v>
      </c>
      <c r="C798" s="39" t="s">
        <v>142</v>
      </c>
      <c r="D798" s="197"/>
      <c r="E798" s="197"/>
      <c r="F798" s="197"/>
      <c r="G798" s="204"/>
    </row>
    <row r="799" spans="2:7">
      <c r="B799" s="5">
        <v>13</v>
      </c>
      <c r="C799" s="39" t="s">
        <v>1198</v>
      </c>
      <c r="D799" s="197"/>
      <c r="E799" s="197"/>
      <c r="F799" s="197"/>
      <c r="G799" s="204"/>
    </row>
    <row r="800" spans="2:7">
      <c r="B800" s="5">
        <v>14</v>
      </c>
      <c r="C800" s="39" t="s">
        <v>1491</v>
      </c>
      <c r="D800" s="197"/>
      <c r="E800" s="197"/>
      <c r="F800" s="197"/>
      <c r="G800" s="204"/>
    </row>
    <row r="801" spans="2:7">
      <c r="B801" s="5">
        <v>15</v>
      </c>
      <c r="C801" s="39" t="s">
        <v>1340</v>
      </c>
      <c r="D801" s="197"/>
      <c r="E801" s="197"/>
      <c r="F801" s="197"/>
      <c r="G801" s="204"/>
    </row>
    <row r="802" spans="2:7">
      <c r="B802" s="203"/>
      <c r="C802" s="197"/>
      <c r="D802" s="197"/>
      <c r="E802" s="197"/>
      <c r="F802" s="197"/>
      <c r="G802" s="204"/>
    </row>
    <row r="803" spans="2:7">
      <c r="B803" s="203"/>
      <c r="C803" s="39" t="s">
        <v>325</v>
      </c>
      <c r="D803" s="197"/>
      <c r="E803" s="197"/>
      <c r="F803" s="197"/>
      <c r="G803" s="204"/>
    </row>
    <row r="804" spans="2:7">
      <c r="B804" s="203"/>
      <c r="C804" s="198" t="s">
        <v>1289</v>
      </c>
      <c r="D804" s="197"/>
      <c r="E804" s="197"/>
      <c r="F804" s="197"/>
      <c r="G804" s="204"/>
    </row>
    <row r="805" spans="2:7">
      <c r="B805" s="203"/>
      <c r="C805" s="198" t="s">
        <v>1428</v>
      </c>
      <c r="D805" s="197"/>
      <c r="E805" s="197"/>
      <c r="F805" s="197"/>
      <c r="G805" s="204"/>
    </row>
    <row r="806" spans="2:7">
      <c r="B806" s="203"/>
      <c r="C806" s="198" t="s">
        <v>1557</v>
      </c>
      <c r="D806" s="197"/>
      <c r="E806" s="197"/>
      <c r="F806" s="197"/>
      <c r="G806" s="204"/>
    </row>
    <row r="807" spans="2:7">
      <c r="B807" s="203"/>
      <c r="C807" s="198" t="s">
        <v>1543</v>
      </c>
      <c r="D807" s="197"/>
      <c r="E807" s="197"/>
      <c r="F807" s="197"/>
      <c r="G807" s="204"/>
    </row>
    <row r="808" spans="2:7">
      <c r="B808" s="203"/>
      <c r="C808" s="198" t="s">
        <v>1516</v>
      </c>
      <c r="D808" s="197"/>
      <c r="E808" s="197"/>
      <c r="F808" s="197"/>
      <c r="G808" s="204"/>
    </row>
    <row r="809" spans="2:7">
      <c r="B809" s="203"/>
      <c r="C809" s="197"/>
      <c r="D809" s="197"/>
      <c r="E809" s="197"/>
      <c r="F809" s="197"/>
      <c r="G809" s="204"/>
    </row>
    <row r="810" spans="2:7">
      <c r="B810" s="203"/>
      <c r="C810" s="2" t="s">
        <v>21</v>
      </c>
      <c r="D810" s="197"/>
      <c r="E810" s="197"/>
      <c r="F810" s="197"/>
      <c r="G810" s="204"/>
    </row>
    <row r="811" spans="2:7">
      <c r="B811" s="82" t="s">
        <v>336</v>
      </c>
      <c r="C811" s="198" t="s">
        <v>1096</v>
      </c>
      <c r="D811" s="197"/>
      <c r="E811" s="197"/>
      <c r="F811" s="197"/>
      <c r="G811" s="204"/>
    </row>
    <row r="812" spans="2:7">
      <c r="B812" s="82" t="s">
        <v>336</v>
      </c>
      <c r="C812" s="198" t="s">
        <v>1434</v>
      </c>
      <c r="D812" s="197"/>
      <c r="E812" s="197"/>
      <c r="F812" s="197"/>
      <c r="G812" s="204"/>
    </row>
    <row r="813" spans="2:7">
      <c r="B813" s="82" t="s">
        <v>336</v>
      </c>
      <c r="C813" s="198" t="s">
        <v>33</v>
      </c>
      <c r="D813" s="197"/>
      <c r="E813" s="197"/>
      <c r="F813" s="197"/>
      <c r="G813" s="204"/>
    </row>
    <row r="814" spans="2:7">
      <c r="B814" s="18"/>
      <c r="C814" s="39"/>
      <c r="D814" s="197"/>
      <c r="E814" s="197"/>
      <c r="F814" s="197"/>
      <c r="G814" s="204"/>
    </row>
    <row r="815" spans="2:7">
      <c r="B815" s="18"/>
      <c r="C815" s="15" t="s">
        <v>337</v>
      </c>
      <c r="D815" s="197"/>
      <c r="E815" s="197"/>
      <c r="F815" s="197"/>
      <c r="G815" s="204"/>
    </row>
    <row r="816" spans="2:7">
      <c r="B816" s="82" t="s">
        <v>336</v>
      </c>
      <c r="C816" s="198" t="s">
        <v>236</v>
      </c>
      <c r="D816" s="197"/>
      <c r="E816" s="197"/>
      <c r="F816" s="197"/>
      <c r="G816" s="204"/>
    </row>
    <row r="817" spans="2:7">
      <c r="B817" s="18"/>
      <c r="D817" s="197"/>
      <c r="E817" s="197"/>
      <c r="F817" s="197"/>
      <c r="G817" s="204"/>
    </row>
    <row r="818" spans="2:7">
      <c r="B818" s="18"/>
      <c r="C818" s="1" t="s">
        <v>22</v>
      </c>
      <c r="D818" s="197"/>
      <c r="E818" s="197"/>
      <c r="F818" s="197"/>
      <c r="G818" s="204"/>
    </row>
    <row r="819" spans="2:7">
      <c r="B819" s="82" t="s">
        <v>336</v>
      </c>
      <c r="C819" s="39" t="s">
        <v>236</v>
      </c>
      <c r="D819" s="197"/>
      <c r="E819" s="197"/>
      <c r="F819" s="197"/>
      <c r="G819" s="204"/>
    </row>
    <row r="820" spans="2:7">
      <c r="B820" s="203"/>
      <c r="D820" s="197"/>
      <c r="E820" s="197"/>
      <c r="F820" s="197"/>
      <c r="G820" s="204"/>
    </row>
    <row r="821" spans="2:7">
      <c r="B821" s="203"/>
      <c r="C821" s="1" t="s">
        <v>23</v>
      </c>
      <c r="D821" s="197"/>
      <c r="E821" s="197"/>
      <c r="F821" s="197"/>
      <c r="G821" s="204"/>
    </row>
    <row r="822" spans="2:7">
      <c r="B822" s="82"/>
      <c r="C822" s="66" t="s">
        <v>339</v>
      </c>
      <c r="D822" s="197"/>
      <c r="E822" s="197"/>
      <c r="F822" s="197"/>
      <c r="G822" s="204"/>
    </row>
    <row r="823" spans="2:7" ht="13.5" thickBot="1">
      <c r="B823" s="163"/>
      <c r="C823" s="81"/>
      <c r="D823" s="206"/>
      <c r="E823" s="206"/>
      <c r="F823" s="206"/>
      <c r="G823" s="207"/>
    </row>
    <row r="824" spans="2:7" ht="13.5" thickBot="1">
      <c r="B824" s="234"/>
      <c r="C824" s="24"/>
      <c r="D824" s="24"/>
      <c r="E824" s="87"/>
      <c r="F824" s="24"/>
      <c r="G824" s="25"/>
    </row>
    <row r="825" spans="2:7" ht="13.5" thickBot="1">
      <c r="B825" s="236">
        <v>46249</v>
      </c>
      <c r="C825" s="237"/>
      <c r="D825" s="237"/>
      <c r="E825" s="237"/>
      <c r="F825" s="237"/>
      <c r="G825" s="238"/>
    </row>
    <row r="826" spans="2:7" ht="13.5" thickBot="1">
      <c r="B826" s="18"/>
      <c r="G826" s="6"/>
    </row>
    <row r="827" spans="2:7">
      <c r="B827" s="18"/>
      <c r="C827" s="21" t="s">
        <v>27</v>
      </c>
      <c r="D827" s="16"/>
      <c r="E827" s="80" t="s">
        <v>170</v>
      </c>
      <c r="F827" s="4">
        <v>31</v>
      </c>
      <c r="G827" s="6"/>
    </row>
    <row r="828" spans="2:7" ht="13.5" thickBot="1">
      <c r="B828" s="18"/>
      <c r="C828" s="7"/>
      <c r="D828" s="20"/>
      <c r="E828" s="83" t="s">
        <v>1</v>
      </c>
      <c r="F828" s="22">
        <v>23</v>
      </c>
      <c r="G828" s="6"/>
    </row>
    <row r="829" spans="2:7" ht="13.5" thickBot="1">
      <c r="B829" s="18"/>
      <c r="G829" s="6"/>
    </row>
    <row r="830" spans="2:7">
      <c r="B830" s="18"/>
      <c r="C830" s="3" t="s">
        <v>4</v>
      </c>
      <c r="D830" s="16"/>
      <c r="E830" s="80" t="s">
        <v>170</v>
      </c>
      <c r="F830" s="84"/>
      <c r="G830" s="6"/>
    </row>
    <row r="831" spans="2:7">
      <c r="B831" s="18"/>
      <c r="C831" s="5" t="s">
        <v>2</v>
      </c>
      <c r="E831" s="39" t="s">
        <v>404</v>
      </c>
      <c r="F831" s="6"/>
      <c r="G831" s="6"/>
    </row>
    <row r="832" spans="2:7" ht="13.5" thickBot="1">
      <c r="B832" s="18"/>
      <c r="C832" s="7" t="s">
        <v>3</v>
      </c>
      <c r="D832" s="20"/>
      <c r="E832" s="81" t="s">
        <v>344</v>
      </c>
      <c r="F832" s="9"/>
      <c r="G832" s="6"/>
    </row>
    <row r="833" spans="2:7" ht="13.5" thickBot="1">
      <c r="B833" s="18"/>
      <c r="G833" s="6"/>
    </row>
    <row r="834" spans="2:7" ht="13.5" thickBot="1">
      <c r="B834" s="18"/>
      <c r="C834" s="23" t="s">
        <v>29</v>
      </c>
      <c r="D834" s="24"/>
      <c r="E834" s="87" t="s">
        <v>1558</v>
      </c>
      <c r="F834" s="25"/>
      <c r="G834" s="6"/>
    </row>
    <row r="835" spans="2:7">
      <c r="B835" s="18"/>
      <c r="G835" s="6"/>
    </row>
    <row r="836" spans="2:7">
      <c r="B836" s="203"/>
      <c r="C836" t="s">
        <v>5</v>
      </c>
      <c r="D836" s="197"/>
      <c r="E836" s="197"/>
      <c r="F836" s="197"/>
      <c r="G836" s="204"/>
    </row>
    <row r="837" spans="2:7">
      <c r="B837" s="203"/>
      <c r="D837" s="197"/>
      <c r="E837" s="197"/>
      <c r="F837" s="197"/>
      <c r="G837" s="204"/>
    </row>
    <row r="838" spans="2:7">
      <c r="B838" s="5">
        <v>1</v>
      </c>
      <c r="C838" s="39" t="s">
        <v>1172</v>
      </c>
      <c r="D838" s="197"/>
      <c r="E838" s="197"/>
      <c r="F838" s="197"/>
      <c r="G838" s="204"/>
    </row>
    <row r="839" spans="2:7">
      <c r="B839" s="5">
        <v>2</v>
      </c>
      <c r="C839" s="39" t="s">
        <v>1434</v>
      </c>
      <c r="D839" s="197"/>
      <c r="E839" s="197"/>
      <c r="F839" s="197"/>
      <c r="G839" s="204"/>
    </row>
    <row r="840" spans="2:7">
      <c r="B840" s="5">
        <v>3</v>
      </c>
      <c r="C840" s="39" t="s">
        <v>1476</v>
      </c>
      <c r="D840" s="197"/>
      <c r="E840" s="197"/>
      <c r="F840" s="197"/>
      <c r="G840" s="204"/>
    </row>
    <row r="841" spans="2:7">
      <c r="B841" s="5">
        <v>4</v>
      </c>
      <c r="C841" s="39" t="s">
        <v>1329</v>
      </c>
      <c r="D841" s="197"/>
      <c r="E841" s="197"/>
      <c r="F841" s="197"/>
      <c r="G841" s="204"/>
    </row>
    <row r="842" spans="2:7">
      <c r="B842" s="5">
        <v>5</v>
      </c>
      <c r="C842" s="39" t="s">
        <v>207</v>
      </c>
      <c r="D842" s="197"/>
      <c r="E842" s="197"/>
      <c r="F842" s="197"/>
      <c r="G842" s="204"/>
    </row>
    <row r="843" spans="2:7">
      <c r="B843" s="5">
        <v>6</v>
      </c>
      <c r="C843" s="39" t="s">
        <v>211</v>
      </c>
      <c r="D843" s="197"/>
      <c r="E843" s="197"/>
      <c r="F843" s="197"/>
      <c r="G843" s="204"/>
    </row>
    <row r="844" spans="2:7">
      <c r="B844" s="5">
        <v>7</v>
      </c>
      <c r="C844" s="39" t="s">
        <v>1286</v>
      </c>
      <c r="D844" s="197"/>
      <c r="E844" s="197"/>
      <c r="F844" s="197"/>
      <c r="G844" s="204"/>
    </row>
    <row r="845" spans="2:7">
      <c r="B845" s="5">
        <v>8</v>
      </c>
      <c r="C845" s="39" t="s">
        <v>1096</v>
      </c>
      <c r="D845" s="197"/>
      <c r="E845" s="197"/>
      <c r="F845" s="197"/>
      <c r="G845" s="204"/>
    </row>
    <row r="846" spans="2:7">
      <c r="B846" s="5">
        <v>9</v>
      </c>
      <c r="C846" s="39" t="s">
        <v>214</v>
      </c>
      <c r="D846" s="197"/>
      <c r="E846" s="197"/>
      <c r="F846" s="197"/>
      <c r="G846" s="204"/>
    </row>
    <row r="847" spans="2:7">
      <c r="B847" s="5">
        <v>10</v>
      </c>
      <c r="C847" s="39" t="s">
        <v>1112</v>
      </c>
      <c r="D847" s="197"/>
      <c r="E847" s="197"/>
      <c r="F847" s="197"/>
      <c r="G847" s="204"/>
    </row>
    <row r="848" spans="2:7">
      <c r="B848" s="5">
        <v>11</v>
      </c>
      <c r="C848" s="39" t="s">
        <v>1533</v>
      </c>
      <c r="D848" s="197"/>
      <c r="E848" s="197"/>
      <c r="F848" s="197"/>
      <c r="G848" s="204"/>
    </row>
    <row r="849" spans="2:7">
      <c r="B849" s="5">
        <v>12</v>
      </c>
      <c r="C849" s="39" t="s">
        <v>142</v>
      </c>
      <c r="D849" s="197"/>
      <c r="E849" s="197"/>
      <c r="F849" s="197"/>
      <c r="G849" s="204"/>
    </row>
    <row r="850" spans="2:7">
      <c r="B850" s="5">
        <v>13</v>
      </c>
      <c r="C850" s="39" t="s">
        <v>1198</v>
      </c>
      <c r="D850" s="197"/>
      <c r="E850" s="197"/>
      <c r="F850" s="197"/>
      <c r="G850" s="204"/>
    </row>
    <row r="851" spans="2:7">
      <c r="B851" s="5">
        <v>14</v>
      </c>
      <c r="C851" s="39" t="s">
        <v>1491</v>
      </c>
      <c r="D851" s="197"/>
      <c r="E851" s="197"/>
      <c r="F851" s="197"/>
      <c r="G851" s="204"/>
    </row>
    <row r="852" spans="2:7">
      <c r="B852" s="5">
        <v>15</v>
      </c>
      <c r="C852" s="39" t="s">
        <v>1340</v>
      </c>
      <c r="D852" s="197"/>
      <c r="E852" s="197"/>
      <c r="F852" s="197"/>
      <c r="G852" s="204"/>
    </row>
    <row r="853" spans="2:7">
      <c r="B853" s="203"/>
      <c r="C853" s="197"/>
      <c r="D853" s="197"/>
      <c r="E853" s="197"/>
      <c r="F853" s="197"/>
      <c r="G853" s="204"/>
    </row>
    <row r="854" spans="2:7">
      <c r="B854" s="203"/>
      <c r="C854" s="39" t="s">
        <v>325</v>
      </c>
      <c r="D854" s="197"/>
      <c r="E854" s="197"/>
      <c r="F854" s="197"/>
      <c r="G854" s="204"/>
    </row>
    <row r="855" spans="2:7">
      <c r="B855" s="203"/>
      <c r="C855" s="198" t="s">
        <v>1289</v>
      </c>
      <c r="D855" s="197"/>
      <c r="E855" s="197"/>
      <c r="F855" s="197"/>
      <c r="G855" s="204"/>
    </row>
    <row r="856" spans="2:7">
      <c r="B856" s="203"/>
      <c r="C856" s="198" t="s">
        <v>1561</v>
      </c>
      <c r="D856" s="197"/>
      <c r="E856" s="197"/>
      <c r="F856" s="197"/>
      <c r="G856" s="204"/>
    </row>
    <row r="857" spans="2:7">
      <c r="B857" s="203"/>
      <c r="C857" s="198" t="s">
        <v>1560</v>
      </c>
      <c r="D857" s="197"/>
      <c r="E857" s="197"/>
      <c r="F857" s="197"/>
      <c r="G857" s="204"/>
    </row>
    <row r="858" spans="2:7">
      <c r="B858" s="203"/>
      <c r="C858" s="198" t="s">
        <v>1559</v>
      </c>
      <c r="D858" s="197"/>
      <c r="E858" s="197"/>
      <c r="F858" s="197"/>
      <c r="G858" s="204"/>
    </row>
    <row r="859" spans="2:7">
      <c r="B859" s="203"/>
      <c r="C859" s="197"/>
      <c r="D859" s="197"/>
      <c r="E859" s="197"/>
      <c r="F859" s="197"/>
      <c r="G859" s="204"/>
    </row>
    <row r="860" spans="2:7">
      <c r="B860" s="203"/>
      <c r="C860" s="2" t="s">
        <v>21</v>
      </c>
      <c r="D860" s="197"/>
      <c r="E860" s="197"/>
      <c r="F860" s="197"/>
      <c r="G860" s="204"/>
    </row>
    <row r="861" spans="2:7">
      <c r="B861" s="82" t="s">
        <v>336</v>
      </c>
      <c r="C861" s="198" t="s">
        <v>214</v>
      </c>
      <c r="D861" s="197"/>
      <c r="E861" s="197"/>
      <c r="F861" s="197"/>
      <c r="G861" s="204"/>
    </row>
    <row r="862" spans="2:7">
      <c r="B862" s="82" t="s">
        <v>336</v>
      </c>
      <c r="C862" s="198" t="s">
        <v>234</v>
      </c>
      <c r="D862" s="197"/>
      <c r="E862" s="197"/>
      <c r="F862" s="197"/>
      <c r="G862" s="204"/>
    </row>
    <row r="863" spans="2:7">
      <c r="B863" s="18"/>
      <c r="C863" s="39"/>
      <c r="D863" s="197"/>
      <c r="E863" s="197"/>
      <c r="F863" s="197"/>
      <c r="G863" s="204"/>
    </row>
    <row r="864" spans="2:7">
      <c r="B864" s="18"/>
      <c r="C864" s="15" t="s">
        <v>337</v>
      </c>
      <c r="D864" s="197"/>
      <c r="E864" s="197"/>
      <c r="F864" s="197"/>
      <c r="G864" s="204"/>
    </row>
    <row r="865" spans="2:7">
      <c r="B865" s="82" t="s">
        <v>352</v>
      </c>
      <c r="C865" s="198" t="s">
        <v>236</v>
      </c>
      <c r="D865" s="197"/>
      <c r="E865" s="197"/>
      <c r="F865" s="197"/>
      <c r="G865" s="204"/>
    </row>
    <row r="866" spans="2:7">
      <c r="B866" s="18"/>
      <c r="D866" s="197"/>
      <c r="E866" s="197"/>
      <c r="F866" s="197"/>
      <c r="G866" s="204"/>
    </row>
    <row r="867" spans="2:7">
      <c r="B867" s="18"/>
      <c r="C867" s="1" t="s">
        <v>22</v>
      </c>
      <c r="D867" s="197"/>
      <c r="E867" s="197"/>
      <c r="F867" s="197"/>
      <c r="G867" s="204"/>
    </row>
    <row r="868" spans="2:7">
      <c r="B868" s="82" t="s">
        <v>352</v>
      </c>
      <c r="C868" s="39" t="s">
        <v>236</v>
      </c>
      <c r="D868" s="197"/>
      <c r="E868" s="197"/>
      <c r="F868" s="197"/>
      <c r="G868" s="204"/>
    </row>
    <row r="869" spans="2:7">
      <c r="B869" s="203"/>
      <c r="D869" s="197"/>
      <c r="E869" s="197"/>
      <c r="F869" s="197"/>
      <c r="G869" s="204"/>
    </row>
    <row r="870" spans="2:7">
      <c r="B870" s="203"/>
      <c r="C870" s="1" t="s">
        <v>23</v>
      </c>
      <c r="D870" s="197"/>
      <c r="E870" s="197"/>
      <c r="F870" s="197"/>
      <c r="G870" s="204"/>
    </row>
    <row r="871" spans="2:7">
      <c r="B871" s="82"/>
      <c r="C871" s="66" t="s">
        <v>339</v>
      </c>
      <c r="D871" s="197"/>
      <c r="E871" s="197"/>
      <c r="F871" s="197"/>
      <c r="G871" s="204"/>
    </row>
    <row r="872" spans="2:7" ht="13.5" thickBot="1">
      <c r="B872" s="163"/>
      <c r="C872" s="81"/>
      <c r="D872" s="206"/>
      <c r="E872" s="206"/>
      <c r="F872" s="206"/>
      <c r="G872" s="207"/>
    </row>
    <row r="873" spans="2:7" ht="13.5" thickBot="1">
      <c r="B873" s="234"/>
      <c r="C873" s="24"/>
      <c r="D873" s="24"/>
      <c r="E873" s="161"/>
      <c r="F873" s="161"/>
      <c r="G873" s="25"/>
    </row>
    <row r="874" spans="2:7" ht="13.5" thickBot="1">
      <c r="B874" s="236">
        <v>46256</v>
      </c>
      <c r="C874" s="237"/>
      <c r="D874" s="237"/>
      <c r="E874" s="237"/>
      <c r="F874" s="237"/>
      <c r="G874" s="238"/>
    </row>
    <row r="875" spans="2:7" ht="13.5" thickBot="1">
      <c r="B875" s="18"/>
      <c r="G875" s="6"/>
    </row>
    <row r="876" spans="2:7">
      <c r="B876" s="18"/>
      <c r="C876" s="21" t="s">
        <v>27</v>
      </c>
      <c r="D876" s="16"/>
      <c r="E876" s="80" t="s">
        <v>1</v>
      </c>
      <c r="F876" s="4">
        <v>18</v>
      </c>
      <c r="G876" s="6"/>
    </row>
    <row r="877" spans="2:7" ht="13.5" thickBot="1">
      <c r="B877" s="18"/>
      <c r="C877" s="7"/>
      <c r="D877" s="20"/>
      <c r="E877" s="83" t="s">
        <v>127</v>
      </c>
      <c r="F877" s="22">
        <v>26</v>
      </c>
      <c r="G877" s="6"/>
    </row>
    <row r="878" spans="2:7" ht="13.5" thickBot="1">
      <c r="B878" s="18"/>
      <c r="G878" s="6"/>
    </row>
    <row r="879" spans="2:7">
      <c r="B879" s="18"/>
      <c r="C879" s="3" t="s">
        <v>4</v>
      </c>
      <c r="D879" s="16"/>
      <c r="E879" s="80" t="s">
        <v>1</v>
      </c>
      <c r="F879" s="84" t="s">
        <v>205</v>
      </c>
      <c r="G879" s="6"/>
    </row>
    <row r="880" spans="2:7">
      <c r="B880" s="18"/>
      <c r="C880" s="5" t="s">
        <v>2</v>
      </c>
      <c r="E880" s="39" t="s">
        <v>326</v>
      </c>
      <c r="F880" s="6"/>
      <c r="G880" s="6"/>
    </row>
    <row r="881" spans="2:7" ht="13.5" thickBot="1">
      <c r="B881" s="18"/>
      <c r="C881" s="7" t="s">
        <v>3</v>
      </c>
      <c r="D881" s="20"/>
      <c r="E881" s="81" t="s">
        <v>326</v>
      </c>
      <c r="F881" s="9"/>
      <c r="G881" s="6"/>
    </row>
    <row r="882" spans="2:7" ht="13.5" thickBot="1">
      <c r="B882" s="18"/>
      <c r="G882" s="6"/>
    </row>
    <row r="883" spans="2:7" ht="13.5" thickBot="1">
      <c r="B883" s="18"/>
      <c r="C883" s="23" t="s">
        <v>29</v>
      </c>
      <c r="D883" s="24"/>
      <c r="E883" s="87" t="s">
        <v>1562</v>
      </c>
      <c r="F883" s="25"/>
      <c r="G883" s="6"/>
    </row>
    <row r="884" spans="2:7">
      <c r="B884" s="18"/>
      <c r="G884" s="6"/>
    </row>
    <row r="885" spans="2:7">
      <c r="B885" s="203"/>
      <c r="C885" t="s">
        <v>5</v>
      </c>
      <c r="D885" s="197"/>
      <c r="E885" s="197"/>
      <c r="F885" s="197"/>
      <c r="G885" s="204"/>
    </row>
    <row r="886" spans="2:7">
      <c r="B886" s="203"/>
      <c r="D886" s="197"/>
      <c r="E886" s="197"/>
      <c r="F886" s="197"/>
      <c r="G886" s="204"/>
    </row>
    <row r="887" spans="2:7">
      <c r="B887" s="5">
        <v>1</v>
      </c>
      <c r="C887" s="39" t="s">
        <v>327</v>
      </c>
      <c r="D887" s="197"/>
      <c r="E887" s="197"/>
      <c r="F887" s="197"/>
      <c r="G887" s="204"/>
    </row>
    <row r="888" spans="2:7">
      <c r="B888" s="5">
        <v>2</v>
      </c>
      <c r="C888" s="39" t="s">
        <v>1434</v>
      </c>
      <c r="D888" s="197"/>
      <c r="E888" s="197"/>
      <c r="F888" s="197"/>
      <c r="G888" s="204"/>
    </row>
    <row r="889" spans="2:7">
      <c r="B889" s="5">
        <v>3</v>
      </c>
      <c r="C889" s="39" t="s">
        <v>1476</v>
      </c>
      <c r="D889" s="197"/>
      <c r="E889" s="197"/>
      <c r="F889" s="197"/>
      <c r="G889" s="204"/>
    </row>
    <row r="890" spans="2:7">
      <c r="B890" s="5">
        <v>4</v>
      </c>
      <c r="C890" s="39" t="s">
        <v>1329</v>
      </c>
      <c r="D890" s="197"/>
      <c r="E890" s="197"/>
      <c r="F890" s="197"/>
      <c r="G890" s="204"/>
    </row>
    <row r="891" spans="2:7">
      <c r="B891" s="5">
        <v>5</v>
      </c>
      <c r="C891" s="39" t="s">
        <v>207</v>
      </c>
      <c r="D891" s="197"/>
      <c r="E891" s="197"/>
      <c r="F891" s="197"/>
      <c r="G891" s="204"/>
    </row>
    <row r="892" spans="2:7">
      <c r="B892" s="5">
        <v>6</v>
      </c>
      <c r="C892" s="39" t="s">
        <v>211</v>
      </c>
      <c r="D892" s="197"/>
      <c r="E892" s="197"/>
      <c r="F892" s="197"/>
      <c r="G892" s="204"/>
    </row>
    <row r="893" spans="2:7">
      <c r="B893" s="5">
        <v>7</v>
      </c>
      <c r="C893" s="39" t="s">
        <v>1095</v>
      </c>
      <c r="D893" s="197"/>
      <c r="E893" s="197"/>
      <c r="F893" s="197"/>
      <c r="G893" s="204"/>
    </row>
    <row r="894" spans="2:7">
      <c r="B894" s="5">
        <v>8</v>
      </c>
      <c r="C894" s="39" t="s">
        <v>1096</v>
      </c>
      <c r="D894" s="197"/>
      <c r="E894" s="197"/>
      <c r="F894" s="197"/>
      <c r="G894" s="204"/>
    </row>
    <row r="895" spans="2:7">
      <c r="B895" s="5">
        <v>9</v>
      </c>
      <c r="C895" s="39" t="s">
        <v>214</v>
      </c>
      <c r="D895" s="197"/>
      <c r="E895" s="197"/>
      <c r="F895" s="197"/>
      <c r="G895" s="204"/>
    </row>
    <row r="896" spans="2:7">
      <c r="B896" s="5">
        <v>10</v>
      </c>
      <c r="C896" s="39" t="s">
        <v>1112</v>
      </c>
      <c r="D896" s="197"/>
      <c r="E896" s="197"/>
      <c r="F896" s="197"/>
      <c r="G896" s="204"/>
    </row>
    <row r="897" spans="2:7">
      <c r="B897" s="5">
        <v>11</v>
      </c>
      <c r="C897" s="39" t="s">
        <v>1340</v>
      </c>
      <c r="D897" s="197"/>
      <c r="E897" s="197"/>
      <c r="F897" s="197"/>
      <c r="G897" s="204"/>
    </row>
    <row r="898" spans="2:7">
      <c r="B898" s="5">
        <v>12</v>
      </c>
      <c r="C898" s="39" t="s">
        <v>142</v>
      </c>
      <c r="D898" s="197"/>
      <c r="E898" s="197"/>
      <c r="F898" s="197"/>
      <c r="G898" s="204"/>
    </row>
    <row r="899" spans="2:7">
      <c r="B899" s="5">
        <v>13</v>
      </c>
      <c r="C899" s="39" t="s">
        <v>18</v>
      </c>
      <c r="D899" s="197"/>
      <c r="E899" s="197"/>
      <c r="F899" s="197"/>
      <c r="G899" s="204"/>
    </row>
    <row r="900" spans="2:7">
      <c r="B900" s="5">
        <v>14</v>
      </c>
      <c r="C900" s="39" t="s">
        <v>1491</v>
      </c>
      <c r="D900" s="197"/>
      <c r="E900" s="197"/>
      <c r="F900" s="197"/>
      <c r="G900" s="204"/>
    </row>
    <row r="901" spans="2:7">
      <c r="B901" s="5">
        <v>15</v>
      </c>
      <c r="C901" s="39" t="s">
        <v>1198</v>
      </c>
      <c r="D901" s="197"/>
      <c r="E901" s="197"/>
      <c r="F901" s="197"/>
      <c r="G901" s="204"/>
    </row>
    <row r="902" spans="2:7">
      <c r="B902" s="203"/>
      <c r="C902" s="197"/>
      <c r="D902" s="197"/>
      <c r="E902" s="197"/>
      <c r="F902" s="197"/>
      <c r="G902" s="204"/>
    </row>
    <row r="903" spans="2:7">
      <c r="B903" s="203"/>
      <c r="C903" s="39" t="s">
        <v>325</v>
      </c>
      <c r="D903" s="197"/>
      <c r="E903" s="197"/>
      <c r="F903" s="197"/>
      <c r="G903" s="204"/>
    </row>
    <row r="904" spans="2:7">
      <c r="B904" s="203"/>
      <c r="C904" s="198" t="s">
        <v>1406</v>
      </c>
      <c r="D904" s="197"/>
      <c r="E904" s="197"/>
      <c r="F904" s="197"/>
      <c r="G904" s="204"/>
    </row>
    <row r="905" spans="2:7">
      <c r="B905" s="203"/>
      <c r="C905" s="198" t="s">
        <v>1561</v>
      </c>
      <c r="D905" s="197"/>
      <c r="E905" s="197"/>
      <c r="F905" s="197"/>
      <c r="G905" s="204"/>
    </row>
    <row r="906" spans="2:7">
      <c r="B906" s="203"/>
      <c r="C906" s="198" t="s">
        <v>1564</v>
      </c>
      <c r="D906" s="197"/>
      <c r="E906" s="197"/>
      <c r="F906" s="197"/>
      <c r="G906" s="204"/>
    </row>
    <row r="907" spans="2:7">
      <c r="B907" s="203"/>
      <c r="C907" s="198" t="s">
        <v>1563</v>
      </c>
      <c r="D907" s="197"/>
      <c r="E907" s="197"/>
      <c r="F907" s="197"/>
      <c r="G907" s="204"/>
    </row>
    <row r="908" spans="2:7">
      <c r="B908" s="203"/>
      <c r="C908" s="198" t="s">
        <v>1565</v>
      </c>
      <c r="D908" s="197"/>
      <c r="E908" s="197"/>
      <c r="F908" s="197"/>
      <c r="G908" s="204"/>
    </row>
    <row r="909" spans="2:7">
      <c r="B909" s="203"/>
      <c r="C909" s="198" t="s">
        <v>1566</v>
      </c>
      <c r="D909" s="197"/>
      <c r="E909" s="197"/>
      <c r="F909" s="197"/>
      <c r="G909" s="204"/>
    </row>
    <row r="910" spans="2:7">
      <c r="B910" s="203"/>
      <c r="C910" s="197"/>
      <c r="D910" s="197"/>
      <c r="E910" s="197"/>
      <c r="F910" s="197"/>
      <c r="G910" s="204"/>
    </row>
    <row r="911" spans="2:7">
      <c r="B911" s="203"/>
      <c r="C911" s="2" t="s">
        <v>21</v>
      </c>
      <c r="D911" s="197"/>
      <c r="E911" s="197"/>
      <c r="F911" s="197"/>
      <c r="G911" s="204"/>
    </row>
    <row r="912" spans="2:7">
      <c r="B912" s="82"/>
      <c r="C912" s="198" t="s">
        <v>339</v>
      </c>
      <c r="D912" s="197"/>
      <c r="E912" s="197"/>
      <c r="F912" s="197"/>
      <c r="G912" s="204"/>
    </row>
    <row r="913" spans="2:19">
      <c r="B913" s="18"/>
      <c r="C913" s="39"/>
      <c r="D913" s="197"/>
      <c r="E913" s="197"/>
      <c r="F913" s="197"/>
      <c r="G913" s="204"/>
    </row>
    <row r="914" spans="2:19">
      <c r="B914" s="18"/>
      <c r="C914" s="15" t="s">
        <v>337</v>
      </c>
      <c r="D914" s="197"/>
      <c r="E914" s="197"/>
      <c r="F914" s="197"/>
      <c r="G914" s="204"/>
    </row>
    <row r="915" spans="2:19">
      <c r="B915" s="82"/>
      <c r="C915" s="198" t="s">
        <v>339</v>
      </c>
      <c r="D915" s="197"/>
      <c r="E915" s="197"/>
      <c r="F915" s="197"/>
      <c r="G915" s="204"/>
    </row>
    <row r="916" spans="2:19">
      <c r="B916" s="18"/>
      <c r="D916" s="197"/>
      <c r="E916" s="197"/>
      <c r="F916" s="197"/>
      <c r="G916" s="204"/>
    </row>
    <row r="917" spans="2:19">
      <c r="B917" s="18"/>
      <c r="C917" s="1" t="s">
        <v>22</v>
      </c>
      <c r="D917" s="197"/>
      <c r="E917" s="197"/>
      <c r="F917" s="197"/>
      <c r="G917" s="204"/>
    </row>
    <row r="918" spans="2:19">
      <c r="B918" s="82" t="s">
        <v>400</v>
      </c>
      <c r="C918" s="39" t="s">
        <v>236</v>
      </c>
      <c r="D918" s="197"/>
      <c r="E918" s="197"/>
      <c r="F918" s="197"/>
      <c r="G918" s="204"/>
    </row>
    <row r="919" spans="2:19">
      <c r="B919" s="203"/>
      <c r="D919" s="197"/>
      <c r="E919" s="197"/>
      <c r="F919" s="197"/>
      <c r="G919" s="204"/>
    </row>
    <row r="920" spans="2:19">
      <c r="B920" s="203"/>
      <c r="C920" s="1" t="s">
        <v>23</v>
      </c>
      <c r="D920" s="197"/>
      <c r="E920" s="197"/>
      <c r="F920" s="197"/>
      <c r="G920" s="204"/>
    </row>
    <row r="921" spans="2:19">
      <c r="B921" s="82" t="s">
        <v>336</v>
      </c>
      <c r="C921" s="66" t="s">
        <v>327</v>
      </c>
      <c r="D921" s="197"/>
      <c r="E921" s="197"/>
      <c r="F921" s="197"/>
      <c r="G921" s="204"/>
    </row>
    <row r="922" spans="2:19" ht="13.5" thickBot="1">
      <c r="B922" s="163"/>
      <c r="C922" s="81"/>
      <c r="D922" s="206"/>
      <c r="E922" s="206"/>
      <c r="F922" s="206"/>
      <c r="G922" s="207"/>
    </row>
    <row r="923" spans="2:19" ht="13.5" thickBot="1">
      <c r="B923" s="18"/>
      <c r="C923" s="20"/>
      <c r="D923" s="20"/>
      <c r="E923" s="83"/>
      <c r="F923" s="20"/>
      <c r="G923" s="6"/>
    </row>
    <row r="924" spans="2:19" ht="13.5" thickBot="1">
      <c r="B924" s="236"/>
      <c r="C924" s="237"/>
      <c r="D924" s="237"/>
      <c r="E924" s="237"/>
      <c r="F924" s="237"/>
      <c r="G924" s="238"/>
    </row>
    <row r="925" spans="2:19" ht="13.5" thickBot="1">
      <c r="B925" s="18"/>
      <c r="G925" s="6"/>
    </row>
    <row r="926" spans="2:19">
      <c r="B926" s="18"/>
      <c r="C926" s="21"/>
      <c r="D926" s="16"/>
      <c r="E926" s="80"/>
      <c r="F926" s="4"/>
      <c r="G926" s="6"/>
    </row>
    <row r="927" spans="2:19" ht="13.5" thickBot="1">
      <c r="B927" s="18"/>
      <c r="C927" s="7"/>
      <c r="D927" s="20"/>
      <c r="E927" s="83"/>
      <c r="F927" s="22"/>
      <c r="G927" s="6"/>
      <c r="L927" s="15"/>
      <c r="O927" s="39"/>
      <c r="Q927" s="39"/>
      <c r="S927" s="39"/>
    </row>
    <row r="928" spans="2:19" ht="13.5" thickBot="1">
      <c r="B928" s="18"/>
      <c r="G928" s="6"/>
    </row>
    <row r="929" spans="2:19">
      <c r="B929" s="18"/>
      <c r="C929" s="3"/>
      <c r="D929" s="16"/>
      <c r="E929" s="80"/>
      <c r="F929" s="84"/>
      <c r="G929" s="6"/>
      <c r="M929" s="39"/>
      <c r="O929" s="39"/>
      <c r="Q929" s="39"/>
      <c r="S929" s="165"/>
    </row>
    <row r="930" spans="2:19">
      <c r="B930" s="18"/>
      <c r="C930" s="5"/>
      <c r="E930" s="39"/>
      <c r="F930" s="6"/>
      <c r="G930" s="6"/>
      <c r="M930" s="39"/>
      <c r="O930" s="39"/>
      <c r="Q930" s="39"/>
      <c r="S930" s="165"/>
    </row>
    <row r="931" spans="2:19" ht="13.5" thickBot="1">
      <c r="B931" s="18"/>
      <c r="C931" s="7"/>
      <c r="D931" s="20"/>
      <c r="E931" s="81"/>
      <c r="F931" s="9"/>
      <c r="G931" s="6"/>
      <c r="M931" s="39"/>
      <c r="O931" s="39"/>
      <c r="Q931" s="39"/>
      <c r="S931" s="165"/>
    </row>
    <row r="932" spans="2:19" ht="13.5" thickBot="1">
      <c r="B932" s="18"/>
      <c r="G932" s="6"/>
      <c r="M932" s="39"/>
      <c r="O932" s="39"/>
      <c r="Q932" s="39"/>
      <c r="S932" s="165"/>
    </row>
    <row r="933" spans="2:19" ht="13.5" thickBot="1">
      <c r="B933" s="18"/>
      <c r="C933" s="23"/>
      <c r="D933" s="24"/>
      <c r="E933" s="87"/>
      <c r="F933" s="25"/>
      <c r="G933" s="6"/>
      <c r="M933" s="39"/>
      <c r="O933" s="39"/>
      <c r="Q933" s="39"/>
      <c r="S933" s="165"/>
    </row>
    <row r="934" spans="2:19">
      <c r="B934" s="18"/>
      <c r="G934" s="6"/>
      <c r="M934" s="39"/>
      <c r="O934" s="39"/>
      <c r="Q934" s="39"/>
      <c r="S934" s="165"/>
    </row>
    <row r="935" spans="2:19">
      <c r="B935" s="203"/>
      <c r="D935" s="197"/>
      <c r="E935" s="197"/>
      <c r="F935" s="197"/>
      <c r="G935" s="204"/>
      <c r="M935" s="39"/>
      <c r="O935" s="39"/>
      <c r="Q935" s="39"/>
      <c r="S935" s="165"/>
    </row>
    <row r="936" spans="2:19">
      <c r="B936" s="203"/>
      <c r="D936" s="197"/>
      <c r="E936" s="197"/>
      <c r="F936" s="197"/>
      <c r="G936" s="204"/>
      <c r="M936" s="39"/>
      <c r="O936" s="39"/>
      <c r="Q936" s="39"/>
      <c r="S936" s="39"/>
    </row>
    <row r="937" spans="2:19">
      <c r="B937" s="5"/>
      <c r="C937" s="39"/>
      <c r="D937" s="197"/>
      <c r="E937" s="197"/>
      <c r="F937" s="197"/>
      <c r="G937" s="204"/>
      <c r="M937" s="39"/>
      <c r="O937" s="39"/>
      <c r="Q937" s="39"/>
      <c r="S937" s="39"/>
    </row>
    <row r="938" spans="2:19">
      <c r="B938" s="5"/>
      <c r="C938" s="39"/>
      <c r="D938" s="197"/>
      <c r="E938" s="197"/>
      <c r="F938" s="197"/>
      <c r="G938" s="204"/>
      <c r="M938" s="39"/>
      <c r="O938" s="39"/>
      <c r="Q938" s="39"/>
      <c r="S938" s="39"/>
    </row>
    <row r="939" spans="2:19">
      <c r="B939" s="5"/>
      <c r="C939" s="39"/>
      <c r="D939" s="197"/>
      <c r="E939" s="197"/>
      <c r="F939" s="197"/>
      <c r="G939" s="204"/>
      <c r="M939" s="39"/>
      <c r="O939" s="39"/>
      <c r="Q939" s="39"/>
      <c r="S939" s="39"/>
    </row>
    <row r="940" spans="2:19">
      <c r="B940" s="5"/>
      <c r="C940" s="39"/>
      <c r="D940" s="197"/>
      <c r="E940" s="197"/>
      <c r="F940" s="197"/>
      <c r="G940" s="204"/>
      <c r="M940" s="39"/>
      <c r="O940" s="39"/>
      <c r="Q940" s="39"/>
      <c r="S940" s="165"/>
    </row>
    <row r="941" spans="2:19">
      <c r="B941" s="5"/>
      <c r="C941" s="39"/>
      <c r="D941" s="197"/>
      <c r="E941" s="197"/>
      <c r="F941" s="197"/>
      <c r="G941" s="204"/>
      <c r="M941" s="39"/>
      <c r="O941" s="39"/>
      <c r="Q941" s="39"/>
      <c r="S941" s="39"/>
    </row>
    <row r="942" spans="2:19">
      <c r="B942" s="5"/>
      <c r="C942" s="39"/>
      <c r="D942" s="197"/>
      <c r="E942" s="197"/>
      <c r="F942" s="197"/>
      <c r="G942" s="204"/>
      <c r="M942" s="39"/>
      <c r="O942" s="39"/>
      <c r="Q942" s="39"/>
      <c r="S942" s="39"/>
    </row>
    <row r="943" spans="2:19">
      <c r="B943" s="5"/>
      <c r="C943" s="39"/>
      <c r="D943" s="197"/>
      <c r="E943" s="197"/>
      <c r="F943" s="197"/>
      <c r="G943" s="204"/>
      <c r="M943" s="39"/>
      <c r="O943" s="39"/>
      <c r="Q943" s="39"/>
      <c r="S943" s="39"/>
    </row>
    <row r="944" spans="2:19">
      <c r="B944" s="5"/>
      <c r="C944" s="39"/>
      <c r="D944" s="197"/>
      <c r="E944" s="197"/>
      <c r="F944" s="197"/>
      <c r="G944" s="204"/>
      <c r="M944" s="39"/>
      <c r="O944" s="39"/>
      <c r="Q944" s="39"/>
      <c r="S944" s="39"/>
    </row>
    <row r="945" spans="2:19">
      <c r="B945" s="5"/>
      <c r="C945" s="39"/>
      <c r="D945" s="197"/>
      <c r="E945" s="197"/>
      <c r="F945" s="197"/>
      <c r="G945" s="204"/>
      <c r="M945" s="39"/>
      <c r="O945" s="39"/>
      <c r="Q945" s="39"/>
      <c r="S945" s="165"/>
    </row>
    <row r="946" spans="2:19">
      <c r="B946" s="5"/>
      <c r="C946" s="39"/>
      <c r="D946" s="197"/>
      <c r="E946" s="197"/>
      <c r="F946" s="197"/>
      <c r="G946" s="204"/>
      <c r="M946" s="39"/>
      <c r="O946" s="39"/>
      <c r="Q946" s="39"/>
      <c r="S946" s="165"/>
    </row>
    <row r="947" spans="2:19">
      <c r="B947" s="5"/>
      <c r="C947" s="39"/>
      <c r="D947" s="197"/>
      <c r="E947" s="197"/>
      <c r="F947" s="197"/>
      <c r="G947" s="204"/>
    </row>
    <row r="948" spans="2:19">
      <c r="B948" s="5"/>
      <c r="C948" s="39"/>
      <c r="D948" s="197"/>
      <c r="E948" s="197"/>
      <c r="F948" s="197"/>
      <c r="G948" s="204"/>
    </row>
    <row r="949" spans="2:19">
      <c r="B949" s="5"/>
      <c r="C949" s="39"/>
      <c r="D949" s="197"/>
      <c r="E949" s="197"/>
      <c r="F949" s="197"/>
      <c r="G949" s="204"/>
      <c r="M949" s="39"/>
      <c r="P949" s="165"/>
    </row>
    <row r="950" spans="2:19">
      <c r="B950" s="5"/>
      <c r="C950" s="39"/>
      <c r="D950" s="197"/>
      <c r="E950" s="197"/>
      <c r="F950" s="197"/>
      <c r="G950" s="204"/>
      <c r="M950" s="39"/>
      <c r="P950" s="165"/>
    </row>
    <row r="951" spans="2:19">
      <c r="B951" s="5"/>
      <c r="C951" s="39"/>
      <c r="D951" s="197"/>
      <c r="E951" s="197"/>
      <c r="F951" s="197"/>
      <c r="G951" s="204"/>
      <c r="M951" s="39"/>
      <c r="P951" s="39"/>
    </row>
    <row r="952" spans="2:19">
      <c r="B952" s="18"/>
      <c r="G952" s="6"/>
      <c r="M952" s="39"/>
      <c r="P952" s="39"/>
    </row>
    <row r="953" spans="2:19">
      <c r="B953" s="203"/>
      <c r="C953" s="39"/>
      <c r="G953" s="6"/>
      <c r="M953" s="39"/>
      <c r="P953" s="39"/>
    </row>
    <row r="954" spans="2:19">
      <c r="B954" s="203"/>
      <c r="C954" s="198"/>
      <c r="G954" s="6"/>
      <c r="M954" s="39"/>
      <c r="P954" s="39"/>
    </row>
    <row r="955" spans="2:19">
      <c r="B955" s="203"/>
      <c r="C955" s="198"/>
      <c r="G955" s="6"/>
      <c r="M955" s="39"/>
      <c r="P955" s="39"/>
    </row>
    <row r="956" spans="2:19">
      <c r="B956" s="203"/>
      <c r="C956" s="198"/>
      <c r="G956" s="6"/>
      <c r="M956" s="39"/>
      <c r="P956" s="39"/>
    </row>
    <row r="957" spans="2:19">
      <c r="B957" s="203"/>
      <c r="C957" s="198"/>
      <c r="G957" s="6"/>
      <c r="M957" s="39"/>
      <c r="P957" s="39"/>
    </row>
    <row r="958" spans="2:19">
      <c r="B958" s="203"/>
      <c r="C958" s="198"/>
      <c r="G958" s="6"/>
      <c r="M958" s="39"/>
      <c r="P958" s="39"/>
    </row>
    <row r="959" spans="2:19">
      <c r="B959" s="203"/>
      <c r="C959" s="198"/>
      <c r="G959" s="6"/>
      <c r="M959" s="39"/>
      <c r="P959" s="165"/>
    </row>
    <row r="960" spans="2:19">
      <c r="B960" s="203"/>
      <c r="C960" s="198"/>
      <c r="G960" s="6"/>
      <c r="M960" s="39"/>
      <c r="P960" s="39"/>
    </row>
    <row r="961" spans="2:16">
      <c r="B961" s="203"/>
      <c r="C961" s="2"/>
      <c r="G961" s="6"/>
      <c r="M961" s="39"/>
      <c r="P961" s="165"/>
    </row>
    <row r="962" spans="2:16">
      <c r="B962" s="82"/>
      <c r="C962" s="198"/>
      <c r="G962" s="6"/>
    </row>
    <row r="963" spans="2:16">
      <c r="B963" s="82"/>
      <c r="C963" s="198"/>
      <c r="G963" s="6"/>
    </row>
    <row r="964" spans="2:16">
      <c r="B964" s="82"/>
      <c r="C964" s="198"/>
      <c r="G964" s="6"/>
    </row>
    <row r="965" spans="2:16">
      <c r="B965" s="18"/>
      <c r="C965" s="15"/>
      <c r="G965" s="6"/>
    </row>
    <row r="966" spans="2:16">
      <c r="B966" s="82"/>
      <c r="C966" s="198"/>
      <c r="G966" s="6"/>
    </row>
    <row r="967" spans="2:16">
      <c r="B967" s="18"/>
      <c r="G967" s="6"/>
    </row>
    <row r="968" spans="2:16">
      <c r="B968" s="18"/>
      <c r="C968" s="153"/>
      <c r="G968" s="6"/>
    </row>
    <row r="969" spans="2:16">
      <c r="B969" s="82"/>
      <c r="C969" s="198"/>
      <c r="G969" s="6"/>
    </row>
    <row r="970" spans="2:16">
      <c r="B970" s="18"/>
      <c r="G970" s="6"/>
    </row>
    <row r="971" spans="2:16">
      <c r="B971" s="203"/>
      <c r="C971" s="15"/>
      <c r="G971" s="6"/>
    </row>
    <row r="972" spans="2:16">
      <c r="B972" s="82"/>
      <c r="C972" s="66"/>
      <c r="G972" s="6"/>
    </row>
    <row r="973" spans="2:16" ht="13.5" thickBot="1">
      <c r="B973" s="163"/>
      <c r="C973" s="20"/>
      <c r="D973" s="20"/>
      <c r="E973" s="8"/>
      <c r="F973" s="20"/>
      <c r="G973" s="9"/>
    </row>
    <row r="974" spans="2:16">
      <c r="B974" s="215"/>
      <c r="C974" s="16"/>
      <c r="D974" s="16"/>
      <c r="E974" s="120"/>
      <c r="F974" s="16"/>
      <c r="G974" s="17"/>
    </row>
    <row r="975" spans="2:16" ht="13.5" thickBot="1">
      <c r="B975" s="19"/>
      <c r="C975" s="20"/>
      <c r="D975" s="20"/>
      <c r="E975" s="164"/>
      <c r="F975" s="20"/>
      <c r="G975" s="9"/>
    </row>
    <row r="976" spans="2:16" ht="13.5" thickBot="1">
      <c r="B976" s="236"/>
      <c r="C976" s="237"/>
      <c r="D976" s="237"/>
      <c r="E976" s="237"/>
      <c r="F976" s="237"/>
      <c r="G976" s="238"/>
    </row>
    <row r="977" spans="2:7" ht="13.5" thickBot="1">
      <c r="B977" s="18"/>
      <c r="G977" s="6"/>
    </row>
    <row r="978" spans="2:7">
      <c r="B978" s="18"/>
      <c r="C978" s="21"/>
      <c r="D978" s="16"/>
      <c r="E978" s="80"/>
      <c r="F978" s="4"/>
      <c r="G978" s="6"/>
    </row>
    <row r="979" spans="2:7" ht="13.5" thickBot="1">
      <c r="B979" s="18"/>
      <c r="C979" s="7"/>
      <c r="D979" s="20"/>
      <c r="E979" s="83"/>
      <c r="F979" s="22"/>
      <c r="G979" s="6"/>
    </row>
    <row r="980" spans="2:7" ht="13.5" thickBot="1">
      <c r="B980" s="18"/>
      <c r="G980" s="6"/>
    </row>
    <row r="981" spans="2:7">
      <c r="B981" s="18"/>
      <c r="C981" s="3"/>
      <c r="D981" s="16"/>
      <c r="E981" s="80"/>
      <c r="F981" s="84"/>
      <c r="G981" s="6"/>
    </row>
    <row r="982" spans="2:7">
      <c r="B982" s="18"/>
      <c r="C982" s="5"/>
      <c r="E982" s="39"/>
      <c r="F982" s="6"/>
      <c r="G982" s="6"/>
    </row>
    <row r="983" spans="2:7" ht="13.5" thickBot="1">
      <c r="B983" s="18"/>
      <c r="C983" s="7"/>
      <c r="D983" s="20"/>
      <c r="E983" s="81"/>
      <c r="F983" s="9"/>
      <c r="G983" s="6"/>
    </row>
    <row r="984" spans="2:7" ht="13.5" thickBot="1">
      <c r="B984" s="18"/>
      <c r="G984" s="6"/>
    </row>
    <row r="985" spans="2:7" ht="13.5" thickBot="1">
      <c r="B985" s="18"/>
      <c r="C985" s="23"/>
      <c r="D985" s="24"/>
      <c r="E985" s="87"/>
      <c r="F985" s="25"/>
      <c r="G985" s="6"/>
    </row>
    <row r="986" spans="2:7">
      <c r="B986" s="18"/>
      <c r="G986" s="6"/>
    </row>
    <row r="987" spans="2:7">
      <c r="B987" s="203"/>
      <c r="D987" s="197"/>
      <c r="E987" s="197"/>
      <c r="F987" s="197"/>
      <c r="G987" s="204"/>
    </row>
    <row r="988" spans="2:7">
      <c r="B988" s="203"/>
      <c r="D988" s="197"/>
      <c r="E988" s="197"/>
      <c r="F988" s="197"/>
      <c r="G988" s="204"/>
    </row>
    <row r="989" spans="2:7">
      <c r="B989" s="5"/>
      <c r="C989" s="39"/>
      <c r="D989" s="197"/>
      <c r="E989" s="197"/>
      <c r="F989" s="197"/>
      <c r="G989" s="204"/>
    </row>
    <row r="990" spans="2:7">
      <c r="B990" s="5"/>
      <c r="C990" s="39"/>
      <c r="D990" s="197"/>
      <c r="E990" s="197"/>
      <c r="F990" s="197"/>
      <c r="G990" s="204"/>
    </row>
    <row r="991" spans="2:7">
      <c r="B991" s="5"/>
      <c r="C991" s="39"/>
      <c r="D991" s="197"/>
      <c r="E991" s="197"/>
      <c r="F991" s="197"/>
      <c r="G991" s="204"/>
    </row>
    <row r="992" spans="2:7">
      <c r="B992" s="5"/>
      <c r="C992" s="39"/>
      <c r="D992" s="197"/>
      <c r="E992" s="197"/>
      <c r="F992" s="197"/>
      <c r="G992" s="204"/>
    </row>
    <row r="993" spans="1:7">
      <c r="B993" s="5"/>
      <c r="C993" s="39"/>
      <c r="D993" s="197"/>
      <c r="E993" s="197"/>
      <c r="F993" s="197"/>
      <c r="G993" s="204"/>
    </row>
    <row r="994" spans="1:7">
      <c r="A994" s="153"/>
      <c r="B994" s="5"/>
      <c r="C994" s="39"/>
      <c r="D994" s="197"/>
      <c r="E994" s="197"/>
      <c r="F994" s="197"/>
      <c r="G994" s="204"/>
    </row>
    <row r="995" spans="1:7">
      <c r="B995" s="5"/>
      <c r="C995" s="39"/>
      <c r="D995" s="197"/>
      <c r="E995" s="197"/>
      <c r="F995" s="197"/>
      <c r="G995" s="204"/>
    </row>
    <row r="996" spans="1:7">
      <c r="B996" s="5"/>
      <c r="C996" s="39"/>
      <c r="D996" s="197"/>
      <c r="E996" s="197"/>
      <c r="F996" s="197"/>
      <c r="G996" s="204"/>
    </row>
    <row r="997" spans="1:7">
      <c r="B997" s="5"/>
      <c r="C997" s="39"/>
      <c r="D997" s="197"/>
      <c r="E997" s="197"/>
      <c r="F997" s="197"/>
      <c r="G997" s="204"/>
    </row>
    <row r="998" spans="1:7">
      <c r="B998" s="5"/>
      <c r="C998" s="39"/>
      <c r="D998" s="197"/>
      <c r="E998" s="197"/>
      <c r="F998" s="197"/>
      <c r="G998" s="204"/>
    </row>
    <row r="999" spans="1:7">
      <c r="B999" s="5"/>
      <c r="C999" s="39"/>
      <c r="D999" s="197"/>
      <c r="E999" s="197"/>
      <c r="F999" s="197"/>
      <c r="G999" s="204"/>
    </row>
    <row r="1000" spans="1:7">
      <c r="B1000" s="5"/>
      <c r="C1000" s="39"/>
      <c r="D1000" s="197"/>
      <c r="E1000" s="197"/>
      <c r="F1000" s="197"/>
      <c r="G1000" s="204"/>
    </row>
    <row r="1001" spans="1:7">
      <c r="B1001" s="5"/>
      <c r="C1001" s="39"/>
      <c r="D1001" s="197"/>
      <c r="E1001" s="197"/>
      <c r="F1001" s="197"/>
      <c r="G1001" s="204"/>
    </row>
    <row r="1002" spans="1:7">
      <c r="B1002" s="5"/>
      <c r="C1002" s="39"/>
      <c r="D1002" s="197"/>
      <c r="E1002" s="197"/>
      <c r="F1002" s="197"/>
      <c r="G1002" s="204"/>
    </row>
    <row r="1003" spans="1:7">
      <c r="B1003" s="5"/>
      <c r="C1003" s="39"/>
      <c r="D1003" s="197"/>
      <c r="E1003" s="197"/>
      <c r="F1003" s="197"/>
      <c r="G1003" s="204"/>
    </row>
    <row r="1004" spans="1:7">
      <c r="B1004" s="18"/>
      <c r="G1004" s="6"/>
    </row>
    <row r="1005" spans="1:7">
      <c r="B1005" s="203"/>
      <c r="C1005" s="39"/>
      <c r="G1005" s="6"/>
    </row>
    <row r="1006" spans="1:7">
      <c r="B1006" s="203"/>
      <c r="C1006" s="198"/>
      <c r="G1006" s="6"/>
    </row>
    <row r="1007" spans="1:7">
      <c r="B1007" s="203"/>
      <c r="C1007" s="198"/>
      <c r="G1007" s="6"/>
    </row>
    <row r="1008" spans="1:7">
      <c r="B1008" s="203"/>
      <c r="C1008" s="198"/>
      <c r="G1008" s="6"/>
    </row>
    <row r="1009" spans="2:7">
      <c r="B1009" s="203"/>
      <c r="C1009" s="198"/>
      <c r="G1009" s="6"/>
    </row>
    <row r="1010" spans="2:7">
      <c r="B1010" s="203"/>
      <c r="C1010" s="198"/>
      <c r="G1010" s="6"/>
    </row>
    <row r="1011" spans="2:7">
      <c r="B1011" s="203"/>
      <c r="C1011" s="198"/>
      <c r="G1011" s="6"/>
    </row>
    <row r="1012" spans="2:7">
      <c r="B1012" s="203"/>
      <c r="C1012" s="198"/>
      <c r="G1012" s="6"/>
    </row>
    <row r="1013" spans="2:7">
      <c r="B1013" s="203"/>
      <c r="C1013" s="2"/>
      <c r="G1013" s="6"/>
    </row>
    <row r="1014" spans="2:7">
      <c r="B1014" s="82"/>
      <c r="C1014" s="198"/>
      <c r="G1014" s="6"/>
    </row>
    <row r="1015" spans="2:7">
      <c r="B1015" s="82"/>
      <c r="C1015" s="198"/>
      <c r="G1015" s="6"/>
    </row>
    <row r="1016" spans="2:7">
      <c r="B1016" s="18"/>
      <c r="C1016" s="15"/>
      <c r="G1016" s="6"/>
    </row>
    <row r="1017" spans="2:7">
      <c r="B1017" s="82"/>
      <c r="C1017" s="198"/>
      <c r="G1017" s="6"/>
    </row>
    <row r="1018" spans="2:7">
      <c r="B1018" s="18"/>
      <c r="G1018" s="6"/>
    </row>
    <row r="1019" spans="2:7">
      <c r="B1019" s="18"/>
      <c r="C1019" s="153"/>
      <c r="G1019" s="6"/>
    </row>
    <row r="1020" spans="2:7">
      <c r="B1020" s="82"/>
      <c r="C1020" s="198"/>
      <c r="G1020" s="6"/>
    </row>
    <row r="1021" spans="2:7">
      <c r="B1021" s="18"/>
      <c r="G1021" s="6"/>
    </row>
    <row r="1022" spans="2:7">
      <c r="B1022" s="203"/>
      <c r="C1022" s="15"/>
      <c r="G1022" s="6"/>
    </row>
    <row r="1023" spans="2:7">
      <c r="B1023" s="82"/>
      <c r="C1023" s="66"/>
      <c r="G1023" s="6"/>
    </row>
    <row r="1024" spans="2:7">
      <c r="B1024" s="82"/>
      <c r="C1024" s="66"/>
      <c r="G1024" s="6"/>
    </row>
    <row r="1025" spans="2:7" ht="13.5" thickBot="1">
      <c r="B1025" s="163"/>
      <c r="C1025" s="20"/>
      <c r="D1025" s="20"/>
      <c r="E1025" s="8"/>
      <c r="F1025" s="20"/>
      <c r="G1025" s="9"/>
    </row>
    <row r="1026" spans="2:7">
      <c r="B1026" s="18"/>
      <c r="G1026" s="6"/>
    </row>
    <row r="1027" spans="2:7" ht="13.5" thickBot="1">
      <c r="B1027" s="203"/>
      <c r="G1027" s="6"/>
    </row>
    <row r="1028" spans="2:7" ht="13.5" thickBot="1">
      <c r="B1028" s="236"/>
      <c r="C1028" s="237"/>
      <c r="D1028" s="237"/>
      <c r="E1028" s="237"/>
      <c r="F1028" s="237"/>
      <c r="G1028" s="238"/>
    </row>
    <row r="1029" spans="2:7" ht="13.5" thickBot="1">
      <c r="B1029" s="18"/>
      <c r="G1029" s="6"/>
    </row>
    <row r="1030" spans="2:7">
      <c r="B1030" s="18"/>
      <c r="C1030" s="21"/>
      <c r="D1030" s="16"/>
      <c r="E1030" s="80"/>
      <c r="F1030" s="4"/>
      <c r="G1030" s="6"/>
    </row>
    <row r="1031" spans="2:7" ht="13.5" thickBot="1">
      <c r="B1031" s="18"/>
      <c r="C1031" s="7"/>
      <c r="D1031" s="20"/>
      <c r="E1031" s="83"/>
      <c r="F1031" s="22"/>
      <c r="G1031" s="6"/>
    </row>
    <row r="1032" spans="2:7" ht="13.5" thickBot="1">
      <c r="B1032" s="18"/>
      <c r="G1032" s="6"/>
    </row>
    <row r="1033" spans="2:7">
      <c r="B1033" s="18"/>
      <c r="C1033" s="3"/>
      <c r="D1033" s="16"/>
      <c r="E1033" s="80"/>
      <c r="F1033" s="84"/>
      <c r="G1033" s="6"/>
    </row>
    <row r="1034" spans="2:7">
      <c r="B1034" s="18"/>
      <c r="C1034" s="5"/>
      <c r="E1034" s="39"/>
      <c r="F1034" s="6"/>
      <c r="G1034" s="6"/>
    </row>
    <row r="1035" spans="2:7" ht="13.5" thickBot="1">
      <c r="B1035" s="18"/>
      <c r="C1035" s="7"/>
      <c r="D1035" s="20"/>
      <c r="E1035" s="81"/>
      <c r="F1035" s="9"/>
      <c r="G1035" s="6"/>
    </row>
    <row r="1036" spans="2:7" ht="13.5" thickBot="1">
      <c r="B1036" s="18"/>
      <c r="G1036" s="6"/>
    </row>
    <row r="1037" spans="2:7" ht="13.5" thickBot="1">
      <c r="B1037" s="18"/>
      <c r="C1037" s="23"/>
      <c r="D1037" s="24"/>
      <c r="E1037" s="87"/>
      <c r="F1037" s="25"/>
      <c r="G1037" s="6"/>
    </row>
    <row r="1038" spans="2:7">
      <c r="B1038" s="18"/>
      <c r="G1038" s="6"/>
    </row>
    <row r="1039" spans="2:7">
      <c r="B1039" s="203"/>
      <c r="D1039" s="197"/>
      <c r="E1039" s="197"/>
      <c r="F1039" s="197"/>
      <c r="G1039" s="204"/>
    </row>
    <row r="1040" spans="2:7">
      <c r="B1040" s="203"/>
      <c r="D1040" s="197"/>
      <c r="E1040" s="197"/>
      <c r="F1040" s="197"/>
      <c r="G1040" s="204"/>
    </row>
    <row r="1041" spans="2:7">
      <c r="B1041" s="5"/>
      <c r="C1041" s="39"/>
      <c r="D1041" s="197"/>
      <c r="E1041" s="197"/>
      <c r="F1041" s="197"/>
      <c r="G1041" s="204"/>
    </row>
    <row r="1042" spans="2:7">
      <c r="B1042" s="5"/>
      <c r="C1042" s="39"/>
      <c r="D1042" s="197"/>
      <c r="E1042" s="197"/>
      <c r="F1042" s="197"/>
      <c r="G1042" s="204"/>
    </row>
    <row r="1043" spans="2:7">
      <c r="B1043" s="5"/>
      <c r="C1043" s="39"/>
      <c r="D1043" s="197"/>
      <c r="E1043" s="197"/>
      <c r="F1043" s="197"/>
      <c r="G1043" s="204"/>
    </row>
    <row r="1044" spans="2:7">
      <c r="B1044" s="5"/>
      <c r="C1044" s="39"/>
      <c r="D1044" s="197"/>
      <c r="E1044" s="197"/>
      <c r="F1044" s="197"/>
      <c r="G1044" s="204"/>
    </row>
    <row r="1045" spans="2:7">
      <c r="B1045" s="5"/>
      <c r="C1045" s="39"/>
      <c r="D1045" s="197"/>
      <c r="E1045" s="197"/>
      <c r="F1045" s="197"/>
      <c r="G1045" s="204"/>
    </row>
    <row r="1046" spans="2:7">
      <c r="B1046" s="5"/>
      <c r="C1046" s="39"/>
      <c r="D1046" s="197"/>
      <c r="E1046" s="197"/>
      <c r="F1046" s="197"/>
      <c r="G1046" s="204"/>
    </row>
    <row r="1047" spans="2:7">
      <c r="B1047" s="5"/>
      <c r="C1047" s="39"/>
      <c r="D1047" s="197"/>
      <c r="E1047" s="197"/>
      <c r="F1047" s="197"/>
      <c r="G1047" s="204"/>
    </row>
    <row r="1048" spans="2:7">
      <c r="B1048" s="5"/>
      <c r="C1048" s="39"/>
      <c r="D1048" s="197"/>
      <c r="E1048" s="197"/>
      <c r="F1048" s="197"/>
      <c r="G1048" s="204"/>
    </row>
    <row r="1049" spans="2:7">
      <c r="B1049" s="5"/>
      <c r="C1049" s="39"/>
      <c r="D1049" s="197"/>
      <c r="E1049" s="197"/>
      <c r="F1049" s="197"/>
      <c r="G1049" s="204"/>
    </row>
    <row r="1050" spans="2:7">
      <c r="B1050" s="5"/>
      <c r="C1050" s="39"/>
      <c r="D1050" s="197"/>
      <c r="E1050" s="197"/>
      <c r="F1050" s="197"/>
      <c r="G1050" s="204"/>
    </row>
    <row r="1051" spans="2:7">
      <c r="B1051" s="5"/>
      <c r="C1051" s="39"/>
      <c r="D1051" s="197"/>
      <c r="E1051" s="197"/>
      <c r="F1051" s="197"/>
      <c r="G1051" s="204"/>
    </row>
    <row r="1052" spans="2:7">
      <c r="B1052" s="5"/>
      <c r="C1052" s="39"/>
      <c r="D1052" s="197"/>
      <c r="E1052" s="197"/>
      <c r="F1052" s="197"/>
      <c r="G1052" s="204"/>
    </row>
    <row r="1053" spans="2:7">
      <c r="B1053" s="5"/>
      <c r="C1053" s="39"/>
      <c r="D1053" s="197"/>
      <c r="E1053" s="197"/>
      <c r="F1053" s="197"/>
      <c r="G1053" s="204"/>
    </row>
    <row r="1054" spans="2:7">
      <c r="B1054" s="5"/>
      <c r="C1054" s="39"/>
      <c r="D1054" s="197"/>
      <c r="E1054" s="197"/>
      <c r="F1054" s="197"/>
      <c r="G1054" s="204"/>
    </row>
    <row r="1055" spans="2:7">
      <c r="B1055" s="5"/>
      <c r="C1055" s="39"/>
      <c r="D1055" s="197"/>
      <c r="E1055" s="197"/>
      <c r="F1055" s="197"/>
      <c r="G1055" s="204"/>
    </row>
    <row r="1056" spans="2:7">
      <c r="B1056" s="18"/>
      <c r="G1056" s="6"/>
    </row>
    <row r="1057" spans="2:7">
      <c r="B1057" s="203"/>
      <c r="C1057" s="39"/>
      <c r="G1057" s="6"/>
    </row>
    <row r="1058" spans="2:7">
      <c r="B1058" s="203"/>
      <c r="C1058" s="198"/>
      <c r="G1058" s="6"/>
    </row>
    <row r="1059" spans="2:7">
      <c r="B1059" s="203"/>
      <c r="C1059" s="198"/>
      <c r="G1059" s="6"/>
    </row>
    <row r="1060" spans="2:7">
      <c r="B1060" s="203"/>
      <c r="C1060" s="198"/>
      <c r="G1060" s="6"/>
    </row>
    <row r="1061" spans="2:7">
      <c r="B1061" s="203"/>
      <c r="C1061" s="198"/>
      <c r="G1061" s="6"/>
    </row>
    <row r="1062" spans="2:7">
      <c r="B1062" s="203"/>
      <c r="C1062" s="198"/>
      <c r="G1062" s="6"/>
    </row>
    <row r="1063" spans="2:7">
      <c r="B1063" s="203"/>
      <c r="C1063" s="198"/>
      <c r="G1063" s="6"/>
    </row>
    <row r="1064" spans="2:7">
      <c r="B1064" s="203"/>
      <c r="C1064" s="198"/>
      <c r="G1064" s="6"/>
    </row>
    <row r="1065" spans="2:7">
      <c r="B1065" s="203"/>
      <c r="C1065" s="198"/>
      <c r="G1065" s="6"/>
    </row>
    <row r="1066" spans="2:7">
      <c r="B1066" s="203"/>
      <c r="C1066" s="198"/>
      <c r="G1066" s="6"/>
    </row>
    <row r="1067" spans="2:7">
      <c r="B1067" s="203"/>
      <c r="C1067" s="2"/>
      <c r="G1067" s="6"/>
    </row>
    <row r="1068" spans="2:7">
      <c r="B1068" s="82"/>
      <c r="C1068" s="198"/>
      <c r="G1068" s="6"/>
    </row>
    <row r="1069" spans="2:7">
      <c r="B1069" s="82"/>
      <c r="C1069" s="198"/>
      <c r="G1069" s="6"/>
    </row>
    <row r="1070" spans="2:7">
      <c r="B1070" s="82"/>
      <c r="C1070" s="198"/>
      <c r="G1070" s="6"/>
    </row>
    <row r="1071" spans="2:7">
      <c r="B1071" s="82"/>
      <c r="C1071" s="198"/>
      <c r="G1071" s="6"/>
    </row>
    <row r="1072" spans="2:7">
      <c r="B1072" s="82"/>
      <c r="C1072" s="198"/>
      <c r="G1072" s="6"/>
    </row>
    <row r="1073" spans="2:7">
      <c r="B1073" s="82"/>
      <c r="C1073" s="198"/>
      <c r="G1073" s="6"/>
    </row>
    <row r="1074" spans="2:7">
      <c r="B1074" s="82"/>
      <c r="C1074" s="198"/>
      <c r="G1074" s="6"/>
    </row>
    <row r="1075" spans="2:7">
      <c r="B1075" s="82"/>
      <c r="C1075" s="198"/>
      <c r="G1075" s="6"/>
    </row>
    <row r="1076" spans="2:7">
      <c r="B1076" s="18"/>
      <c r="C1076" s="15"/>
      <c r="G1076" s="6"/>
    </row>
    <row r="1077" spans="2:7">
      <c r="B1077" s="82"/>
      <c r="C1077" s="198"/>
      <c r="G1077" s="6"/>
    </row>
    <row r="1078" spans="2:7">
      <c r="B1078" s="82"/>
      <c r="C1078" s="198"/>
      <c r="G1078" s="6"/>
    </row>
    <row r="1079" spans="2:7">
      <c r="B1079" s="18"/>
      <c r="G1079" s="6"/>
    </row>
    <row r="1080" spans="2:7">
      <c r="B1080" s="18"/>
      <c r="C1080" s="153"/>
      <c r="G1080" s="6"/>
    </row>
    <row r="1081" spans="2:7">
      <c r="B1081" s="82"/>
      <c r="C1081" s="198"/>
      <c r="G1081" s="6"/>
    </row>
    <row r="1082" spans="2:7">
      <c r="B1082" s="18"/>
      <c r="G1082" s="6"/>
    </row>
    <row r="1083" spans="2:7">
      <c r="B1083" s="203"/>
      <c r="C1083" s="15"/>
      <c r="G1083" s="6"/>
    </row>
    <row r="1084" spans="2:7">
      <c r="B1084" s="82"/>
      <c r="C1084" s="66"/>
      <c r="G1084" s="6"/>
    </row>
    <row r="1085" spans="2:7" ht="13.5" thickBot="1">
      <c r="B1085" s="163"/>
      <c r="C1085" s="20"/>
      <c r="D1085" s="20"/>
      <c r="E1085" s="8"/>
      <c r="F1085" s="20"/>
      <c r="G1085" s="9"/>
    </row>
    <row r="1086" spans="2:7">
      <c r="B1086" s="215"/>
      <c r="C1086" s="16"/>
      <c r="D1086" s="16"/>
      <c r="E1086" s="177"/>
      <c r="F1086" s="16"/>
      <c r="G1086" s="17"/>
    </row>
    <row r="1087" spans="2:7" ht="13.5" thickBot="1">
      <c r="B1087" s="19"/>
      <c r="C1087" s="20"/>
      <c r="D1087" s="20"/>
      <c r="E1087" s="8"/>
      <c r="F1087" s="20"/>
      <c r="G1087" s="9"/>
    </row>
    <row r="1088" spans="2:7" ht="13.5" thickBot="1">
      <c r="B1088" s="236"/>
      <c r="C1088" s="237"/>
      <c r="D1088" s="237"/>
      <c r="E1088" s="237"/>
      <c r="F1088" s="237"/>
      <c r="G1088" s="238"/>
    </row>
    <row r="1089" spans="2:7" ht="13.5" thickBot="1">
      <c r="B1089" s="18"/>
      <c r="G1089" s="6"/>
    </row>
    <row r="1090" spans="2:7">
      <c r="B1090" s="18"/>
      <c r="C1090" s="21"/>
      <c r="D1090" s="16"/>
      <c r="E1090" s="80"/>
      <c r="F1090" s="4"/>
      <c r="G1090" s="6"/>
    </row>
    <row r="1091" spans="2:7" ht="13.5" thickBot="1">
      <c r="B1091" s="18"/>
      <c r="C1091" s="7"/>
      <c r="D1091" s="20"/>
      <c r="E1091" s="83"/>
      <c r="F1091" s="22"/>
      <c r="G1091" s="6"/>
    </row>
    <row r="1092" spans="2:7" ht="13.5" thickBot="1">
      <c r="B1092" s="18"/>
      <c r="G1092" s="6"/>
    </row>
    <row r="1093" spans="2:7">
      <c r="B1093" s="18"/>
      <c r="C1093" s="3"/>
      <c r="D1093" s="16"/>
      <c r="E1093" s="80"/>
      <c r="F1093" s="84"/>
      <c r="G1093" s="6"/>
    </row>
    <row r="1094" spans="2:7">
      <c r="B1094" s="18"/>
      <c r="C1094" s="5"/>
      <c r="E1094" s="39"/>
      <c r="F1094" s="6"/>
      <c r="G1094" s="6"/>
    </row>
    <row r="1095" spans="2:7" ht="13.5" thickBot="1">
      <c r="B1095" s="18"/>
      <c r="C1095" s="7"/>
      <c r="D1095" s="20"/>
      <c r="E1095" s="81"/>
      <c r="F1095" s="9"/>
      <c r="G1095" s="6"/>
    </row>
    <row r="1096" spans="2:7" ht="13.5" thickBot="1">
      <c r="B1096" s="18"/>
      <c r="G1096" s="6"/>
    </row>
    <row r="1097" spans="2:7" ht="13.5" thickBot="1">
      <c r="B1097" s="18"/>
      <c r="C1097" s="23"/>
      <c r="D1097" s="24"/>
      <c r="E1097" s="87"/>
      <c r="F1097" s="25"/>
      <c r="G1097" s="6"/>
    </row>
    <row r="1098" spans="2:7">
      <c r="B1098" s="18"/>
      <c r="G1098" s="6"/>
    </row>
    <row r="1099" spans="2:7">
      <c r="B1099" s="203"/>
      <c r="D1099" s="197"/>
      <c r="E1099" s="197"/>
      <c r="F1099" s="197"/>
      <c r="G1099" s="204"/>
    </row>
    <row r="1100" spans="2:7">
      <c r="B1100" s="203"/>
      <c r="D1100" s="197"/>
      <c r="E1100" s="197"/>
      <c r="F1100" s="197"/>
      <c r="G1100" s="204"/>
    </row>
    <row r="1101" spans="2:7">
      <c r="B1101" s="5"/>
      <c r="C1101" s="39"/>
      <c r="D1101" s="197"/>
      <c r="E1101" s="197"/>
      <c r="F1101" s="197"/>
      <c r="G1101" s="204"/>
    </row>
    <row r="1102" spans="2:7">
      <c r="B1102" s="5"/>
      <c r="C1102" s="39"/>
      <c r="D1102" s="197"/>
      <c r="E1102" s="197"/>
      <c r="F1102" s="197"/>
      <c r="G1102" s="204"/>
    </row>
    <row r="1103" spans="2:7">
      <c r="B1103" s="5"/>
      <c r="C1103" s="39"/>
      <c r="D1103" s="197"/>
      <c r="E1103" s="197"/>
      <c r="F1103" s="197"/>
      <c r="G1103" s="204"/>
    </row>
    <row r="1104" spans="2:7">
      <c r="B1104" s="5"/>
      <c r="C1104" s="39"/>
      <c r="D1104" s="197"/>
      <c r="E1104" s="197"/>
      <c r="F1104" s="197"/>
      <c r="G1104" s="204"/>
    </row>
    <row r="1105" spans="2:7">
      <c r="B1105" s="5"/>
      <c r="C1105" s="39"/>
      <c r="D1105" s="197"/>
      <c r="E1105" s="197"/>
      <c r="F1105" s="197"/>
      <c r="G1105" s="204"/>
    </row>
    <row r="1106" spans="2:7">
      <c r="B1106" s="5"/>
      <c r="C1106" s="39"/>
      <c r="D1106" s="197"/>
      <c r="E1106" s="197"/>
      <c r="F1106" s="197"/>
      <c r="G1106" s="204"/>
    </row>
    <row r="1107" spans="2:7">
      <c r="B1107" s="5"/>
      <c r="C1107" s="39"/>
      <c r="D1107" s="197"/>
      <c r="E1107" s="197"/>
      <c r="F1107" s="197"/>
      <c r="G1107" s="204"/>
    </row>
    <row r="1108" spans="2:7">
      <c r="B1108" s="5"/>
      <c r="C1108" s="39"/>
      <c r="D1108" s="197"/>
      <c r="E1108" s="197"/>
      <c r="F1108" s="197"/>
      <c r="G1108" s="204"/>
    </row>
    <row r="1109" spans="2:7">
      <c r="B1109" s="5"/>
      <c r="C1109" s="39"/>
      <c r="D1109" s="197"/>
      <c r="E1109" s="197"/>
      <c r="F1109" s="197"/>
      <c r="G1109" s="204"/>
    </row>
    <row r="1110" spans="2:7">
      <c r="B1110" s="5"/>
      <c r="C1110" s="39"/>
      <c r="D1110" s="197"/>
      <c r="E1110" s="197"/>
      <c r="F1110" s="197"/>
      <c r="G1110" s="204"/>
    </row>
    <row r="1111" spans="2:7">
      <c r="B1111" s="5"/>
      <c r="C1111" s="39"/>
      <c r="D1111" s="197"/>
      <c r="E1111" s="197"/>
      <c r="F1111" s="197"/>
      <c r="G1111" s="204"/>
    </row>
    <row r="1112" spans="2:7">
      <c r="B1112" s="5"/>
      <c r="C1112" s="39"/>
      <c r="D1112" s="197"/>
      <c r="E1112" s="197"/>
      <c r="F1112" s="197"/>
      <c r="G1112" s="204"/>
    </row>
    <row r="1113" spans="2:7">
      <c r="B1113" s="5"/>
      <c r="C1113" s="39"/>
      <c r="D1113" s="197"/>
      <c r="E1113" s="197"/>
      <c r="F1113" s="197"/>
      <c r="G1113" s="204"/>
    </row>
    <row r="1114" spans="2:7">
      <c r="B1114" s="5"/>
      <c r="C1114" s="39"/>
      <c r="D1114" s="197"/>
      <c r="E1114" s="197"/>
      <c r="F1114" s="197"/>
      <c r="G1114" s="204"/>
    </row>
    <row r="1115" spans="2:7">
      <c r="B1115" s="5"/>
      <c r="C1115" s="39"/>
      <c r="D1115" s="197"/>
      <c r="E1115" s="197"/>
      <c r="F1115" s="197"/>
      <c r="G1115" s="204"/>
    </row>
    <row r="1116" spans="2:7">
      <c r="B1116" s="18"/>
      <c r="G1116" s="6"/>
    </row>
    <row r="1117" spans="2:7">
      <c r="B1117" s="203"/>
      <c r="C1117" s="39"/>
      <c r="G1117" s="6"/>
    </row>
    <row r="1118" spans="2:7">
      <c r="B1118" s="203"/>
      <c r="C1118" s="198"/>
      <c r="G1118" s="6"/>
    </row>
    <row r="1119" spans="2:7">
      <c r="B1119" s="203"/>
      <c r="C1119" s="198"/>
      <c r="G1119" s="6"/>
    </row>
    <row r="1120" spans="2:7">
      <c r="B1120" s="203"/>
      <c r="C1120" s="198"/>
      <c r="G1120" s="6"/>
    </row>
    <row r="1121" spans="2:7">
      <c r="B1121" s="203"/>
      <c r="C1121" s="198"/>
      <c r="G1121" s="6"/>
    </row>
    <row r="1122" spans="2:7">
      <c r="B1122" s="203"/>
      <c r="C1122" s="198"/>
      <c r="G1122" s="6"/>
    </row>
    <row r="1123" spans="2:7">
      <c r="B1123" s="203"/>
      <c r="C1123" s="198"/>
      <c r="G1123" s="6"/>
    </row>
    <row r="1124" spans="2:7">
      <c r="B1124" s="203"/>
      <c r="C1124" s="198"/>
      <c r="G1124" s="6"/>
    </row>
    <row r="1125" spans="2:7">
      <c r="B1125" s="203"/>
      <c r="C1125" s="198"/>
      <c r="G1125" s="6"/>
    </row>
    <row r="1126" spans="2:7">
      <c r="B1126" s="203"/>
      <c r="C1126" s="198"/>
      <c r="G1126" s="6"/>
    </row>
    <row r="1127" spans="2:7">
      <c r="B1127" s="203"/>
      <c r="C1127" s="2"/>
      <c r="G1127" s="6"/>
    </row>
    <row r="1128" spans="2:7">
      <c r="B1128" s="82"/>
      <c r="C1128" s="198"/>
      <c r="G1128" s="6"/>
    </row>
    <row r="1129" spans="2:7">
      <c r="B1129" s="82"/>
      <c r="C1129" s="198"/>
      <c r="G1129" s="6"/>
    </row>
    <row r="1130" spans="2:7">
      <c r="B1130" s="82"/>
      <c r="C1130" s="198"/>
      <c r="G1130" s="6"/>
    </row>
    <row r="1131" spans="2:7">
      <c r="B1131" s="82"/>
      <c r="C1131" s="198"/>
      <c r="G1131" s="6"/>
    </row>
    <row r="1132" spans="2:7">
      <c r="B1132" s="82"/>
      <c r="C1132" s="198"/>
      <c r="G1132" s="6"/>
    </row>
    <row r="1133" spans="2:7">
      <c r="B1133" s="18"/>
      <c r="C1133" s="15"/>
      <c r="G1133" s="6"/>
    </row>
    <row r="1134" spans="2:7">
      <c r="B1134" s="82"/>
      <c r="C1134" s="198"/>
      <c r="G1134" s="6"/>
    </row>
    <row r="1135" spans="2:7">
      <c r="B1135" s="18"/>
      <c r="G1135" s="6"/>
    </row>
    <row r="1136" spans="2:7">
      <c r="B1136" s="18"/>
      <c r="C1136" s="153"/>
      <c r="G1136" s="6"/>
    </row>
    <row r="1137" spans="2:7">
      <c r="B1137" s="82"/>
      <c r="C1137" s="198"/>
      <c r="G1137" s="6"/>
    </row>
    <row r="1138" spans="2:7">
      <c r="B1138" s="18"/>
      <c r="G1138" s="6"/>
    </row>
    <row r="1139" spans="2:7">
      <c r="B1139" s="203"/>
      <c r="C1139" s="15"/>
      <c r="G1139" s="6"/>
    </row>
    <row r="1140" spans="2:7">
      <c r="B1140" s="82"/>
      <c r="C1140" s="66"/>
      <c r="G1140" s="6"/>
    </row>
    <row r="1141" spans="2:7" ht="13.5" thickBot="1">
      <c r="B1141" s="163"/>
      <c r="C1141" s="20"/>
      <c r="D1141" s="20"/>
      <c r="E1141" s="8"/>
      <c r="F1141" s="20"/>
      <c r="G1141" s="9"/>
    </row>
    <row r="1142" spans="2:7">
      <c r="B1142" s="5"/>
      <c r="C1142" s="39"/>
      <c r="G1142" s="6"/>
    </row>
    <row r="1143" spans="2:7" ht="13.5" thickBot="1">
      <c r="B1143" s="5"/>
      <c r="C1143" s="39"/>
      <c r="G1143" s="6"/>
    </row>
    <row r="1144" spans="2:7" ht="13.5" thickBot="1">
      <c r="B1144" s="236"/>
      <c r="C1144" s="237"/>
      <c r="D1144" s="237"/>
      <c r="E1144" s="237"/>
      <c r="F1144" s="237"/>
      <c r="G1144" s="238"/>
    </row>
    <row r="1145" spans="2:7" ht="13.5" thickBot="1">
      <c r="B1145" s="18"/>
      <c r="G1145" s="6"/>
    </row>
    <row r="1146" spans="2:7">
      <c r="B1146" s="18"/>
      <c r="C1146" s="21"/>
      <c r="D1146" s="16"/>
      <c r="E1146" s="80"/>
      <c r="F1146" s="4"/>
      <c r="G1146" s="6"/>
    </row>
    <row r="1147" spans="2:7" ht="13.5" thickBot="1">
      <c r="B1147" s="18"/>
      <c r="C1147" s="7"/>
      <c r="D1147" s="20"/>
      <c r="E1147" s="83"/>
      <c r="F1147" s="22"/>
      <c r="G1147" s="6"/>
    </row>
    <row r="1148" spans="2:7" ht="13.5" thickBot="1">
      <c r="B1148" s="18"/>
      <c r="G1148" s="6"/>
    </row>
    <row r="1149" spans="2:7">
      <c r="B1149" s="18"/>
      <c r="C1149" s="3"/>
      <c r="D1149" s="16"/>
      <c r="E1149" s="80"/>
      <c r="F1149" s="84"/>
      <c r="G1149" s="6"/>
    </row>
    <row r="1150" spans="2:7">
      <c r="B1150" s="18"/>
      <c r="C1150" s="5"/>
      <c r="E1150" s="39"/>
      <c r="F1150" s="6"/>
      <c r="G1150" s="6"/>
    </row>
    <row r="1151" spans="2:7" ht="13.5" thickBot="1">
      <c r="B1151" s="18"/>
      <c r="C1151" s="7"/>
      <c r="D1151" s="20"/>
      <c r="E1151" s="81"/>
      <c r="F1151" s="9"/>
      <c r="G1151" s="6"/>
    </row>
    <row r="1152" spans="2:7" ht="13.5" thickBot="1">
      <c r="B1152" s="18"/>
      <c r="G1152" s="6"/>
    </row>
    <row r="1153" spans="2:7" ht="13.5" thickBot="1">
      <c r="B1153" s="18"/>
      <c r="C1153" s="23"/>
      <c r="D1153" s="24"/>
      <c r="E1153" s="87"/>
      <c r="F1153" s="25"/>
      <c r="G1153" s="6"/>
    </row>
    <row r="1154" spans="2:7">
      <c r="B1154" s="18"/>
      <c r="G1154" s="6"/>
    </row>
    <row r="1155" spans="2:7">
      <c r="B1155" s="203"/>
      <c r="D1155" s="197"/>
      <c r="E1155" s="197"/>
      <c r="F1155" s="197"/>
      <c r="G1155" s="204"/>
    </row>
    <row r="1156" spans="2:7">
      <c r="B1156" s="203"/>
      <c r="D1156" s="197"/>
      <c r="E1156" s="197"/>
      <c r="F1156" s="197"/>
      <c r="G1156" s="204"/>
    </row>
    <row r="1157" spans="2:7">
      <c r="B1157" s="5"/>
      <c r="C1157" s="39"/>
      <c r="D1157" s="197"/>
      <c r="E1157" s="197"/>
      <c r="F1157" s="197"/>
      <c r="G1157" s="204"/>
    </row>
    <row r="1158" spans="2:7">
      <c r="B1158" s="5"/>
      <c r="C1158" s="39"/>
      <c r="D1158" s="197"/>
      <c r="E1158" s="197"/>
      <c r="F1158" s="197"/>
      <c r="G1158" s="204"/>
    </row>
    <row r="1159" spans="2:7">
      <c r="B1159" s="5"/>
      <c r="C1159" s="39"/>
      <c r="D1159" s="197"/>
      <c r="E1159" s="197"/>
      <c r="F1159" s="197"/>
      <c r="G1159" s="204"/>
    </row>
    <row r="1160" spans="2:7">
      <c r="B1160" s="5"/>
      <c r="C1160" s="39"/>
      <c r="D1160" s="197"/>
      <c r="E1160" s="197"/>
      <c r="F1160" s="197"/>
      <c r="G1160" s="204"/>
    </row>
    <row r="1161" spans="2:7">
      <c r="B1161" s="5"/>
      <c r="C1161" s="39"/>
      <c r="D1161" s="197"/>
      <c r="E1161" s="197"/>
      <c r="F1161" s="197"/>
      <c r="G1161" s="204"/>
    </row>
    <row r="1162" spans="2:7">
      <c r="B1162" s="5"/>
      <c r="C1162" s="39"/>
      <c r="D1162" s="197"/>
      <c r="E1162" s="197"/>
      <c r="F1162" s="197"/>
      <c r="G1162" s="204"/>
    </row>
    <row r="1163" spans="2:7">
      <c r="B1163" s="5"/>
      <c r="C1163" s="39"/>
      <c r="D1163" s="197"/>
      <c r="E1163" s="197"/>
      <c r="F1163" s="197"/>
      <c r="G1163" s="204"/>
    </row>
    <row r="1164" spans="2:7">
      <c r="B1164" s="5"/>
      <c r="C1164" s="39"/>
      <c r="D1164" s="197"/>
      <c r="E1164" s="197"/>
      <c r="F1164" s="197"/>
      <c r="G1164" s="204"/>
    </row>
    <row r="1165" spans="2:7">
      <c r="B1165" s="5"/>
      <c r="C1165" s="39"/>
      <c r="D1165" s="197"/>
      <c r="E1165" s="197"/>
      <c r="F1165" s="197"/>
      <c r="G1165" s="204"/>
    </row>
    <row r="1166" spans="2:7">
      <c r="B1166" s="5"/>
      <c r="C1166" s="39"/>
      <c r="D1166" s="197"/>
      <c r="E1166" s="197"/>
      <c r="F1166" s="197"/>
      <c r="G1166" s="204"/>
    </row>
    <row r="1167" spans="2:7">
      <c r="B1167" s="5"/>
      <c r="C1167" s="39"/>
      <c r="D1167" s="197"/>
      <c r="E1167" s="197"/>
      <c r="F1167" s="197"/>
      <c r="G1167" s="204"/>
    </row>
    <row r="1168" spans="2:7">
      <c r="B1168" s="5"/>
      <c r="C1168" s="39"/>
      <c r="D1168" s="197"/>
      <c r="E1168" s="197"/>
      <c r="F1168" s="197"/>
      <c r="G1168" s="204"/>
    </row>
    <row r="1169" spans="2:7">
      <c r="B1169" s="5"/>
      <c r="C1169" s="39"/>
      <c r="D1169" s="197"/>
      <c r="E1169" s="197"/>
      <c r="F1169" s="197"/>
      <c r="G1169" s="204"/>
    </row>
    <row r="1170" spans="2:7">
      <c r="B1170" s="5"/>
      <c r="C1170" s="39"/>
      <c r="D1170" s="197"/>
      <c r="E1170" s="197"/>
      <c r="F1170" s="197"/>
      <c r="G1170" s="204"/>
    </row>
    <row r="1171" spans="2:7">
      <c r="B1171" s="5"/>
      <c r="C1171" s="39"/>
      <c r="D1171" s="197"/>
      <c r="E1171" s="197"/>
      <c r="F1171" s="197"/>
      <c r="G1171" s="204"/>
    </row>
    <row r="1172" spans="2:7">
      <c r="B1172" s="18"/>
      <c r="G1172" s="6"/>
    </row>
    <row r="1173" spans="2:7">
      <c r="B1173" s="203"/>
      <c r="C1173" s="39"/>
      <c r="G1173" s="6"/>
    </row>
    <row r="1174" spans="2:7">
      <c r="B1174" s="203"/>
      <c r="C1174" s="198"/>
      <c r="G1174" s="6"/>
    </row>
    <row r="1175" spans="2:7">
      <c r="B1175" s="203"/>
      <c r="C1175" s="198"/>
      <c r="G1175" s="6"/>
    </row>
    <row r="1176" spans="2:7">
      <c r="B1176" s="203"/>
      <c r="C1176" s="198"/>
      <c r="G1176" s="6"/>
    </row>
    <row r="1177" spans="2:7">
      <c r="B1177" s="203"/>
      <c r="C1177" s="198"/>
      <c r="G1177" s="6"/>
    </row>
    <row r="1178" spans="2:7">
      <c r="B1178" s="203"/>
      <c r="C1178" s="198"/>
      <c r="G1178" s="6"/>
    </row>
    <row r="1179" spans="2:7">
      <c r="B1179" s="203"/>
      <c r="C1179" s="198"/>
      <c r="G1179" s="6"/>
    </row>
    <row r="1180" spans="2:7">
      <c r="B1180" s="203"/>
      <c r="C1180" s="198"/>
      <c r="G1180" s="6"/>
    </row>
    <row r="1181" spans="2:7">
      <c r="B1181" s="203"/>
      <c r="C1181" s="2"/>
      <c r="G1181" s="6"/>
    </row>
    <row r="1182" spans="2:7">
      <c r="B1182" s="82"/>
      <c r="C1182" s="198"/>
      <c r="G1182" s="6"/>
    </row>
    <row r="1183" spans="2:7">
      <c r="B1183" s="82"/>
      <c r="C1183" s="198"/>
      <c r="G1183" s="6"/>
    </row>
    <row r="1184" spans="2:7">
      <c r="B1184" s="82"/>
      <c r="C1184" s="198"/>
      <c r="G1184" s="6"/>
    </row>
    <row r="1185" spans="2:7">
      <c r="B1185" s="18"/>
      <c r="C1185" s="15"/>
      <c r="G1185" s="6"/>
    </row>
    <row r="1186" spans="2:7">
      <c r="B1186" s="82"/>
      <c r="C1186" s="198"/>
      <c r="G1186" s="6"/>
    </row>
    <row r="1187" spans="2:7">
      <c r="B1187" s="18"/>
      <c r="G1187" s="6"/>
    </row>
    <row r="1188" spans="2:7">
      <c r="B1188" s="18"/>
      <c r="C1188" s="153"/>
      <c r="G1188" s="6"/>
    </row>
    <row r="1189" spans="2:7">
      <c r="B1189" s="82"/>
      <c r="C1189" s="198"/>
      <c r="G1189" s="6"/>
    </row>
    <row r="1190" spans="2:7">
      <c r="B1190" s="18"/>
      <c r="G1190" s="6"/>
    </row>
    <row r="1191" spans="2:7">
      <c r="B1191" s="203"/>
      <c r="C1191" s="15"/>
      <c r="G1191" s="6"/>
    </row>
    <row r="1192" spans="2:7">
      <c r="B1192" s="82"/>
      <c r="C1192" s="66"/>
      <c r="G1192" s="6"/>
    </row>
    <row r="1193" spans="2:7" ht="13.5" thickBot="1">
      <c r="B1193" s="163"/>
      <c r="C1193" s="20"/>
      <c r="D1193" s="20"/>
      <c r="E1193" s="8"/>
      <c r="F1193" s="20"/>
      <c r="G1193" s="9"/>
    </row>
    <row r="1194" spans="2:7">
      <c r="B1194" s="5"/>
      <c r="C1194" s="39"/>
      <c r="G1194" s="6"/>
    </row>
    <row r="1195" spans="2:7" ht="13.5" thickBot="1">
      <c r="B1195" s="5"/>
      <c r="C1195" s="39"/>
      <c r="G1195" s="6"/>
    </row>
    <row r="1196" spans="2:7" ht="13.5" thickBot="1">
      <c r="B1196" s="236"/>
      <c r="C1196" s="237"/>
      <c r="D1196" s="237"/>
      <c r="E1196" s="237"/>
      <c r="F1196" s="237"/>
      <c r="G1196" s="238"/>
    </row>
    <row r="1197" spans="2:7" ht="13.5" thickBot="1">
      <c r="B1197" s="18"/>
      <c r="G1197" s="6"/>
    </row>
    <row r="1198" spans="2:7">
      <c r="B1198" s="18"/>
      <c r="C1198" s="21"/>
      <c r="D1198" s="16"/>
      <c r="E1198" s="80"/>
      <c r="F1198" s="4"/>
      <c r="G1198" s="6"/>
    </row>
    <row r="1199" spans="2:7" ht="13.5" thickBot="1">
      <c r="B1199" s="18"/>
      <c r="C1199" s="7"/>
      <c r="D1199" s="20"/>
      <c r="E1199" s="83"/>
      <c r="F1199" s="22"/>
      <c r="G1199" s="6"/>
    </row>
    <row r="1200" spans="2:7" ht="13.5" thickBot="1">
      <c r="B1200" s="18"/>
      <c r="G1200" s="6"/>
    </row>
    <row r="1201" spans="2:7">
      <c r="B1201" s="18"/>
      <c r="C1201" s="3"/>
      <c r="D1201" s="16"/>
      <c r="E1201" s="80"/>
      <c r="F1201" s="84"/>
      <c r="G1201" s="6"/>
    </row>
    <row r="1202" spans="2:7">
      <c r="B1202" s="18"/>
      <c r="C1202" s="5"/>
      <c r="E1202" s="39"/>
      <c r="F1202" s="6"/>
      <c r="G1202" s="6"/>
    </row>
    <row r="1203" spans="2:7" ht="13.5" thickBot="1">
      <c r="B1203" s="18"/>
      <c r="C1203" s="7"/>
      <c r="D1203" s="20"/>
      <c r="E1203" s="81"/>
      <c r="F1203" s="9"/>
      <c r="G1203" s="6"/>
    </row>
    <row r="1204" spans="2:7" ht="13.5" thickBot="1">
      <c r="B1204" s="18"/>
      <c r="G1204" s="6"/>
    </row>
    <row r="1205" spans="2:7" ht="13.5" thickBot="1">
      <c r="B1205" s="18"/>
      <c r="C1205" s="23"/>
      <c r="D1205" s="24"/>
      <c r="E1205" s="87"/>
      <c r="F1205" s="25"/>
      <c r="G1205" s="6"/>
    </row>
    <row r="1206" spans="2:7">
      <c r="B1206" s="18"/>
      <c r="G1206" s="6"/>
    </row>
    <row r="1207" spans="2:7">
      <c r="B1207" s="203"/>
      <c r="D1207" s="197"/>
      <c r="E1207" s="197"/>
      <c r="F1207" s="197"/>
      <c r="G1207" s="204"/>
    </row>
    <row r="1208" spans="2:7">
      <c r="B1208" s="203"/>
      <c r="D1208" s="197"/>
      <c r="E1208" s="197"/>
      <c r="F1208" s="197"/>
      <c r="G1208" s="204"/>
    </row>
    <row r="1209" spans="2:7">
      <c r="B1209" s="5"/>
      <c r="C1209" s="39"/>
      <c r="D1209" s="197"/>
      <c r="E1209" s="197"/>
      <c r="F1209" s="197"/>
      <c r="G1209" s="204"/>
    </row>
    <row r="1210" spans="2:7">
      <c r="B1210" s="5"/>
      <c r="C1210" s="39"/>
      <c r="D1210" s="197"/>
      <c r="E1210" s="197"/>
      <c r="F1210" s="197"/>
      <c r="G1210" s="204"/>
    </row>
    <row r="1211" spans="2:7">
      <c r="B1211" s="5"/>
      <c r="C1211" s="39"/>
      <c r="D1211" s="197"/>
      <c r="E1211" s="197"/>
      <c r="F1211" s="197"/>
      <c r="G1211" s="204"/>
    </row>
    <row r="1212" spans="2:7">
      <c r="B1212" s="5"/>
      <c r="C1212" s="39"/>
      <c r="D1212" s="197"/>
      <c r="E1212" s="197"/>
      <c r="F1212" s="197"/>
      <c r="G1212" s="204"/>
    </row>
    <row r="1213" spans="2:7">
      <c r="B1213" s="5"/>
      <c r="C1213" s="39"/>
      <c r="D1213" s="197"/>
      <c r="E1213" s="197"/>
      <c r="F1213" s="197"/>
      <c r="G1213" s="204"/>
    </row>
    <row r="1214" spans="2:7">
      <c r="B1214" s="5"/>
      <c r="C1214" s="39"/>
      <c r="D1214" s="197"/>
      <c r="E1214" s="197"/>
      <c r="F1214" s="197"/>
      <c r="G1214" s="204"/>
    </row>
    <row r="1215" spans="2:7">
      <c r="B1215" s="5"/>
      <c r="C1215" s="39"/>
      <c r="D1215" s="197"/>
      <c r="E1215" s="197"/>
      <c r="F1215" s="197"/>
      <c r="G1215" s="204"/>
    </row>
    <row r="1216" spans="2:7">
      <c r="B1216" s="5"/>
      <c r="C1216" s="39"/>
      <c r="D1216" s="197"/>
      <c r="E1216" s="197"/>
      <c r="F1216" s="197"/>
      <c r="G1216" s="204"/>
    </row>
    <row r="1217" spans="2:7">
      <c r="B1217" s="5"/>
      <c r="C1217" s="39"/>
      <c r="D1217" s="197"/>
      <c r="E1217" s="197"/>
      <c r="F1217" s="197"/>
      <c r="G1217" s="204"/>
    </row>
    <row r="1218" spans="2:7">
      <c r="B1218" s="5"/>
      <c r="C1218" s="39"/>
      <c r="D1218" s="197"/>
      <c r="E1218" s="197"/>
      <c r="F1218" s="197"/>
      <c r="G1218" s="204"/>
    </row>
    <row r="1219" spans="2:7">
      <c r="B1219" s="5"/>
      <c r="C1219" s="39"/>
      <c r="D1219" s="197"/>
      <c r="E1219" s="197"/>
      <c r="F1219" s="197"/>
      <c r="G1219" s="204"/>
    </row>
    <row r="1220" spans="2:7">
      <c r="B1220" s="5"/>
      <c r="C1220" s="39"/>
      <c r="D1220" s="197"/>
      <c r="E1220" s="197"/>
      <c r="F1220" s="197"/>
      <c r="G1220" s="204"/>
    </row>
    <row r="1221" spans="2:7">
      <c r="B1221" s="5"/>
      <c r="C1221" s="39"/>
      <c r="D1221" s="197"/>
      <c r="E1221" s="197"/>
      <c r="F1221" s="197"/>
      <c r="G1221" s="204"/>
    </row>
    <row r="1222" spans="2:7">
      <c r="B1222" s="5"/>
      <c r="C1222" s="39"/>
      <c r="D1222" s="197"/>
      <c r="E1222" s="197"/>
      <c r="F1222" s="197"/>
      <c r="G1222" s="204"/>
    </row>
    <row r="1223" spans="2:7">
      <c r="B1223" s="5"/>
      <c r="C1223" s="39"/>
      <c r="D1223" s="197"/>
      <c r="E1223" s="197"/>
      <c r="F1223" s="197"/>
      <c r="G1223" s="204"/>
    </row>
    <row r="1224" spans="2:7">
      <c r="B1224" s="18"/>
      <c r="G1224" s="6"/>
    </row>
    <row r="1225" spans="2:7">
      <c r="B1225" s="203"/>
      <c r="C1225" s="39"/>
      <c r="G1225" s="6"/>
    </row>
    <row r="1226" spans="2:7">
      <c r="B1226" s="203"/>
      <c r="C1226" s="198"/>
      <c r="G1226" s="6"/>
    </row>
    <row r="1227" spans="2:7">
      <c r="B1227" s="203"/>
      <c r="C1227" s="198"/>
      <c r="G1227" s="6"/>
    </row>
    <row r="1228" spans="2:7">
      <c r="B1228" s="203"/>
      <c r="C1228" s="198"/>
      <c r="G1228" s="6"/>
    </row>
    <row r="1229" spans="2:7">
      <c r="B1229" s="203"/>
      <c r="C1229" s="198"/>
      <c r="G1229" s="6"/>
    </row>
    <row r="1230" spans="2:7">
      <c r="B1230" s="203"/>
      <c r="C1230" s="198"/>
      <c r="G1230" s="6"/>
    </row>
    <row r="1231" spans="2:7">
      <c r="B1231" s="203"/>
      <c r="C1231" s="198"/>
      <c r="G1231" s="6"/>
    </row>
    <row r="1232" spans="2:7">
      <c r="B1232" s="203"/>
      <c r="C1232" s="198"/>
      <c r="G1232" s="6"/>
    </row>
    <row r="1233" spans="2:7">
      <c r="B1233" s="203"/>
      <c r="C1233" s="198"/>
      <c r="G1233" s="6"/>
    </row>
    <row r="1234" spans="2:7">
      <c r="B1234" s="203"/>
      <c r="C1234" s="2"/>
      <c r="G1234" s="6"/>
    </row>
    <row r="1235" spans="2:7">
      <c r="B1235" s="82"/>
      <c r="C1235" s="198"/>
      <c r="G1235" s="6"/>
    </row>
    <row r="1236" spans="2:7">
      <c r="B1236" s="82"/>
      <c r="C1236" s="198"/>
      <c r="G1236" s="6"/>
    </row>
    <row r="1237" spans="2:7">
      <c r="B1237" s="82"/>
      <c r="C1237" s="198"/>
      <c r="G1237" s="6"/>
    </row>
    <row r="1238" spans="2:7">
      <c r="B1238" s="18"/>
      <c r="C1238" s="15"/>
      <c r="G1238" s="6"/>
    </row>
    <row r="1239" spans="2:7">
      <c r="B1239" s="82"/>
      <c r="C1239" s="198"/>
      <c r="G1239" s="6"/>
    </row>
    <row r="1240" spans="2:7">
      <c r="B1240" s="18"/>
      <c r="G1240" s="6"/>
    </row>
    <row r="1241" spans="2:7">
      <c r="B1241" s="18"/>
      <c r="C1241" s="153"/>
      <c r="G1241" s="6"/>
    </row>
    <row r="1242" spans="2:7">
      <c r="B1242" s="82"/>
      <c r="C1242" s="198"/>
      <c r="G1242" s="6"/>
    </row>
    <row r="1243" spans="2:7">
      <c r="B1243" s="18"/>
      <c r="G1243" s="6"/>
    </row>
    <row r="1244" spans="2:7">
      <c r="B1244" s="203"/>
      <c r="C1244" s="15"/>
      <c r="G1244" s="6"/>
    </row>
    <row r="1245" spans="2:7">
      <c r="B1245" s="82"/>
      <c r="C1245" s="66"/>
      <c r="G1245" s="6"/>
    </row>
    <row r="1246" spans="2:7">
      <c r="B1246" s="82"/>
      <c r="C1246" s="66"/>
      <c r="G1246" s="6"/>
    </row>
    <row r="1247" spans="2:7" ht="13.5" thickBot="1">
      <c r="B1247" s="163"/>
      <c r="C1247" s="20"/>
      <c r="D1247" s="20"/>
      <c r="E1247" s="8"/>
      <c r="F1247" s="20"/>
      <c r="G1247" s="9"/>
    </row>
    <row r="1248" spans="2:7">
      <c r="B1248" s="5"/>
      <c r="C1248" s="39"/>
      <c r="G1248" s="6"/>
    </row>
    <row r="1249" spans="2:7" ht="13.5" thickBot="1">
      <c r="B1249" s="5"/>
      <c r="C1249" s="39"/>
      <c r="G1249" s="6"/>
    </row>
    <row r="1250" spans="2:7" ht="13.5" thickBot="1">
      <c r="B1250" s="236"/>
      <c r="C1250" s="237"/>
      <c r="D1250" s="237"/>
      <c r="E1250" s="237"/>
      <c r="F1250" s="237"/>
      <c r="G1250" s="238"/>
    </row>
    <row r="1251" spans="2:7" ht="13.5" thickBot="1">
      <c r="B1251" s="18"/>
      <c r="G1251" s="6"/>
    </row>
    <row r="1252" spans="2:7">
      <c r="B1252" s="18"/>
      <c r="C1252" s="21"/>
      <c r="D1252" s="16"/>
      <c r="E1252" s="80"/>
      <c r="F1252" s="4"/>
      <c r="G1252" s="6"/>
    </row>
    <row r="1253" spans="2:7" ht="13.5" thickBot="1">
      <c r="B1253" s="18"/>
      <c r="C1253" s="7"/>
      <c r="D1253" s="20"/>
      <c r="E1253" s="83"/>
      <c r="F1253" s="22"/>
      <c r="G1253" s="6"/>
    </row>
    <row r="1254" spans="2:7" ht="13.5" thickBot="1">
      <c r="B1254" s="18"/>
      <c r="G1254" s="6"/>
    </row>
    <row r="1255" spans="2:7">
      <c r="B1255" s="18"/>
      <c r="C1255" s="3"/>
      <c r="D1255" s="16"/>
      <c r="E1255" s="80"/>
      <c r="F1255" s="84"/>
      <c r="G1255" s="6"/>
    </row>
    <row r="1256" spans="2:7">
      <c r="B1256" s="18"/>
      <c r="C1256" s="5"/>
      <c r="E1256" s="39"/>
      <c r="F1256" s="6"/>
      <c r="G1256" s="6"/>
    </row>
    <row r="1257" spans="2:7" ht="13.5" thickBot="1">
      <c r="B1257" s="18"/>
      <c r="C1257" s="7"/>
      <c r="D1257" s="20"/>
      <c r="E1257" s="81"/>
      <c r="F1257" s="9"/>
      <c r="G1257" s="6"/>
    </row>
    <row r="1258" spans="2:7" ht="13.5" thickBot="1">
      <c r="B1258" s="18"/>
      <c r="G1258" s="6"/>
    </row>
    <row r="1259" spans="2:7" ht="13.5" thickBot="1">
      <c r="B1259" s="18"/>
      <c r="C1259" s="23"/>
      <c r="D1259" s="24"/>
      <c r="E1259" s="87"/>
      <c r="F1259" s="25"/>
      <c r="G1259" s="6"/>
    </row>
    <row r="1260" spans="2:7">
      <c r="B1260" s="18"/>
      <c r="G1260" s="6"/>
    </row>
    <row r="1261" spans="2:7">
      <c r="B1261" s="203"/>
      <c r="D1261" s="197"/>
      <c r="E1261" s="197"/>
      <c r="F1261" s="197"/>
      <c r="G1261" s="204"/>
    </row>
    <row r="1262" spans="2:7">
      <c r="B1262" s="203"/>
      <c r="D1262" s="197"/>
      <c r="E1262" s="197"/>
      <c r="F1262" s="197"/>
      <c r="G1262" s="204"/>
    </row>
    <row r="1263" spans="2:7">
      <c r="B1263" s="5"/>
      <c r="C1263" s="39"/>
      <c r="D1263" s="197"/>
      <c r="E1263" s="197"/>
      <c r="F1263" s="197"/>
      <c r="G1263" s="204"/>
    </row>
    <row r="1264" spans="2:7">
      <c r="B1264" s="5"/>
      <c r="C1264" s="39"/>
      <c r="D1264" s="197"/>
      <c r="E1264" s="197"/>
      <c r="F1264" s="197"/>
      <c r="G1264" s="204"/>
    </row>
    <row r="1265" spans="2:7">
      <c r="B1265" s="5"/>
      <c r="C1265" s="39"/>
      <c r="D1265" s="197"/>
      <c r="E1265" s="197"/>
      <c r="F1265" s="197"/>
      <c r="G1265" s="204"/>
    </row>
    <row r="1266" spans="2:7">
      <c r="B1266" s="5"/>
      <c r="C1266" s="39"/>
      <c r="D1266" s="197"/>
      <c r="E1266" s="197"/>
      <c r="F1266" s="197"/>
      <c r="G1266" s="204"/>
    </row>
    <row r="1267" spans="2:7">
      <c r="B1267" s="5"/>
      <c r="C1267" s="39"/>
      <c r="D1267" s="197"/>
      <c r="E1267" s="197"/>
      <c r="F1267" s="197"/>
      <c r="G1267" s="204"/>
    </row>
    <row r="1268" spans="2:7">
      <c r="B1268" s="5"/>
      <c r="C1268" s="39"/>
      <c r="D1268" s="197"/>
      <c r="E1268" s="197"/>
      <c r="F1268" s="197"/>
      <c r="G1268" s="204"/>
    </row>
    <row r="1269" spans="2:7">
      <c r="B1269" s="5"/>
      <c r="C1269" s="39"/>
      <c r="D1269" s="197"/>
      <c r="E1269" s="197"/>
      <c r="F1269" s="197"/>
      <c r="G1269" s="204"/>
    </row>
    <row r="1270" spans="2:7">
      <c r="B1270" s="5"/>
      <c r="C1270" s="39"/>
      <c r="D1270" s="197"/>
      <c r="E1270" s="197"/>
      <c r="F1270" s="197"/>
      <c r="G1270" s="204"/>
    </row>
    <row r="1271" spans="2:7">
      <c r="B1271" s="5"/>
      <c r="C1271" s="39"/>
      <c r="D1271" s="197"/>
      <c r="E1271" s="197"/>
      <c r="F1271" s="197"/>
      <c r="G1271" s="204"/>
    </row>
    <row r="1272" spans="2:7">
      <c r="B1272" s="5"/>
      <c r="C1272" s="39"/>
      <c r="D1272" s="197"/>
      <c r="E1272" s="197"/>
      <c r="F1272" s="197"/>
      <c r="G1272" s="204"/>
    </row>
    <row r="1273" spans="2:7">
      <c r="B1273" s="5"/>
      <c r="C1273" s="39"/>
      <c r="D1273" s="197"/>
      <c r="E1273" s="197"/>
      <c r="F1273" s="197"/>
      <c r="G1273" s="204"/>
    </row>
    <row r="1274" spans="2:7">
      <c r="B1274" s="5"/>
      <c r="C1274" s="39"/>
      <c r="D1274" s="197"/>
      <c r="E1274" s="197"/>
      <c r="F1274" s="197"/>
      <c r="G1274" s="204"/>
    </row>
    <row r="1275" spans="2:7">
      <c r="B1275" s="5"/>
      <c r="C1275" s="39"/>
      <c r="D1275" s="197"/>
      <c r="E1275" s="197"/>
      <c r="F1275" s="197"/>
      <c r="G1275" s="204"/>
    </row>
    <row r="1276" spans="2:7">
      <c r="B1276" s="5"/>
      <c r="C1276" s="39"/>
      <c r="D1276" s="197"/>
      <c r="E1276" s="197"/>
      <c r="F1276" s="197"/>
      <c r="G1276" s="204"/>
    </row>
    <row r="1277" spans="2:7">
      <c r="B1277" s="5"/>
      <c r="C1277" s="39"/>
      <c r="D1277" s="197"/>
      <c r="E1277" s="197"/>
      <c r="F1277" s="197"/>
      <c r="G1277" s="204"/>
    </row>
    <row r="1278" spans="2:7">
      <c r="B1278" s="18"/>
      <c r="G1278" s="6"/>
    </row>
    <row r="1279" spans="2:7">
      <c r="B1279" s="203"/>
      <c r="C1279" s="39"/>
      <c r="G1279" s="6"/>
    </row>
    <row r="1280" spans="2:7">
      <c r="B1280" s="203"/>
      <c r="C1280" s="198"/>
      <c r="G1280" s="6"/>
    </row>
    <row r="1281" spans="2:7">
      <c r="B1281" s="203"/>
      <c r="C1281" s="198"/>
      <c r="G1281" s="6"/>
    </row>
    <row r="1282" spans="2:7">
      <c r="B1282" s="203"/>
      <c r="C1282" s="198"/>
      <c r="G1282" s="6"/>
    </row>
    <row r="1283" spans="2:7">
      <c r="B1283" s="203"/>
      <c r="C1283" s="198"/>
      <c r="G1283" s="6"/>
    </row>
    <row r="1284" spans="2:7">
      <c r="B1284" s="203"/>
      <c r="C1284" s="198"/>
      <c r="G1284" s="6"/>
    </row>
    <row r="1285" spans="2:7">
      <c r="B1285" s="203"/>
      <c r="C1285" s="198"/>
      <c r="G1285" s="6"/>
    </row>
    <row r="1286" spans="2:7">
      <c r="B1286" s="203"/>
      <c r="C1286" s="198"/>
      <c r="G1286" s="6"/>
    </row>
    <row r="1287" spans="2:7">
      <c r="B1287" s="203"/>
      <c r="C1287" s="198"/>
      <c r="G1287" s="6"/>
    </row>
    <row r="1288" spans="2:7">
      <c r="B1288" s="203"/>
      <c r="C1288" s="198"/>
      <c r="G1288" s="6"/>
    </row>
    <row r="1289" spans="2:7">
      <c r="B1289" s="203"/>
      <c r="C1289" s="2"/>
      <c r="G1289" s="6"/>
    </row>
    <row r="1290" spans="2:7">
      <c r="B1290" s="82"/>
      <c r="C1290" s="198"/>
      <c r="G1290" s="6"/>
    </row>
    <row r="1291" spans="2:7">
      <c r="B1291" s="82"/>
      <c r="C1291" s="198"/>
      <c r="G1291" s="6"/>
    </row>
    <row r="1292" spans="2:7">
      <c r="B1292" s="82"/>
      <c r="C1292" s="198"/>
      <c r="G1292" s="6"/>
    </row>
    <row r="1293" spans="2:7">
      <c r="B1293" s="82"/>
      <c r="C1293" s="198"/>
      <c r="G1293" s="6"/>
    </row>
    <row r="1294" spans="2:7">
      <c r="B1294" s="82"/>
      <c r="C1294" s="198"/>
      <c r="G1294" s="6"/>
    </row>
    <row r="1295" spans="2:7">
      <c r="B1295" s="82"/>
      <c r="C1295" s="198"/>
      <c r="G1295" s="6"/>
    </row>
    <row r="1296" spans="2:7">
      <c r="B1296" s="82"/>
      <c r="C1296" s="198"/>
      <c r="G1296" s="6"/>
    </row>
    <row r="1297" spans="2:7">
      <c r="B1297" s="18"/>
      <c r="C1297" s="15"/>
      <c r="G1297" s="6"/>
    </row>
    <row r="1298" spans="2:7">
      <c r="B1298" s="82"/>
      <c r="C1298" s="198"/>
      <c r="G1298" s="6"/>
    </row>
    <row r="1299" spans="2:7">
      <c r="B1299" s="82"/>
      <c r="C1299" s="198"/>
      <c r="G1299" s="6"/>
    </row>
    <row r="1300" spans="2:7">
      <c r="B1300" s="82"/>
      <c r="G1300" s="6"/>
    </row>
    <row r="1301" spans="2:7">
      <c r="B1301" s="18"/>
      <c r="C1301" s="153"/>
      <c r="G1301" s="6"/>
    </row>
    <row r="1302" spans="2:7">
      <c r="B1302" s="82"/>
      <c r="C1302" s="198"/>
      <c r="G1302" s="6"/>
    </row>
    <row r="1303" spans="2:7">
      <c r="B1303" s="18"/>
      <c r="G1303" s="6"/>
    </row>
    <row r="1304" spans="2:7">
      <c r="B1304" s="203"/>
      <c r="C1304" s="15"/>
      <c r="G1304" s="6"/>
    </row>
    <row r="1305" spans="2:7">
      <c r="B1305" s="82"/>
      <c r="C1305" s="66"/>
      <c r="G1305" s="6"/>
    </row>
    <row r="1306" spans="2:7" ht="13.5" thickBot="1">
      <c r="B1306" s="163"/>
      <c r="C1306" s="20"/>
      <c r="D1306" s="20"/>
      <c r="E1306" s="8"/>
      <c r="F1306" s="20"/>
      <c r="G1306" s="9"/>
    </row>
    <row r="1307" spans="2:7">
      <c r="B1307" s="5"/>
      <c r="C1307" s="39"/>
      <c r="G1307" s="6"/>
    </row>
    <row r="1308" spans="2:7" ht="13.5" thickBot="1">
      <c r="B1308" s="5"/>
      <c r="C1308" s="39"/>
      <c r="G1308" s="6"/>
    </row>
    <row r="1309" spans="2:7" ht="13.5" thickBot="1">
      <c r="B1309" s="236"/>
      <c r="C1309" s="237"/>
      <c r="D1309" s="237"/>
      <c r="E1309" s="237"/>
      <c r="F1309" s="237"/>
      <c r="G1309" s="238"/>
    </row>
    <row r="1310" spans="2:7" ht="13.5" thickBot="1">
      <c r="B1310" s="18"/>
      <c r="G1310" s="6"/>
    </row>
    <row r="1311" spans="2:7">
      <c r="B1311" s="18"/>
      <c r="C1311" s="21"/>
      <c r="D1311" s="16"/>
      <c r="E1311" s="80"/>
      <c r="F1311" s="4"/>
      <c r="G1311" s="6"/>
    </row>
    <row r="1312" spans="2:7" ht="13.5" thickBot="1">
      <c r="B1312" s="18"/>
      <c r="C1312" s="7"/>
      <c r="D1312" s="20"/>
      <c r="E1312" s="83"/>
      <c r="F1312" s="22"/>
      <c r="G1312" s="6"/>
    </row>
    <row r="1313" spans="2:7" ht="13.5" thickBot="1">
      <c r="B1313" s="18"/>
      <c r="G1313" s="6"/>
    </row>
    <row r="1314" spans="2:7">
      <c r="B1314" s="18"/>
      <c r="C1314" s="3"/>
      <c r="D1314" s="16"/>
      <c r="E1314" s="80"/>
      <c r="F1314" s="84"/>
      <c r="G1314" s="6"/>
    </row>
    <row r="1315" spans="2:7">
      <c r="B1315" s="18"/>
      <c r="C1315" s="5"/>
      <c r="E1315" s="39"/>
      <c r="F1315" s="6"/>
      <c r="G1315" s="6"/>
    </row>
    <row r="1316" spans="2:7" ht="13.5" thickBot="1">
      <c r="B1316" s="18"/>
      <c r="C1316" s="7"/>
      <c r="D1316" s="20"/>
      <c r="E1316" s="81"/>
      <c r="F1316" s="9"/>
      <c r="G1316" s="6"/>
    </row>
    <row r="1317" spans="2:7" ht="13.5" thickBot="1">
      <c r="B1317" s="18"/>
      <c r="G1317" s="6"/>
    </row>
    <row r="1318" spans="2:7" ht="13.5" thickBot="1">
      <c r="B1318" s="18"/>
      <c r="C1318" s="23"/>
      <c r="D1318" s="24"/>
      <c r="E1318" s="87"/>
      <c r="F1318" s="25"/>
      <c r="G1318" s="6"/>
    </row>
    <row r="1319" spans="2:7">
      <c r="B1319" s="18"/>
      <c r="G1319" s="6"/>
    </row>
    <row r="1320" spans="2:7">
      <c r="B1320" s="203"/>
      <c r="D1320" s="197"/>
      <c r="E1320" s="197"/>
      <c r="F1320" s="197"/>
      <c r="G1320" s="204"/>
    </row>
    <row r="1321" spans="2:7">
      <c r="B1321" s="203"/>
      <c r="D1321" s="197"/>
      <c r="E1321" s="197"/>
      <c r="F1321" s="197"/>
      <c r="G1321" s="204"/>
    </row>
    <row r="1322" spans="2:7">
      <c r="B1322" s="5"/>
      <c r="C1322" s="39"/>
      <c r="D1322" s="197"/>
      <c r="E1322" s="197"/>
      <c r="F1322" s="197"/>
      <c r="G1322" s="204"/>
    </row>
    <row r="1323" spans="2:7">
      <c r="B1323" s="5"/>
      <c r="C1323" s="39"/>
      <c r="D1323" s="197"/>
      <c r="E1323" s="197"/>
      <c r="F1323" s="197"/>
      <c r="G1323" s="204"/>
    </row>
    <row r="1324" spans="2:7">
      <c r="B1324" s="5"/>
      <c r="C1324" s="39"/>
      <c r="D1324" s="197"/>
      <c r="E1324" s="197"/>
      <c r="F1324" s="197"/>
      <c r="G1324" s="204"/>
    </row>
    <row r="1325" spans="2:7">
      <c r="B1325" s="5"/>
      <c r="C1325" s="39"/>
      <c r="D1325" s="197"/>
      <c r="E1325" s="197"/>
      <c r="F1325" s="197"/>
      <c r="G1325" s="204"/>
    </row>
    <row r="1326" spans="2:7">
      <c r="B1326" s="5"/>
      <c r="C1326" s="39"/>
      <c r="D1326" s="197"/>
      <c r="E1326" s="197"/>
      <c r="F1326" s="197"/>
      <c r="G1326" s="204"/>
    </row>
    <row r="1327" spans="2:7">
      <c r="B1327" s="5"/>
      <c r="C1327" s="39"/>
      <c r="D1327" s="197"/>
      <c r="E1327" s="197"/>
      <c r="F1327" s="197"/>
      <c r="G1327" s="204"/>
    </row>
    <row r="1328" spans="2:7">
      <c r="B1328" s="5"/>
      <c r="C1328" s="39"/>
      <c r="D1328" s="197"/>
      <c r="E1328" s="197"/>
      <c r="F1328" s="197"/>
      <c r="G1328" s="204"/>
    </row>
    <row r="1329" spans="2:7">
      <c r="B1329" s="5"/>
      <c r="C1329" s="39"/>
      <c r="D1329" s="197"/>
      <c r="E1329" s="197"/>
      <c r="F1329" s="197"/>
      <c r="G1329" s="204"/>
    </row>
    <row r="1330" spans="2:7">
      <c r="B1330" s="5"/>
      <c r="C1330" s="39"/>
      <c r="D1330" s="197"/>
      <c r="E1330" s="197"/>
      <c r="F1330" s="197"/>
      <c r="G1330" s="204"/>
    </row>
    <row r="1331" spans="2:7">
      <c r="B1331" s="5"/>
      <c r="C1331" s="39"/>
      <c r="D1331" s="197"/>
      <c r="E1331" s="197"/>
      <c r="F1331" s="197"/>
      <c r="G1331" s="204"/>
    </row>
    <row r="1332" spans="2:7">
      <c r="B1332" s="5"/>
      <c r="C1332" s="39"/>
      <c r="D1332" s="197"/>
      <c r="E1332" s="197"/>
      <c r="F1332" s="197"/>
      <c r="G1332" s="204"/>
    </row>
    <row r="1333" spans="2:7">
      <c r="B1333" s="5"/>
      <c r="C1333" s="39"/>
      <c r="D1333" s="197"/>
      <c r="E1333" s="197"/>
      <c r="F1333" s="197"/>
      <c r="G1333" s="204"/>
    </row>
    <row r="1334" spans="2:7">
      <c r="B1334" s="5"/>
      <c r="C1334" s="39"/>
      <c r="D1334" s="197"/>
      <c r="E1334" s="197"/>
      <c r="F1334" s="197"/>
      <c r="G1334" s="204"/>
    </row>
    <row r="1335" spans="2:7">
      <c r="B1335" s="5"/>
      <c r="C1335" s="39"/>
      <c r="D1335" s="197"/>
      <c r="E1335" s="197"/>
      <c r="F1335" s="197"/>
      <c r="G1335" s="204"/>
    </row>
    <row r="1336" spans="2:7">
      <c r="B1336" s="5"/>
      <c r="C1336" s="39"/>
      <c r="D1336" s="197"/>
      <c r="E1336" s="197"/>
      <c r="F1336" s="197"/>
      <c r="G1336" s="204"/>
    </row>
    <row r="1337" spans="2:7">
      <c r="B1337" s="18"/>
      <c r="G1337" s="6"/>
    </row>
    <row r="1338" spans="2:7">
      <c r="B1338" s="203"/>
      <c r="C1338" s="39"/>
      <c r="G1338" s="6"/>
    </row>
    <row r="1339" spans="2:7">
      <c r="B1339" s="203"/>
      <c r="C1339" s="198"/>
      <c r="G1339" s="6"/>
    </row>
    <row r="1340" spans="2:7">
      <c r="B1340" s="203"/>
      <c r="C1340" s="198"/>
      <c r="G1340" s="6"/>
    </row>
    <row r="1341" spans="2:7">
      <c r="B1341" s="203"/>
      <c r="C1341" s="198"/>
      <c r="G1341" s="6"/>
    </row>
    <row r="1342" spans="2:7">
      <c r="B1342" s="203"/>
      <c r="C1342" s="198"/>
      <c r="G1342" s="6"/>
    </row>
    <row r="1343" spans="2:7">
      <c r="B1343" s="203"/>
      <c r="C1343" s="198"/>
      <c r="G1343" s="6"/>
    </row>
    <row r="1344" spans="2:7">
      <c r="B1344" s="203"/>
      <c r="C1344" s="198"/>
      <c r="G1344" s="6"/>
    </row>
    <row r="1345" spans="2:7">
      <c r="B1345" s="203"/>
      <c r="C1345" s="198"/>
      <c r="G1345" s="6"/>
    </row>
    <row r="1346" spans="2:7">
      <c r="B1346" s="203"/>
      <c r="C1346" s="198"/>
      <c r="G1346" s="6"/>
    </row>
    <row r="1347" spans="2:7">
      <c r="B1347" s="203"/>
      <c r="C1347" s="198"/>
      <c r="G1347" s="6"/>
    </row>
    <row r="1348" spans="2:7">
      <c r="B1348" s="203"/>
      <c r="C1348" s="2"/>
      <c r="G1348" s="6"/>
    </row>
    <row r="1349" spans="2:7">
      <c r="B1349" s="82"/>
      <c r="C1349" s="198"/>
      <c r="G1349" s="6"/>
    </row>
    <row r="1350" spans="2:7">
      <c r="B1350" s="82"/>
      <c r="C1350" s="198"/>
      <c r="G1350" s="6"/>
    </row>
    <row r="1351" spans="2:7">
      <c r="B1351" s="82"/>
      <c r="C1351" s="198"/>
      <c r="G1351" s="6"/>
    </row>
    <row r="1352" spans="2:7">
      <c r="B1352" s="82"/>
      <c r="C1352" s="198"/>
      <c r="G1352" s="6"/>
    </row>
    <row r="1353" spans="2:7">
      <c r="B1353" s="82"/>
      <c r="C1353" s="198"/>
      <c r="G1353" s="6"/>
    </row>
    <row r="1354" spans="2:7">
      <c r="B1354" s="18"/>
      <c r="C1354" s="15"/>
      <c r="G1354" s="6"/>
    </row>
    <row r="1355" spans="2:7">
      <c r="B1355" s="82"/>
      <c r="C1355" s="198"/>
      <c r="G1355" s="6"/>
    </row>
    <row r="1356" spans="2:7">
      <c r="B1356" s="82"/>
      <c r="G1356" s="6"/>
    </row>
    <row r="1357" spans="2:7">
      <c r="B1357" s="18"/>
      <c r="C1357" s="153"/>
      <c r="G1357" s="6"/>
    </row>
    <row r="1358" spans="2:7">
      <c r="B1358" s="82"/>
      <c r="C1358" s="198"/>
      <c r="G1358" s="6"/>
    </row>
    <row r="1359" spans="2:7">
      <c r="B1359" s="18"/>
      <c r="G1359" s="6"/>
    </row>
    <row r="1360" spans="2:7">
      <c r="B1360" s="203"/>
      <c r="C1360" s="15"/>
      <c r="G1360" s="6"/>
    </row>
    <row r="1361" spans="2:7">
      <c r="B1361" s="82"/>
      <c r="C1361" s="66"/>
      <c r="G1361" s="6"/>
    </row>
    <row r="1362" spans="2:7">
      <c r="B1362" s="82"/>
      <c r="C1362" s="66"/>
      <c r="G1362" s="6"/>
    </row>
    <row r="1363" spans="2:7">
      <c r="B1363" s="82"/>
      <c r="C1363" s="15"/>
      <c r="G1363" s="6"/>
    </row>
    <row r="1364" spans="2:7">
      <c r="B1364" s="82"/>
      <c r="C1364" s="66"/>
      <c r="G1364" s="6"/>
    </row>
    <row r="1365" spans="2:7" ht="13.5" thickBot="1">
      <c r="B1365" s="163"/>
      <c r="C1365" s="20"/>
      <c r="D1365" s="20"/>
      <c r="E1365" s="8"/>
      <c r="F1365" s="20"/>
      <c r="G1365" s="9"/>
    </row>
    <row r="1366" spans="2:7">
      <c r="B1366" s="5"/>
      <c r="C1366" s="39"/>
      <c r="G1366" s="6"/>
    </row>
    <row r="1367" spans="2:7" ht="13.5" thickBot="1">
      <c r="B1367" s="5"/>
      <c r="C1367" s="39"/>
      <c r="G1367" s="6"/>
    </row>
    <row r="1368" spans="2:7" ht="13.5" thickBot="1">
      <c r="B1368" s="236"/>
      <c r="C1368" s="237"/>
      <c r="D1368" s="237"/>
      <c r="E1368" s="237"/>
      <c r="F1368" s="237"/>
      <c r="G1368" s="238"/>
    </row>
    <row r="1369" spans="2:7" ht="13.5" thickBot="1">
      <c r="B1369" s="18"/>
      <c r="G1369" s="6"/>
    </row>
    <row r="1370" spans="2:7">
      <c r="B1370" s="18"/>
      <c r="C1370" s="21"/>
      <c r="D1370" s="16"/>
      <c r="E1370" s="80"/>
      <c r="F1370" s="4"/>
      <c r="G1370" s="6"/>
    </row>
    <row r="1371" spans="2:7" ht="13.5" thickBot="1">
      <c r="B1371" s="18"/>
      <c r="C1371" s="7"/>
      <c r="D1371" s="20"/>
      <c r="E1371" s="83"/>
      <c r="F1371" s="22"/>
      <c r="G1371" s="6"/>
    </row>
    <row r="1372" spans="2:7" ht="13.5" thickBot="1">
      <c r="B1372" s="18"/>
      <c r="G1372" s="6"/>
    </row>
    <row r="1373" spans="2:7">
      <c r="B1373" s="18"/>
      <c r="C1373" s="3"/>
      <c r="D1373" s="16"/>
      <c r="E1373" s="80"/>
      <c r="F1373" s="84"/>
      <c r="G1373" s="6"/>
    </row>
    <row r="1374" spans="2:7">
      <c r="B1374" s="18"/>
      <c r="C1374" s="5"/>
      <c r="E1374" s="39"/>
      <c r="F1374" s="6"/>
      <c r="G1374" s="6"/>
    </row>
    <row r="1375" spans="2:7" ht="13.5" thickBot="1">
      <c r="B1375" s="18"/>
      <c r="C1375" s="7"/>
      <c r="D1375" s="20"/>
      <c r="E1375" s="81"/>
      <c r="F1375" s="9"/>
      <c r="G1375" s="6"/>
    </row>
    <row r="1376" spans="2:7" ht="13.5" thickBot="1">
      <c r="B1376" s="18"/>
      <c r="G1376" s="6"/>
    </row>
    <row r="1377" spans="2:7" ht="13.5" thickBot="1">
      <c r="B1377" s="18"/>
      <c r="C1377" s="23"/>
      <c r="D1377" s="24"/>
      <c r="E1377" s="87"/>
      <c r="F1377" s="25"/>
      <c r="G1377" s="6"/>
    </row>
    <row r="1378" spans="2:7">
      <c r="B1378" s="18"/>
      <c r="G1378" s="6"/>
    </row>
    <row r="1379" spans="2:7">
      <c r="B1379" s="203"/>
      <c r="D1379" s="197"/>
      <c r="E1379" s="197"/>
      <c r="F1379" s="197"/>
      <c r="G1379" s="204"/>
    </row>
    <row r="1380" spans="2:7">
      <c r="B1380" s="203"/>
      <c r="D1380" s="197"/>
      <c r="E1380" s="197"/>
      <c r="F1380" s="197"/>
      <c r="G1380" s="204"/>
    </row>
    <row r="1381" spans="2:7">
      <c r="B1381" s="5"/>
      <c r="C1381" s="39"/>
      <c r="D1381" s="197"/>
      <c r="E1381" s="197"/>
      <c r="F1381" s="197"/>
      <c r="G1381" s="204"/>
    </row>
    <row r="1382" spans="2:7">
      <c r="B1382" s="5"/>
      <c r="C1382" s="39"/>
      <c r="D1382" s="197"/>
      <c r="E1382" s="197"/>
      <c r="F1382" s="197"/>
      <c r="G1382" s="204"/>
    </row>
    <row r="1383" spans="2:7">
      <c r="B1383" s="5"/>
      <c r="C1383" s="39"/>
      <c r="D1383" s="197"/>
      <c r="E1383" s="197"/>
      <c r="F1383" s="197"/>
      <c r="G1383" s="204"/>
    </row>
    <row r="1384" spans="2:7">
      <c r="B1384" s="5"/>
      <c r="C1384" s="39"/>
      <c r="D1384" s="197"/>
      <c r="E1384" s="197"/>
      <c r="F1384" s="197"/>
      <c r="G1384" s="204"/>
    </row>
    <row r="1385" spans="2:7">
      <c r="B1385" s="5"/>
      <c r="C1385" s="39"/>
      <c r="D1385" s="197"/>
      <c r="E1385" s="197"/>
      <c r="F1385" s="197"/>
      <c r="G1385" s="204"/>
    </row>
    <row r="1386" spans="2:7">
      <c r="B1386" s="5"/>
      <c r="C1386" s="39"/>
      <c r="D1386" s="197"/>
      <c r="E1386" s="197"/>
      <c r="F1386" s="197"/>
      <c r="G1386" s="204"/>
    </row>
    <row r="1387" spans="2:7">
      <c r="B1387" s="5"/>
      <c r="C1387" s="39"/>
      <c r="D1387" s="197"/>
      <c r="E1387" s="197"/>
      <c r="F1387" s="197"/>
      <c r="G1387" s="204"/>
    </row>
    <row r="1388" spans="2:7">
      <c r="B1388" s="5"/>
      <c r="C1388" s="39"/>
      <c r="D1388" s="197"/>
      <c r="E1388" s="197"/>
      <c r="F1388" s="197"/>
      <c r="G1388" s="204"/>
    </row>
    <row r="1389" spans="2:7">
      <c r="B1389" s="5"/>
      <c r="C1389" s="39"/>
      <c r="D1389" s="197"/>
      <c r="E1389" s="197"/>
      <c r="F1389" s="197"/>
      <c r="G1389" s="204"/>
    </row>
    <row r="1390" spans="2:7">
      <c r="B1390" s="5"/>
      <c r="C1390" s="39"/>
      <c r="D1390" s="197"/>
      <c r="E1390" s="197"/>
      <c r="F1390" s="197"/>
      <c r="G1390" s="204"/>
    </row>
    <row r="1391" spans="2:7">
      <c r="B1391" s="5"/>
      <c r="C1391" s="39"/>
      <c r="D1391" s="197"/>
      <c r="E1391" s="197"/>
      <c r="F1391" s="197"/>
      <c r="G1391" s="204"/>
    </row>
    <row r="1392" spans="2:7">
      <c r="B1392" s="5"/>
      <c r="C1392" s="39"/>
      <c r="D1392" s="197"/>
      <c r="E1392" s="197"/>
      <c r="F1392" s="197"/>
      <c r="G1392" s="204"/>
    </row>
    <row r="1393" spans="2:7">
      <c r="B1393" s="5"/>
      <c r="C1393" s="39"/>
      <c r="D1393" s="197"/>
      <c r="E1393" s="197"/>
      <c r="F1393" s="197"/>
      <c r="G1393" s="204"/>
    </row>
    <row r="1394" spans="2:7">
      <c r="B1394" s="5"/>
      <c r="C1394" s="39"/>
      <c r="D1394" s="197"/>
      <c r="E1394" s="197"/>
      <c r="F1394" s="197"/>
      <c r="G1394" s="204"/>
    </row>
    <row r="1395" spans="2:7">
      <c r="B1395" s="5"/>
      <c r="C1395" s="39"/>
      <c r="D1395" s="197"/>
      <c r="E1395" s="197"/>
      <c r="F1395" s="197"/>
      <c r="G1395" s="204"/>
    </row>
    <row r="1396" spans="2:7">
      <c r="B1396" s="18"/>
      <c r="G1396" s="6"/>
    </row>
    <row r="1397" spans="2:7">
      <c r="B1397" s="203"/>
      <c r="C1397" s="39"/>
      <c r="G1397" s="6"/>
    </row>
    <row r="1398" spans="2:7">
      <c r="B1398" s="203"/>
      <c r="C1398" s="198"/>
      <c r="G1398" s="6"/>
    </row>
    <row r="1399" spans="2:7">
      <c r="B1399" s="203"/>
      <c r="C1399" s="198"/>
      <c r="G1399" s="6"/>
    </row>
    <row r="1400" spans="2:7">
      <c r="B1400" s="203"/>
      <c r="C1400" s="198"/>
      <c r="G1400" s="6"/>
    </row>
    <row r="1401" spans="2:7">
      <c r="B1401" s="203"/>
      <c r="C1401" s="198"/>
      <c r="G1401" s="6"/>
    </row>
    <row r="1402" spans="2:7">
      <c r="B1402" s="203"/>
      <c r="C1402" s="198"/>
      <c r="G1402" s="6"/>
    </row>
    <row r="1403" spans="2:7">
      <c r="B1403" s="203"/>
      <c r="C1403" s="198"/>
      <c r="G1403" s="6"/>
    </row>
    <row r="1404" spans="2:7">
      <c r="B1404" s="203"/>
      <c r="C1404" s="198"/>
      <c r="G1404" s="6"/>
    </row>
    <row r="1405" spans="2:7">
      <c r="B1405" s="203"/>
      <c r="C1405" s="198"/>
      <c r="G1405" s="6"/>
    </row>
    <row r="1406" spans="2:7">
      <c r="B1406" s="203"/>
      <c r="C1406" s="198"/>
      <c r="G1406" s="6"/>
    </row>
    <row r="1407" spans="2:7">
      <c r="B1407" s="203"/>
      <c r="C1407" s="2"/>
      <c r="G1407" s="6"/>
    </row>
    <row r="1408" spans="2:7">
      <c r="B1408" s="82"/>
      <c r="C1408" s="198"/>
      <c r="G1408" s="6"/>
    </row>
    <row r="1409" spans="2:7">
      <c r="B1409" s="82"/>
      <c r="C1409" s="198"/>
      <c r="G1409" s="6"/>
    </row>
    <row r="1410" spans="2:7">
      <c r="B1410" s="82"/>
      <c r="C1410" s="198"/>
      <c r="G1410" s="6"/>
    </row>
    <row r="1411" spans="2:7">
      <c r="B1411" s="82"/>
      <c r="C1411" s="198"/>
      <c r="G1411" s="6"/>
    </row>
    <row r="1412" spans="2:7">
      <c r="B1412" s="18"/>
      <c r="C1412" s="15"/>
      <c r="G1412" s="6"/>
    </row>
    <row r="1413" spans="2:7">
      <c r="B1413" s="82"/>
      <c r="C1413" s="198"/>
      <c r="G1413" s="6"/>
    </row>
    <row r="1414" spans="2:7">
      <c r="B1414" s="82"/>
      <c r="G1414" s="6"/>
    </row>
    <row r="1415" spans="2:7">
      <c r="B1415" s="18"/>
      <c r="C1415" s="153"/>
      <c r="G1415" s="6"/>
    </row>
    <row r="1416" spans="2:7">
      <c r="B1416" s="82"/>
      <c r="C1416" s="198"/>
      <c r="G1416" s="6"/>
    </row>
    <row r="1417" spans="2:7">
      <c r="B1417" s="18"/>
      <c r="G1417" s="6"/>
    </row>
    <row r="1418" spans="2:7">
      <c r="B1418" s="203"/>
      <c r="C1418" s="15"/>
      <c r="G1418" s="6"/>
    </row>
    <row r="1419" spans="2:7">
      <c r="B1419" s="82"/>
      <c r="C1419" s="66"/>
      <c r="G1419" s="6"/>
    </row>
    <row r="1420" spans="2:7">
      <c r="B1420" s="82"/>
      <c r="C1420" s="66"/>
      <c r="G1420" s="6"/>
    </row>
    <row r="1421" spans="2:7" ht="13.5" thickBot="1">
      <c r="B1421" s="163"/>
      <c r="C1421" s="20"/>
      <c r="D1421" s="20"/>
      <c r="E1421" s="8"/>
      <c r="F1421" s="20"/>
      <c r="G1421" s="9"/>
    </row>
    <row r="1422" spans="2:7">
      <c r="B1422" s="18"/>
      <c r="C1422" s="39"/>
      <c r="G1422" s="6"/>
    </row>
    <row r="1423" spans="2:7">
      <c r="B1423" s="18"/>
      <c r="C1423" s="39"/>
      <c r="G1423" s="6"/>
    </row>
    <row r="1424" spans="2:7">
      <c r="B1424" s="18"/>
      <c r="C1424" s="39"/>
      <c r="G1424" s="6"/>
    </row>
    <row r="1425" spans="2:7">
      <c r="B1425" s="18"/>
      <c r="C1425" s="39"/>
      <c r="G1425" s="6"/>
    </row>
    <row r="1426" spans="2:7">
      <c r="B1426" s="18"/>
      <c r="G1426" s="6"/>
    </row>
    <row r="1427" spans="2:7">
      <c r="B1427" s="18"/>
      <c r="C1427" s="2"/>
      <c r="G1427" s="6"/>
    </row>
    <row r="1428" spans="2:7">
      <c r="B1428" s="82"/>
      <c r="C1428" s="39"/>
      <c r="G1428" s="6"/>
    </row>
    <row r="1429" spans="2:7">
      <c r="B1429" s="82"/>
      <c r="C1429" s="39"/>
      <c r="G1429" s="6"/>
    </row>
    <row r="1430" spans="2:7">
      <c r="B1430" s="82"/>
      <c r="C1430" s="39"/>
      <c r="G1430" s="6"/>
    </row>
    <row r="1431" spans="2:7">
      <c r="B1431" s="18"/>
      <c r="C1431" s="15"/>
      <c r="G1431" s="6"/>
    </row>
    <row r="1432" spans="2:7">
      <c r="B1432" s="82"/>
      <c r="C1432" s="39"/>
      <c r="G1432" s="6"/>
    </row>
    <row r="1433" spans="2:7">
      <c r="B1433" s="18"/>
      <c r="G1433" s="6"/>
    </row>
    <row r="1434" spans="2:7">
      <c r="B1434" s="18"/>
      <c r="C1434" s="1"/>
      <c r="G1434" s="6"/>
    </row>
    <row r="1435" spans="2:7">
      <c r="B1435" s="82"/>
      <c r="C1435" s="39"/>
      <c r="G1435" s="6"/>
    </row>
    <row r="1436" spans="2:7">
      <c r="B1436" s="18"/>
      <c r="G1436" s="6"/>
    </row>
    <row r="1437" spans="2:7">
      <c r="B1437" s="18"/>
      <c r="C1437" s="1"/>
      <c r="G1437" s="6"/>
    </row>
    <row r="1438" spans="2:7">
      <c r="B1438" s="82"/>
      <c r="C1438" s="66"/>
      <c r="G1438" s="6"/>
    </row>
    <row r="1439" spans="2:7" ht="13.5" thickBot="1">
      <c r="B1439" s="19"/>
      <c r="C1439" s="20"/>
      <c r="D1439" s="20"/>
      <c r="E1439" s="8"/>
      <c r="F1439" s="20"/>
      <c r="G1439" s="9"/>
    </row>
  </sheetData>
  <sortState xmlns:xlrd2="http://schemas.microsoft.com/office/spreadsheetml/2017/richdata2" ref="J15:J54">
    <sortCondition ref="J15:J54"/>
  </sortState>
  <mergeCells count="27">
    <mergeCell ref="B1368:G1368"/>
    <mergeCell ref="B2:G2"/>
    <mergeCell ref="B54:G54"/>
    <mergeCell ref="B106:G106"/>
    <mergeCell ref="B1144:G1144"/>
    <mergeCell ref="B1309:G1309"/>
    <mergeCell ref="B1250:G1250"/>
    <mergeCell ref="B266:G266"/>
    <mergeCell ref="B1196:G1196"/>
    <mergeCell ref="B1088:G1088"/>
    <mergeCell ref="B369:G369"/>
    <mergeCell ref="B159:G159"/>
    <mergeCell ref="B522:G522"/>
    <mergeCell ref="B216:G216"/>
    <mergeCell ref="B924:G924"/>
    <mergeCell ref="B620:G620"/>
    <mergeCell ref="B976:G976"/>
    <mergeCell ref="B1028:G1028"/>
    <mergeCell ref="B317:G317"/>
    <mergeCell ref="B421:G421"/>
    <mergeCell ref="B472:G472"/>
    <mergeCell ref="B570:G570"/>
    <mergeCell ref="B671:G671"/>
    <mergeCell ref="B724:G724"/>
    <mergeCell ref="B774:G774"/>
    <mergeCell ref="B825:G825"/>
    <mergeCell ref="B874:G874"/>
  </mergeCells>
  <phoneticPr fontId="13" type="noConversion"/>
  <printOptions horizontalCentered="1"/>
  <pageMargins left="0.74803149606299213" right="0.15748031496062992" top="0.19685039370078741" bottom="0.82677165354330717" header="0" footer="0"/>
  <pageSetup orientation="portrait" r:id="rId1"/>
  <headerFooter alignWithMargins="0">
    <oddFooter>&amp;L&amp;14Unión de Rugby de Buenos Aires&amp;RDivisión Menores de 18 N1 (Grupo II - Zona "Ganadores") Eq B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41"/>
  <sheetViews>
    <sheetView topLeftCell="A17" workbookViewId="0">
      <selection activeCell="E41" sqref="E41"/>
    </sheetView>
  </sheetViews>
  <sheetFormatPr baseColWidth="10" defaultRowHeight="12.75"/>
  <cols>
    <col min="2" max="2" width="26" bestFit="1" customWidth="1"/>
  </cols>
  <sheetData>
    <row r="2" spans="1:10">
      <c r="B2" s="15" t="s">
        <v>25</v>
      </c>
    </row>
    <row r="3" spans="1:10" ht="13.5" thickBot="1"/>
    <row r="4" spans="1:10" ht="13.5" thickBot="1">
      <c r="B4" s="10"/>
      <c r="C4" s="85" t="s">
        <v>21</v>
      </c>
      <c r="D4" s="11" t="s">
        <v>26</v>
      </c>
      <c r="E4" s="11" t="s">
        <v>22</v>
      </c>
      <c r="F4" s="11" t="s">
        <v>24</v>
      </c>
      <c r="G4" s="12" t="s">
        <v>25</v>
      </c>
    </row>
    <row r="5" spans="1:10">
      <c r="A5" s="39"/>
      <c r="B5" s="68" t="s">
        <v>236</v>
      </c>
      <c r="C5" s="13">
        <v>5</v>
      </c>
      <c r="D5" s="13">
        <v>34</v>
      </c>
      <c r="E5" s="13">
        <v>32</v>
      </c>
      <c r="F5" s="13"/>
      <c r="G5" s="62">
        <f>+C5*5+D5*2+E5*3+F5*3</f>
        <v>189</v>
      </c>
    </row>
    <row r="6" spans="1:10">
      <c r="A6" s="39"/>
      <c r="B6" s="68" t="s">
        <v>1434</v>
      </c>
      <c r="C6" s="13">
        <v>9</v>
      </c>
      <c r="D6" s="13"/>
      <c r="E6" s="13"/>
      <c r="F6" s="13"/>
      <c r="G6" s="62">
        <f>+C6*5+D6*2+E6*3+F6*3</f>
        <v>45</v>
      </c>
    </row>
    <row r="7" spans="1:10">
      <c r="A7" s="39"/>
      <c r="B7" s="41" t="s">
        <v>1095</v>
      </c>
      <c r="C7" s="13">
        <v>4</v>
      </c>
      <c r="D7" s="13"/>
      <c r="E7" s="13"/>
      <c r="F7" s="13"/>
      <c r="G7" s="62">
        <f>+C7*5+D7*2+E7*3+F7*3</f>
        <v>20</v>
      </c>
    </row>
    <row r="8" spans="1:10">
      <c r="B8" s="68" t="s">
        <v>1403</v>
      </c>
      <c r="C8" s="13">
        <v>4</v>
      </c>
      <c r="D8" s="13"/>
      <c r="E8" s="13"/>
      <c r="F8" s="13"/>
      <c r="G8" s="62">
        <f>+C8*5+D8*2+E8*3+F8*3</f>
        <v>20</v>
      </c>
    </row>
    <row r="9" spans="1:10">
      <c r="A9" s="39"/>
      <c r="B9" s="68" t="s">
        <v>1096</v>
      </c>
      <c r="C9" s="13">
        <v>3</v>
      </c>
      <c r="D9" s="13"/>
      <c r="E9" s="13"/>
      <c r="F9" s="1"/>
      <c r="G9" s="62">
        <f>+C9*5+D9*2+E9*3+F9*3</f>
        <v>15</v>
      </c>
    </row>
    <row r="10" spans="1:10">
      <c r="B10" s="68" t="s">
        <v>1172</v>
      </c>
      <c r="C10" s="13">
        <v>2</v>
      </c>
      <c r="D10" s="13"/>
      <c r="E10" s="13"/>
      <c r="F10" s="1"/>
      <c r="G10" s="62">
        <f>+C10*5+D10*2+E10*3+F10*3</f>
        <v>10</v>
      </c>
      <c r="J10" s="93"/>
    </row>
    <row r="11" spans="1:10">
      <c r="A11" s="39"/>
      <c r="B11" s="68" t="s">
        <v>1476</v>
      </c>
      <c r="C11" s="13">
        <v>2</v>
      </c>
      <c r="D11" s="13"/>
      <c r="E11" s="13"/>
      <c r="F11" s="13"/>
      <c r="G11" s="62">
        <f>+C11*5+D11*2+E11*3+F11*3</f>
        <v>10</v>
      </c>
    </row>
    <row r="12" spans="1:10">
      <c r="A12" s="39"/>
      <c r="B12" s="68" t="s">
        <v>1491</v>
      </c>
      <c r="C12" s="13">
        <v>2</v>
      </c>
      <c r="D12" s="13"/>
      <c r="E12" s="13"/>
      <c r="F12" s="13"/>
      <c r="G12" s="62">
        <f>+C12*5+D12*2+E12*3+F12*3</f>
        <v>10</v>
      </c>
    </row>
    <row r="13" spans="1:10">
      <c r="B13" s="68" t="s">
        <v>234</v>
      </c>
      <c r="C13" s="13">
        <v>2</v>
      </c>
      <c r="D13" s="13"/>
      <c r="E13" s="13"/>
      <c r="F13" s="13"/>
      <c r="G13" s="62">
        <f>+C13*5+D13*2+E13*3+F13*3</f>
        <v>10</v>
      </c>
    </row>
    <row r="14" spans="1:10">
      <c r="B14" s="68" t="s">
        <v>56</v>
      </c>
      <c r="C14" s="13">
        <v>1</v>
      </c>
      <c r="D14" s="13">
        <v>1</v>
      </c>
      <c r="E14" s="13"/>
      <c r="F14" s="13"/>
      <c r="G14" s="62">
        <f>+C14*5+D14*2+E14*3+F14*3</f>
        <v>7</v>
      </c>
    </row>
    <row r="15" spans="1:10">
      <c r="A15" s="39"/>
      <c r="B15" s="68" t="s">
        <v>1510</v>
      </c>
      <c r="C15" s="13">
        <v>1</v>
      </c>
      <c r="D15" s="13"/>
      <c r="E15" s="13"/>
      <c r="F15" s="13"/>
      <c r="G15" s="62">
        <f>+C15*5+D15*2+E15*3+F15*3</f>
        <v>5</v>
      </c>
    </row>
    <row r="16" spans="1:10">
      <c r="B16" s="68" t="s">
        <v>1320</v>
      </c>
      <c r="C16" s="13">
        <v>1</v>
      </c>
      <c r="D16" s="13"/>
      <c r="E16" s="13"/>
      <c r="F16" s="13"/>
      <c r="G16" s="62">
        <f>+C16*5+D16*2+E16*3+F16*3</f>
        <v>5</v>
      </c>
    </row>
    <row r="17" spans="1:8">
      <c r="B17" s="68" t="s">
        <v>207</v>
      </c>
      <c r="C17" s="13">
        <v>1</v>
      </c>
      <c r="D17" s="13"/>
      <c r="E17" s="13"/>
      <c r="F17" s="13"/>
      <c r="G17" s="62">
        <f>+C17*5+D17*2+E17*3+F17*3</f>
        <v>5</v>
      </c>
    </row>
    <row r="18" spans="1:8">
      <c r="B18" s="68" t="s">
        <v>18</v>
      </c>
      <c r="C18" s="13">
        <v>1</v>
      </c>
      <c r="D18" s="13"/>
      <c r="E18" s="13"/>
      <c r="F18" s="13"/>
      <c r="G18" s="62">
        <f>+C18*5+D18*2+E18*3+F18*3</f>
        <v>5</v>
      </c>
    </row>
    <row r="19" spans="1:8">
      <c r="A19" s="39"/>
      <c r="B19" s="68" t="s">
        <v>1533</v>
      </c>
      <c r="C19" s="13">
        <v>1</v>
      </c>
      <c r="D19" s="13"/>
      <c r="E19" s="13"/>
      <c r="F19" s="13"/>
      <c r="G19" s="62">
        <f>+C19*5+D19*2+E19*3+F19*3</f>
        <v>5</v>
      </c>
    </row>
    <row r="20" spans="1:8">
      <c r="A20" s="39"/>
      <c r="B20" s="68" t="s">
        <v>1315</v>
      </c>
      <c r="C20" s="13">
        <v>1</v>
      </c>
      <c r="D20" s="13"/>
      <c r="E20" s="13"/>
      <c r="F20" s="13"/>
      <c r="G20" s="62">
        <f>+C20*5+D20*2+E20*3+F20*3</f>
        <v>5</v>
      </c>
    </row>
    <row r="21" spans="1:8">
      <c r="A21" s="39"/>
      <c r="B21" s="68" t="s">
        <v>33</v>
      </c>
      <c r="C21" s="13">
        <v>1</v>
      </c>
      <c r="D21" s="13"/>
      <c r="E21" s="13"/>
      <c r="F21" s="13"/>
      <c r="G21" s="62">
        <f>+C21*5+D21*2+E21*3+F21*3</f>
        <v>5</v>
      </c>
    </row>
    <row r="22" spans="1:8">
      <c r="A22" s="39"/>
      <c r="B22" s="68" t="s">
        <v>214</v>
      </c>
      <c r="C22" s="13">
        <v>1</v>
      </c>
      <c r="D22" s="13"/>
      <c r="E22" s="13"/>
      <c r="F22" s="13"/>
      <c r="G22" s="62">
        <f>+C22*5+D22*2+E22*3+F22*3</f>
        <v>5</v>
      </c>
    </row>
    <row r="23" spans="1:8">
      <c r="A23" s="39"/>
      <c r="B23" s="68"/>
      <c r="C23" s="13"/>
      <c r="D23" s="13"/>
      <c r="E23" s="13"/>
      <c r="F23" s="13"/>
      <c r="G23" s="62">
        <f t="shared" ref="G22:G27" si="0">+C23*5+D23*2+E23*3+F23*3</f>
        <v>0</v>
      </c>
    </row>
    <row r="24" spans="1:8">
      <c r="B24" s="68"/>
      <c r="C24" s="13"/>
      <c r="D24" s="13"/>
      <c r="E24" s="13"/>
      <c r="F24" s="13"/>
      <c r="G24" s="62">
        <f t="shared" si="0"/>
        <v>0</v>
      </c>
    </row>
    <row r="25" spans="1:8">
      <c r="A25" s="39"/>
      <c r="B25" s="68"/>
      <c r="C25" s="13"/>
      <c r="D25" s="13"/>
      <c r="E25" s="13"/>
      <c r="F25" s="13"/>
      <c r="G25" s="62">
        <f t="shared" si="0"/>
        <v>0</v>
      </c>
    </row>
    <row r="26" spans="1:8">
      <c r="A26" s="39"/>
      <c r="B26" s="68"/>
      <c r="C26" s="13"/>
      <c r="D26" s="13"/>
      <c r="E26" s="13"/>
      <c r="F26" s="13"/>
      <c r="G26" s="62">
        <f t="shared" si="0"/>
        <v>0</v>
      </c>
    </row>
    <row r="27" spans="1:8">
      <c r="A27" s="39"/>
      <c r="B27" s="68"/>
      <c r="C27" s="13"/>
      <c r="D27" s="13"/>
      <c r="E27" s="13"/>
      <c r="F27" s="13"/>
      <c r="G27" s="62">
        <f t="shared" si="0"/>
        <v>0</v>
      </c>
    </row>
    <row r="28" spans="1:8">
      <c r="B28" s="68"/>
      <c r="C28" s="13"/>
      <c r="D28" s="13"/>
      <c r="E28" s="13"/>
      <c r="F28" s="13"/>
      <c r="G28" s="62">
        <f t="shared" ref="G28:G29" si="1">+C28*5+D28*2+E28*3+F28*3</f>
        <v>0</v>
      </c>
    </row>
    <row r="29" spans="1:8" ht="13.5" thickBot="1">
      <c r="B29" s="64"/>
      <c r="C29" s="14"/>
      <c r="D29" s="14"/>
      <c r="E29" s="14"/>
      <c r="F29" s="14"/>
      <c r="G29" s="62">
        <f t="shared" si="1"/>
        <v>0</v>
      </c>
    </row>
    <row r="30" spans="1:8" ht="13.5" thickBot="1">
      <c r="C30" s="1"/>
      <c r="D30" s="1"/>
      <c r="E30" s="1"/>
      <c r="F30" s="1"/>
      <c r="G30" s="38">
        <f>SUM(G5:G29)</f>
        <v>376</v>
      </c>
      <c r="H30" s="39">
        <f>24+15+16+28+24+16+29+36+36+23+18+10+15+14+9+22+23</f>
        <v>358</v>
      </c>
    </row>
    <row r="31" spans="1:8" ht="13.5" thickBot="1">
      <c r="H31" s="39"/>
    </row>
    <row r="32" spans="1:8" ht="13.5" thickBot="1">
      <c r="B32" s="246" t="s">
        <v>1143</v>
      </c>
      <c r="C32" s="247"/>
    </row>
    <row r="33" spans="2:3">
      <c r="B33" s="41" t="s">
        <v>1137</v>
      </c>
      <c r="C33" s="216">
        <v>13</v>
      </c>
    </row>
    <row r="34" spans="2:3">
      <c r="B34" s="41" t="s">
        <v>1142</v>
      </c>
      <c r="C34" s="216">
        <v>11</v>
      </c>
    </row>
    <row r="35" spans="2:3">
      <c r="B35" s="41" t="s">
        <v>1139</v>
      </c>
      <c r="C35" s="216">
        <v>9</v>
      </c>
    </row>
    <row r="36" spans="2:3">
      <c r="B36" s="41" t="s">
        <v>1141</v>
      </c>
      <c r="C36" s="216">
        <v>4</v>
      </c>
    </row>
    <row r="37" spans="2:3">
      <c r="B37" s="41" t="s">
        <v>1138</v>
      </c>
      <c r="C37" s="216">
        <v>2</v>
      </c>
    </row>
    <row r="38" spans="2:3">
      <c r="B38" s="41" t="s">
        <v>1140</v>
      </c>
      <c r="C38" s="216">
        <v>2</v>
      </c>
    </row>
    <row r="39" spans="2:3">
      <c r="B39" s="41" t="s">
        <v>458</v>
      </c>
      <c r="C39" s="216">
        <v>1</v>
      </c>
    </row>
    <row r="40" spans="2:3" ht="13.5" thickBot="1">
      <c r="B40" s="149" t="s">
        <v>457</v>
      </c>
      <c r="C40" s="217">
        <v>0</v>
      </c>
    </row>
    <row r="41" spans="2:3" ht="13.5" thickBot="1">
      <c r="B41" s="158" t="s">
        <v>44</v>
      </c>
      <c r="C41" s="159">
        <f>SUM(C33:C40)</f>
        <v>42</v>
      </c>
    </row>
  </sheetData>
  <sortState xmlns:xlrd2="http://schemas.microsoft.com/office/spreadsheetml/2017/richdata2" ref="B5:G22">
    <sortCondition descending="1" ref="G5:G22"/>
  </sortState>
  <mergeCells count="1">
    <mergeCell ref="B32:C3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81"/>
  <sheetViews>
    <sheetView workbookViewId="0">
      <selection activeCell="C8" sqref="C8"/>
    </sheetView>
  </sheetViews>
  <sheetFormatPr baseColWidth="10" defaultRowHeight="12.75"/>
  <cols>
    <col min="1" max="1" width="11.42578125" style="1"/>
    <col min="2" max="2" width="3.5703125" customWidth="1"/>
    <col min="3" max="3" width="26.140625" bestFit="1" customWidth="1"/>
    <col min="4" max="15" width="5.7109375" customWidth="1"/>
    <col min="18" max="18" width="20.5703125" hidden="1" customWidth="1"/>
    <col min="19" max="19" width="25.7109375" bestFit="1" customWidth="1"/>
    <col min="20" max="20" width="12.7109375" style="154" bestFit="1" customWidth="1"/>
    <col min="21" max="21" width="11.42578125" style="1"/>
  </cols>
  <sheetData>
    <row r="1" spans="1:19" ht="13.5" thickBot="1"/>
    <row r="2" spans="1:19" ht="13.5" thickBot="1">
      <c r="C2" s="69"/>
      <c r="D2" s="248" t="s">
        <v>195</v>
      </c>
      <c r="E2" s="249"/>
      <c r="F2" s="249"/>
      <c r="G2" s="247"/>
      <c r="H2" s="248" t="s">
        <v>196</v>
      </c>
      <c r="I2" s="249"/>
      <c r="J2" s="249"/>
      <c r="K2" s="247"/>
      <c r="L2" s="250" t="s">
        <v>197</v>
      </c>
      <c r="M2" s="250"/>
      <c r="N2" s="250"/>
      <c r="O2" s="251"/>
    </row>
    <row r="3" spans="1:19" ht="13.5" thickBot="1">
      <c r="C3" s="30" t="s">
        <v>198</v>
      </c>
      <c r="D3" s="71" t="s">
        <v>191</v>
      </c>
      <c r="E3" s="11" t="s">
        <v>192</v>
      </c>
      <c r="F3" s="11" t="s">
        <v>193</v>
      </c>
      <c r="G3" s="12" t="s">
        <v>194</v>
      </c>
      <c r="H3" s="72" t="s">
        <v>191</v>
      </c>
      <c r="I3" s="11" t="s">
        <v>192</v>
      </c>
      <c r="J3" s="11" t="s">
        <v>193</v>
      </c>
      <c r="K3" s="26" t="s">
        <v>194</v>
      </c>
      <c r="L3" s="71" t="s">
        <v>191</v>
      </c>
      <c r="M3" s="11" t="s">
        <v>192</v>
      </c>
      <c r="N3" s="11" t="s">
        <v>193</v>
      </c>
      <c r="O3" s="12" t="s">
        <v>194</v>
      </c>
    </row>
    <row r="4" spans="1:19">
      <c r="A4" s="15"/>
      <c r="B4" s="69">
        <v>1</v>
      </c>
      <c r="C4" s="222" t="s">
        <v>92</v>
      </c>
      <c r="D4" s="75">
        <f t="shared" ref="D4" si="0">+H4+L4</f>
        <v>15</v>
      </c>
      <c r="E4" s="63">
        <f t="shared" ref="E4" si="1">+I4+M4</f>
        <v>9</v>
      </c>
      <c r="F4" s="63">
        <f t="shared" ref="F4" si="2">+J4+N4</f>
        <v>0</v>
      </c>
      <c r="G4" s="76">
        <f t="shared" ref="G4" si="3">+K4+O4</f>
        <v>6</v>
      </c>
      <c r="H4" s="77">
        <f t="shared" ref="H4" si="4">+I4+J4+K4</f>
        <v>8</v>
      </c>
      <c r="I4" s="63">
        <v>6</v>
      </c>
      <c r="J4" s="63">
        <v>0</v>
      </c>
      <c r="K4" s="78">
        <v>2</v>
      </c>
      <c r="L4" s="75">
        <f t="shared" ref="L4" si="5">+M4+N4+O4</f>
        <v>7</v>
      </c>
      <c r="M4" s="63">
        <v>3</v>
      </c>
      <c r="N4" s="63">
        <v>0</v>
      </c>
      <c r="O4" s="76">
        <v>4</v>
      </c>
    </row>
    <row r="5" spans="1:19">
      <c r="A5" s="15"/>
      <c r="B5" s="70">
        <v>2</v>
      </c>
      <c r="C5" s="90" t="s">
        <v>74</v>
      </c>
      <c r="D5" s="73">
        <f>+H5+L5</f>
        <v>15</v>
      </c>
      <c r="E5" s="13">
        <f>+I5+M5</f>
        <v>6</v>
      </c>
      <c r="F5" s="13">
        <f>+J5+N5</f>
        <v>0</v>
      </c>
      <c r="G5" s="62">
        <f>+K5+O5</f>
        <v>9</v>
      </c>
      <c r="H5" s="74">
        <f>+I5+J5+K5</f>
        <v>7</v>
      </c>
      <c r="I5" s="13">
        <v>3</v>
      </c>
      <c r="J5" s="13">
        <v>0</v>
      </c>
      <c r="K5" s="27">
        <v>4</v>
      </c>
      <c r="L5" s="73">
        <f>+M5+N5+O5</f>
        <v>8</v>
      </c>
      <c r="M5" s="13">
        <v>3</v>
      </c>
      <c r="N5" s="13">
        <v>0</v>
      </c>
      <c r="O5" s="62">
        <v>5</v>
      </c>
    </row>
    <row r="6" spans="1:19">
      <c r="A6" s="15"/>
      <c r="B6" s="70">
        <v>3</v>
      </c>
      <c r="C6" s="91" t="s">
        <v>104</v>
      </c>
      <c r="D6" s="73">
        <f>+H6+L6</f>
        <v>14</v>
      </c>
      <c r="E6" s="13">
        <f>+I6+M6</f>
        <v>10</v>
      </c>
      <c r="F6" s="13">
        <f>+J6+N6</f>
        <v>0</v>
      </c>
      <c r="G6" s="62">
        <f>+K6+O6</f>
        <v>4</v>
      </c>
      <c r="H6" s="74">
        <f>+I6+J6+K6</f>
        <v>7</v>
      </c>
      <c r="I6" s="13">
        <v>5</v>
      </c>
      <c r="J6" s="13">
        <v>0</v>
      </c>
      <c r="K6" s="27">
        <v>2</v>
      </c>
      <c r="L6" s="73">
        <f>+M6+N6+O6</f>
        <v>7</v>
      </c>
      <c r="M6" s="13">
        <v>5</v>
      </c>
      <c r="N6" s="13">
        <v>0</v>
      </c>
      <c r="O6" s="62">
        <v>2</v>
      </c>
      <c r="Q6" s="39"/>
    </row>
    <row r="7" spans="1:19">
      <c r="A7" s="15"/>
      <c r="B7" s="70">
        <v>4</v>
      </c>
      <c r="C7" s="90" t="s">
        <v>58</v>
      </c>
      <c r="D7" s="73">
        <f>+H7+L7</f>
        <v>13</v>
      </c>
      <c r="E7" s="13">
        <f>+I7+M7</f>
        <v>5</v>
      </c>
      <c r="F7" s="13">
        <f>+J7+N7</f>
        <v>0</v>
      </c>
      <c r="G7" s="62">
        <f>+K7+O7</f>
        <v>8</v>
      </c>
      <c r="H7" s="74">
        <f>+I7+J7+K7</f>
        <v>6</v>
      </c>
      <c r="I7" s="13">
        <v>2</v>
      </c>
      <c r="J7" s="13">
        <v>0</v>
      </c>
      <c r="K7" s="27">
        <v>4</v>
      </c>
      <c r="L7" s="73">
        <f>+M7+N7+O7</f>
        <v>7</v>
      </c>
      <c r="M7" s="13">
        <v>3</v>
      </c>
      <c r="N7" s="13">
        <v>0</v>
      </c>
      <c r="O7" s="62">
        <v>4</v>
      </c>
    </row>
    <row r="8" spans="1:19">
      <c r="A8" s="15"/>
      <c r="B8" s="70">
        <v>5</v>
      </c>
      <c r="C8" s="92" t="s">
        <v>170</v>
      </c>
      <c r="D8" s="73">
        <f>+H8+L8</f>
        <v>13</v>
      </c>
      <c r="E8" s="13">
        <f>+I8+M8</f>
        <v>6</v>
      </c>
      <c r="F8" s="13">
        <f>+J8+N8</f>
        <v>1</v>
      </c>
      <c r="G8" s="62">
        <f>+K8+O8</f>
        <v>6</v>
      </c>
      <c r="H8" s="74">
        <f>+I8+J8+K8</f>
        <v>8</v>
      </c>
      <c r="I8" s="13">
        <v>4</v>
      </c>
      <c r="J8" s="13">
        <v>1</v>
      </c>
      <c r="K8" s="27">
        <v>3</v>
      </c>
      <c r="L8" s="73">
        <f>+M8+N8+O8</f>
        <v>5</v>
      </c>
      <c r="M8" s="13">
        <v>2</v>
      </c>
      <c r="N8" s="13">
        <v>0</v>
      </c>
      <c r="O8" s="62">
        <v>3</v>
      </c>
      <c r="R8" s="1"/>
    </row>
    <row r="9" spans="1:19">
      <c r="A9" s="15"/>
      <c r="B9" s="70">
        <v>6</v>
      </c>
      <c r="C9" s="91" t="s">
        <v>49</v>
      </c>
      <c r="D9" s="73">
        <f>+H9+L9</f>
        <v>11</v>
      </c>
      <c r="E9" s="13">
        <f>+I9+M9</f>
        <v>8</v>
      </c>
      <c r="F9" s="13">
        <f>+J9+N9</f>
        <v>1</v>
      </c>
      <c r="G9" s="62">
        <f>+K9+O9</f>
        <v>2</v>
      </c>
      <c r="H9" s="74">
        <f>+I9+J9+K9</f>
        <v>5</v>
      </c>
      <c r="I9" s="13">
        <v>4</v>
      </c>
      <c r="J9" s="13">
        <v>0</v>
      </c>
      <c r="K9" s="27">
        <v>1</v>
      </c>
      <c r="L9" s="73">
        <f>+M9+N9+O9</f>
        <v>6</v>
      </c>
      <c r="M9" s="13">
        <v>4</v>
      </c>
      <c r="N9" s="13">
        <v>1</v>
      </c>
      <c r="O9" s="62">
        <v>1</v>
      </c>
      <c r="R9" s="1"/>
    </row>
    <row r="10" spans="1:19">
      <c r="A10" s="15"/>
      <c r="B10" s="70">
        <v>7</v>
      </c>
      <c r="C10" s="91" t="s">
        <v>76</v>
      </c>
      <c r="D10" s="73">
        <f>+H10+L10</f>
        <v>11</v>
      </c>
      <c r="E10" s="13">
        <f>+I10+M10</f>
        <v>7</v>
      </c>
      <c r="F10" s="13">
        <f>+J10+N10</f>
        <v>1</v>
      </c>
      <c r="G10" s="62">
        <f>+K10+O10</f>
        <v>3</v>
      </c>
      <c r="H10" s="74">
        <f>+I10+J10+K10</f>
        <v>5</v>
      </c>
      <c r="I10" s="13">
        <v>1</v>
      </c>
      <c r="J10" s="13">
        <v>1</v>
      </c>
      <c r="K10" s="27">
        <v>3</v>
      </c>
      <c r="L10" s="73">
        <f>+M10+N10+O10</f>
        <v>6</v>
      </c>
      <c r="M10" s="13">
        <v>6</v>
      </c>
      <c r="N10" s="13">
        <v>0</v>
      </c>
      <c r="O10" s="62">
        <v>0</v>
      </c>
      <c r="R10" s="1"/>
      <c r="S10" s="1"/>
    </row>
    <row r="11" spans="1:19">
      <c r="A11" s="15"/>
      <c r="B11" s="70">
        <v>8</v>
      </c>
      <c r="C11" s="91" t="s">
        <v>102</v>
      </c>
      <c r="D11" s="73">
        <f>+H11+L11</f>
        <v>11</v>
      </c>
      <c r="E11" s="13">
        <f>+I11+M11</f>
        <v>9</v>
      </c>
      <c r="F11" s="13">
        <f>+J11+N11</f>
        <v>0</v>
      </c>
      <c r="G11" s="62">
        <f>+K11+O11</f>
        <v>2</v>
      </c>
      <c r="H11" s="74">
        <f>+I11+J11+K11</f>
        <v>5</v>
      </c>
      <c r="I11" s="13">
        <v>4</v>
      </c>
      <c r="J11" s="13">
        <v>0</v>
      </c>
      <c r="K11" s="27">
        <v>1</v>
      </c>
      <c r="L11" s="73">
        <f>+M11+N11+O11</f>
        <v>6</v>
      </c>
      <c r="M11" s="13">
        <v>5</v>
      </c>
      <c r="N11" s="13">
        <v>0</v>
      </c>
      <c r="O11" s="62">
        <v>1</v>
      </c>
      <c r="R11" s="1"/>
      <c r="S11" s="1"/>
    </row>
    <row r="12" spans="1:19">
      <c r="A12" s="15"/>
      <c r="B12" s="70">
        <v>9</v>
      </c>
      <c r="C12" s="91" t="s">
        <v>202</v>
      </c>
      <c r="D12" s="73">
        <f>+H12+L12</f>
        <v>10</v>
      </c>
      <c r="E12" s="13">
        <f>+I12+M12</f>
        <v>7</v>
      </c>
      <c r="F12" s="13">
        <f>+J12+N12</f>
        <v>0</v>
      </c>
      <c r="G12" s="62">
        <f>+K12+O12</f>
        <v>3</v>
      </c>
      <c r="H12" s="74">
        <f>+I12+J12+K12</f>
        <v>6</v>
      </c>
      <c r="I12" s="13">
        <v>5</v>
      </c>
      <c r="J12" s="13">
        <v>0</v>
      </c>
      <c r="K12" s="27">
        <v>1</v>
      </c>
      <c r="L12" s="73">
        <f>+M12+N12+O12</f>
        <v>4</v>
      </c>
      <c r="M12" s="13">
        <v>2</v>
      </c>
      <c r="N12" s="13">
        <v>0</v>
      </c>
      <c r="O12" s="62">
        <v>2</v>
      </c>
      <c r="R12" s="1"/>
      <c r="S12" s="1"/>
    </row>
    <row r="13" spans="1:19">
      <c r="A13" s="15"/>
      <c r="B13" s="70">
        <v>10</v>
      </c>
      <c r="C13" s="90" t="s">
        <v>118</v>
      </c>
      <c r="D13" s="73">
        <f>+H13+L13</f>
        <v>10</v>
      </c>
      <c r="E13" s="13">
        <f>+I13+M13</f>
        <v>4</v>
      </c>
      <c r="F13" s="13">
        <f>+J13+N13</f>
        <v>0</v>
      </c>
      <c r="G13" s="62">
        <f>+K13+O13</f>
        <v>6</v>
      </c>
      <c r="H13" s="74">
        <f>+I13+J13+K13</f>
        <v>5</v>
      </c>
      <c r="I13" s="13">
        <v>3</v>
      </c>
      <c r="J13" s="13">
        <v>0</v>
      </c>
      <c r="K13" s="27">
        <v>2</v>
      </c>
      <c r="L13" s="73">
        <f>+M13+N13+O13</f>
        <v>5</v>
      </c>
      <c r="M13" s="13">
        <v>1</v>
      </c>
      <c r="N13" s="13">
        <v>0</v>
      </c>
      <c r="O13" s="62">
        <v>4</v>
      </c>
      <c r="R13" s="39"/>
    </row>
    <row r="14" spans="1:19">
      <c r="A14" s="15"/>
      <c r="B14" s="70">
        <v>11</v>
      </c>
      <c r="C14" s="90" t="s">
        <v>62</v>
      </c>
      <c r="D14" s="73">
        <f>+H14+L14</f>
        <v>10</v>
      </c>
      <c r="E14" s="13">
        <f>+I14+M14</f>
        <v>2</v>
      </c>
      <c r="F14" s="13">
        <f>+J14+N14</f>
        <v>1</v>
      </c>
      <c r="G14" s="62">
        <f>+K14+O14</f>
        <v>7</v>
      </c>
      <c r="H14" s="74">
        <f>+I14+J14+K14</f>
        <v>6</v>
      </c>
      <c r="I14" s="13">
        <v>2</v>
      </c>
      <c r="J14" s="13">
        <v>1</v>
      </c>
      <c r="K14" s="27">
        <v>3</v>
      </c>
      <c r="L14" s="73">
        <f>+M14+N14+O14</f>
        <v>4</v>
      </c>
      <c r="M14" s="13">
        <v>0</v>
      </c>
      <c r="N14" s="13">
        <v>0</v>
      </c>
      <c r="O14" s="62">
        <v>4</v>
      </c>
      <c r="R14" s="39"/>
    </row>
    <row r="15" spans="1:19">
      <c r="A15" s="15"/>
      <c r="B15" s="70">
        <v>12</v>
      </c>
      <c r="C15" s="90" t="s">
        <v>37</v>
      </c>
      <c r="D15" s="73">
        <f>+H15+L15</f>
        <v>8</v>
      </c>
      <c r="E15" s="13">
        <f>+I15+M15</f>
        <v>3</v>
      </c>
      <c r="F15" s="13">
        <f>+J15+N15</f>
        <v>0</v>
      </c>
      <c r="G15" s="62">
        <f>+K15+O15</f>
        <v>5</v>
      </c>
      <c r="H15" s="74">
        <f>+I15+J15+K15</f>
        <v>3</v>
      </c>
      <c r="I15" s="13">
        <v>2</v>
      </c>
      <c r="J15" s="13">
        <v>0</v>
      </c>
      <c r="K15" s="27">
        <v>1</v>
      </c>
      <c r="L15" s="73">
        <f>+M15+N15+O15</f>
        <v>5</v>
      </c>
      <c r="M15" s="13">
        <v>1</v>
      </c>
      <c r="N15" s="13">
        <v>0</v>
      </c>
      <c r="O15" s="62">
        <v>4</v>
      </c>
      <c r="R15" s="39"/>
    </row>
    <row r="16" spans="1:19">
      <c r="A16" s="15"/>
      <c r="B16" s="70">
        <v>13</v>
      </c>
      <c r="C16" s="91" t="s">
        <v>73</v>
      </c>
      <c r="D16" s="73">
        <f>+H16+L16</f>
        <v>7</v>
      </c>
      <c r="E16" s="13">
        <f>+I16+M16</f>
        <v>5</v>
      </c>
      <c r="F16" s="13">
        <f>+J16+N16</f>
        <v>0</v>
      </c>
      <c r="G16" s="62">
        <f>+K16+O16</f>
        <v>2</v>
      </c>
      <c r="H16" s="74">
        <f>+I16+J16+K16</f>
        <v>4</v>
      </c>
      <c r="I16" s="13">
        <v>4</v>
      </c>
      <c r="J16" s="13">
        <v>0</v>
      </c>
      <c r="K16" s="27">
        <v>0</v>
      </c>
      <c r="L16" s="73">
        <f>+M16+N16+O16</f>
        <v>3</v>
      </c>
      <c r="M16" s="13">
        <v>1</v>
      </c>
      <c r="N16" s="13">
        <v>0</v>
      </c>
      <c r="O16" s="62">
        <v>2</v>
      </c>
    </row>
    <row r="17" spans="1:21">
      <c r="A17" s="15"/>
      <c r="B17" s="70">
        <v>14</v>
      </c>
      <c r="C17" s="90" t="s">
        <v>185</v>
      </c>
      <c r="D17" s="73">
        <f>+H17+L17</f>
        <v>7</v>
      </c>
      <c r="E17" s="13">
        <f>+I17+M17</f>
        <v>1</v>
      </c>
      <c r="F17" s="13">
        <f>+J17+N17</f>
        <v>0</v>
      </c>
      <c r="G17" s="62">
        <f>+K17+O17</f>
        <v>6</v>
      </c>
      <c r="H17" s="74">
        <f>+I17+J17+K17</f>
        <v>4</v>
      </c>
      <c r="I17" s="13">
        <v>1</v>
      </c>
      <c r="J17" s="13">
        <v>0</v>
      </c>
      <c r="K17" s="27">
        <v>3</v>
      </c>
      <c r="L17" s="73">
        <f>+M17+N17+O17</f>
        <v>3</v>
      </c>
      <c r="M17" s="13">
        <v>0</v>
      </c>
      <c r="N17" s="13">
        <v>0</v>
      </c>
      <c r="O17" s="62">
        <v>3</v>
      </c>
    </row>
    <row r="18" spans="1:21">
      <c r="A18" s="15"/>
      <c r="B18" s="70">
        <v>15</v>
      </c>
      <c r="C18" s="91" t="s">
        <v>204</v>
      </c>
      <c r="D18" s="73">
        <f>+H18+L18</f>
        <v>6</v>
      </c>
      <c r="E18" s="13">
        <f>+I18+M18</f>
        <v>4</v>
      </c>
      <c r="F18" s="13">
        <f>+J18+N18</f>
        <v>0</v>
      </c>
      <c r="G18" s="62">
        <f>+K18+O18</f>
        <v>2</v>
      </c>
      <c r="H18" s="74">
        <f>+I18+J18+K18</f>
        <v>3</v>
      </c>
      <c r="I18" s="13">
        <v>2</v>
      </c>
      <c r="J18" s="13">
        <v>0</v>
      </c>
      <c r="K18" s="27">
        <v>1</v>
      </c>
      <c r="L18" s="73">
        <f>+M18+N18+O18</f>
        <v>3</v>
      </c>
      <c r="M18" s="13">
        <v>2</v>
      </c>
      <c r="N18" s="13">
        <v>0</v>
      </c>
      <c r="O18" s="62">
        <v>1</v>
      </c>
    </row>
    <row r="19" spans="1:21">
      <c r="A19" s="15"/>
      <c r="B19" s="70">
        <v>16</v>
      </c>
      <c r="C19" s="91" t="s">
        <v>107</v>
      </c>
      <c r="D19" s="73">
        <f>+H19+L19</f>
        <v>6</v>
      </c>
      <c r="E19" s="13">
        <f>+I19+M19</f>
        <v>4</v>
      </c>
      <c r="F19" s="13">
        <f>+J19+N19</f>
        <v>0</v>
      </c>
      <c r="G19" s="62">
        <f>+K19+O19</f>
        <v>2</v>
      </c>
      <c r="H19" s="74">
        <f>+I19+J19+K19</f>
        <v>3</v>
      </c>
      <c r="I19" s="13">
        <v>3</v>
      </c>
      <c r="J19" s="13">
        <v>0</v>
      </c>
      <c r="K19" s="27">
        <v>0</v>
      </c>
      <c r="L19" s="73">
        <f>+M19+N19+O19</f>
        <v>3</v>
      </c>
      <c r="M19" s="13">
        <v>1</v>
      </c>
      <c r="N19" s="13">
        <v>0</v>
      </c>
      <c r="O19" s="62">
        <v>2</v>
      </c>
    </row>
    <row r="20" spans="1:21">
      <c r="A20" s="15"/>
      <c r="B20" s="70">
        <v>17</v>
      </c>
      <c r="C20" s="90" t="s">
        <v>103</v>
      </c>
      <c r="D20" s="73">
        <f>+H20+L20</f>
        <v>6</v>
      </c>
      <c r="E20" s="13">
        <f>+I20+M20</f>
        <v>2</v>
      </c>
      <c r="F20" s="13">
        <f>+J20+N20</f>
        <v>1</v>
      </c>
      <c r="G20" s="62">
        <f>+K20+O20</f>
        <v>3</v>
      </c>
      <c r="H20" s="74">
        <f>+I20+J20+K20</f>
        <v>3</v>
      </c>
      <c r="I20" s="13">
        <v>2</v>
      </c>
      <c r="J20" s="13">
        <v>1</v>
      </c>
      <c r="K20" s="27">
        <v>0</v>
      </c>
      <c r="L20" s="73">
        <f>+M20+N20+O20</f>
        <v>3</v>
      </c>
      <c r="M20" s="13">
        <v>0</v>
      </c>
      <c r="N20" s="13">
        <v>0</v>
      </c>
      <c r="O20" s="62">
        <v>3</v>
      </c>
    </row>
    <row r="21" spans="1:21">
      <c r="A21" s="15"/>
      <c r="B21" s="70">
        <v>18</v>
      </c>
      <c r="C21" s="90" t="s">
        <v>91</v>
      </c>
      <c r="D21" s="73">
        <f>+H21+L21</f>
        <v>6</v>
      </c>
      <c r="E21" s="13">
        <f>+I21+M21</f>
        <v>1</v>
      </c>
      <c r="F21" s="13">
        <f>+J21+N21</f>
        <v>0</v>
      </c>
      <c r="G21" s="62">
        <f>+K21+O21</f>
        <v>5</v>
      </c>
      <c r="H21" s="74">
        <f>+I21+J21+K21</f>
        <v>3</v>
      </c>
      <c r="I21" s="13">
        <v>1</v>
      </c>
      <c r="J21" s="13">
        <v>0</v>
      </c>
      <c r="K21" s="27">
        <v>2</v>
      </c>
      <c r="L21" s="73">
        <f>+M21+N21+O21</f>
        <v>3</v>
      </c>
      <c r="M21" s="13">
        <v>0</v>
      </c>
      <c r="N21" s="13">
        <v>0</v>
      </c>
      <c r="O21" s="62">
        <v>3</v>
      </c>
    </row>
    <row r="22" spans="1:21">
      <c r="A22" s="15"/>
      <c r="B22" s="70">
        <v>19</v>
      </c>
      <c r="C22" s="91" t="s">
        <v>93</v>
      </c>
      <c r="D22" s="73">
        <f>+H22+L22</f>
        <v>5</v>
      </c>
      <c r="E22" s="13">
        <f>+I22+M22</f>
        <v>4</v>
      </c>
      <c r="F22" s="13">
        <f>+J22+N22</f>
        <v>0</v>
      </c>
      <c r="G22" s="62">
        <f>+K22+O22</f>
        <v>1</v>
      </c>
      <c r="H22" s="74">
        <f>+I22+J22+K22</f>
        <v>3</v>
      </c>
      <c r="I22" s="13">
        <v>3</v>
      </c>
      <c r="J22" s="13">
        <v>0</v>
      </c>
      <c r="K22" s="27">
        <v>0</v>
      </c>
      <c r="L22" s="73">
        <f>+M22+N22+O22</f>
        <v>2</v>
      </c>
      <c r="M22" s="13">
        <v>1</v>
      </c>
      <c r="N22" s="13">
        <v>0</v>
      </c>
      <c r="O22" s="62">
        <v>1</v>
      </c>
    </row>
    <row r="23" spans="1:21">
      <c r="A23" s="15"/>
      <c r="B23" s="70">
        <v>20</v>
      </c>
      <c r="C23" s="90" t="s">
        <v>90</v>
      </c>
      <c r="D23" s="73">
        <f>+H23+L23</f>
        <v>5</v>
      </c>
      <c r="E23" s="13">
        <f>+I23+M23</f>
        <v>1</v>
      </c>
      <c r="F23" s="13">
        <f>+J23+N23</f>
        <v>0</v>
      </c>
      <c r="G23" s="62">
        <f>+K23+O23</f>
        <v>4</v>
      </c>
      <c r="H23" s="74">
        <f>+I23+J23+K23</f>
        <v>3</v>
      </c>
      <c r="I23" s="13">
        <v>1</v>
      </c>
      <c r="J23" s="13">
        <v>0</v>
      </c>
      <c r="K23" s="27">
        <v>2</v>
      </c>
      <c r="L23" s="73">
        <f>+M23+N23+O23</f>
        <v>2</v>
      </c>
      <c r="M23" s="13">
        <v>0</v>
      </c>
      <c r="N23" s="13">
        <v>0</v>
      </c>
      <c r="O23" s="62">
        <v>2</v>
      </c>
    </row>
    <row r="24" spans="1:21">
      <c r="A24" s="15"/>
      <c r="B24" s="70">
        <v>21</v>
      </c>
      <c r="C24" s="91" t="s">
        <v>68</v>
      </c>
      <c r="D24" s="73">
        <f>+H24+L24</f>
        <v>5</v>
      </c>
      <c r="E24" s="13">
        <f>+I24+M24</f>
        <v>5</v>
      </c>
      <c r="F24" s="13">
        <f>+J24+N24</f>
        <v>0</v>
      </c>
      <c r="G24" s="62">
        <f>+K24+O24</f>
        <v>0</v>
      </c>
      <c r="H24" s="74">
        <f>+I24+J24+K24</f>
        <v>3</v>
      </c>
      <c r="I24" s="13">
        <v>3</v>
      </c>
      <c r="J24" s="13">
        <v>0</v>
      </c>
      <c r="K24" s="27">
        <v>0</v>
      </c>
      <c r="L24" s="73">
        <f>+M24+N24+O24</f>
        <v>2</v>
      </c>
      <c r="M24" s="13">
        <v>2</v>
      </c>
      <c r="N24" s="13">
        <v>0</v>
      </c>
      <c r="O24" s="62">
        <v>0</v>
      </c>
    </row>
    <row r="25" spans="1:21">
      <c r="A25" s="15"/>
      <c r="B25" s="70">
        <v>22</v>
      </c>
      <c r="C25" s="90" t="s">
        <v>126</v>
      </c>
      <c r="D25" s="73">
        <f>+H25+L25</f>
        <v>5</v>
      </c>
      <c r="E25" s="13">
        <f>+I25+M25</f>
        <v>1</v>
      </c>
      <c r="F25" s="13">
        <f>+J25+N25</f>
        <v>0</v>
      </c>
      <c r="G25" s="62">
        <f>+K25+O25</f>
        <v>4</v>
      </c>
      <c r="H25" s="74">
        <f>+I25+J25+K25</f>
        <v>3</v>
      </c>
      <c r="I25" s="13">
        <v>1</v>
      </c>
      <c r="J25" s="13">
        <v>0</v>
      </c>
      <c r="K25" s="27">
        <v>2</v>
      </c>
      <c r="L25" s="73">
        <f>+M25+N25+O25</f>
        <v>2</v>
      </c>
      <c r="M25" s="13">
        <v>0</v>
      </c>
      <c r="N25" s="13">
        <v>0</v>
      </c>
      <c r="O25" s="62">
        <v>2</v>
      </c>
    </row>
    <row r="26" spans="1:21">
      <c r="A26" s="15"/>
      <c r="B26" s="70">
        <v>23</v>
      </c>
      <c r="C26" s="91" t="s">
        <v>64</v>
      </c>
      <c r="D26" s="73">
        <f>+H26+L26</f>
        <v>4</v>
      </c>
      <c r="E26" s="13">
        <f>+I26+M26</f>
        <v>3</v>
      </c>
      <c r="F26" s="13">
        <f>+J26+N26</f>
        <v>0</v>
      </c>
      <c r="G26" s="62">
        <f>+K26+O26</f>
        <v>1</v>
      </c>
      <c r="H26" s="74">
        <f>+I26+J26+K26</f>
        <v>2</v>
      </c>
      <c r="I26" s="13">
        <v>1</v>
      </c>
      <c r="J26" s="13">
        <v>0</v>
      </c>
      <c r="K26" s="27">
        <v>1</v>
      </c>
      <c r="L26" s="73">
        <f>+M26+N26+O26</f>
        <v>2</v>
      </c>
      <c r="M26" s="13">
        <v>2</v>
      </c>
      <c r="N26" s="13">
        <v>0</v>
      </c>
      <c r="O26" s="62">
        <v>0</v>
      </c>
    </row>
    <row r="27" spans="1:21" ht="13.5" thickBot="1">
      <c r="A27" s="15"/>
      <c r="B27" s="70">
        <v>24</v>
      </c>
      <c r="C27" s="91" t="s">
        <v>67</v>
      </c>
      <c r="D27" s="73">
        <f>+H27+L27</f>
        <v>4</v>
      </c>
      <c r="E27" s="13">
        <f>+I27+M27</f>
        <v>4</v>
      </c>
      <c r="F27" s="13">
        <f>+J27+N27</f>
        <v>0</v>
      </c>
      <c r="G27" s="62">
        <f>+K27+O27</f>
        <v>0</v>
      </c>
      <c r="H27" s="74">
        <f>+I27+J27+K27</f>
        <v>2</v>
      </c>
      <c r="I27" s="13">
        <v>2</v>
      </c>
      <c r="J27" s="13">
        <v>0</v>
      </c>
      <c r="K27" s="27">
        <v>0</v>
      </c>
      <c r="L27" s="73">
        <f>+M27+N27+O27</f>
        <v>2</v>
      </c>
      <c r="M27" s="13">
        <v>2</v>
      </c>
      <c r="N27" s="13">
        <v>0</v>
      </c>
      <c r="O27" s="62">
        <v>0</v>
      </c>
    </row>
    <row r="28" spans="1:21" ht="13.5" thickBot="1">
      <c r="A28" s="15"/>
      <c r="B28" s="70">
        <v>25</v>
      </c>
      <c r="C28" s="90" t="s">
        <v>123</v>
      </c>
      <c r="D28" s="73">
        <f>+H28+L28</f>
        <v>4</v>
      </c>
      <c r="E28" s="13">
        <f>+I28+M28</f>
        <v>1</v>
      </c>
      <c r="F28" s="13">
        <f>+J28+N28</f>
        <v>0</v>
      </c>
      <c r="G28" s="62">
        <f>+K28+O28</f>
        <v>3</v>
      </c>
      <c r="H28" s="74">
        <f>+I28+J28+K28</f>
        <v>2</v>
      </c>
      <c r="I28" s="13">
        <v>1</v>
      </c>
      <c r="J28" s="13">
        <v>0</v>
      </c>
      <c r="K28" s="27">
        <v>1</v>
      </c>
      <c r="L28" s="73">
        <f>+M28+N28+O28</f>
        <v>2</v>
      </c>
      <c r="M28" s="13">
        <v>0</v>
      </c>
      <c r="N28" s="13">
        <v>0</v>
      </c>
      <c r="O28" s="62">
        <v>2</v>
      </c>
      <c r="R28" s="39" t="s">
        <v>237</v>
      </c>
      <c r="S28" s="246" t="s">
        <v>258</v>
      </c>
      <c r="T28" s="249"/>
      <c r="U28" s="247"/>
    </row>
    <row r="29" spans="1:21">
      <c r="A29" s="15"/>
      <c r="B29" s="70">
        <v>26</v>
      </c>
      <c r="C29" s="91" t="s">
        <v>40</v>
      </c>
      <c r="D29" s="73">
        <f>+H29+L29</f>
        <v>4</v>
      </c>
      <c r="E29" s="13">
        <f>+I29+M29</f>
        <v>4</v>
      </c>
      <c r="F29" s="13">
        <f>+J29+N29</f>
        <v>0</v>
      </c>
      <c r="G29" s="62">
        <f>+K29+O29</f>
        <v>0</v>
      </c>
      <c r="H29" s="74">
        <f>+I29+J29+K29</f>
        <v>3</v>
      </c>
      <c r="I29" s="13">
        <v>3</v>
      </c>
      <c r="J29" s="13">
        <v>0</v>
      </c>
      <c r="K29" s="27">
        <v>0</v>
      </c>
      <c r="L29" s="73">
        <f>+M29+N29+O29</f>
        <v>1</v>
      </c>
      <c r="M29" s="13">
        <v>1</v>
      </c>
      <c r="N29" s="13">
        <v>0</v>
      </c>
      <c r="O29" s="62">
        <v>0</v>
      </c>
      <c r="S29" s="5"/>
      <c r="U29" s="37"/>
    </row>
    <row r="30" spans="1:21">
      <c r="A30" s="15"/>
      <c r="B30" s="70">
        <v>27</v>
      </c>
      <c r="C30" s="90" t="s">
        <v>95</v>
      </c>
      <c r="D30" s="73">
        <f>+H30+L30</f>
        <v>4</v>
      </c>
      <c r="E30" s="13">
        <f>+I30+M30</f>
        <v>1</v>
      </c>
      <c r="F30" s="13">
        <f>+J30+N30</f>
        <v>0</v>
      </c>
      <c r="G30" s="62">
        <f>+K30+O30</f>
        <v>3</v>
      </c>
      <c r="H30" s="74">
        <f>+I30+J30+K30</f>
        <v>1</v>
      </c>
      <c r="I30" s="13">
        <v>0</v>
      </c>
      <c r="J30" s="13">
        <v>0</v>
      </c>
      <c r="K30" s="27">
        <v>1</v>
      </c>
      <c r="L30" s="73">
        <f>+M30+N30+O30</f>
        <v>3</v>
      </c>
      <c r="M30" s="13">
        <v>1</v>
      </c>
      <c r="N30" s="13">
        <v>0</v>
      </c>
      <c r="O30" s="62">
        <v>2</v>
      </c>
      <c r="R30" s="66" t="s">
        <v>238</v>
      </c>
      <c r="S30" s="41" t="s">
        <v>239</v>
      </c>
      <c r="T30" s="66" t="s">
        <v>1446</v>
      </c>
      <c r="U30" s="37">
        <v>2015</v>
      </c>
    </row>
    <row r="31" spans="1:21">
      <c r="A31" s="15"/>
      <c r="B31" s="70">
        <v>28</v>
      </c>
      <c r="C31" s="90" t="s">
        <v>114</v>
      </c>
      <c r="D31" s="73">
        <f>+H31+L31</f>
        <v>4</v>
      </c>
      <c r="E31" s="13">
        <f>+I31+M31</f>
        <v>1</v>
      </c>
      <c r="F31" s="13">
        <f>+J31+N31</f>
        <v>0</v>
      </c>
      <c r="G31" s="62">
        <f>+K31+O31</f>
        <v>3</v>
      </c>
      <c r="H31" s="74">
        <f>+I31+J31+K31</f>
        <v>2</v>
      </c>
      <c r="I31" s="13">
        <v>1</v>
      </c>
      <c r="J31" s="13">
        <v>0</v>
      </c>
      <c r="K31" s="27">
        <v>1</v>
      </c>
      <c r="L31" s="73">
        <f>+M31+N31+O31</f>
        <v>2</v>
      </c>
      <c r="M31" s="13">
        <v>0</v>
      </c>
      <c r="N31" s="13">
        <v>0</v>
      </c>
      <c r="O31" s="62">
        <v>2</v>
      </c>
      <c r="R31" s="66" t="s">
        <v>240</v>
      </c>
      <c r="S31" s="41" t="s">
        <v>241</v>
      </c>
      <c r="T31" s="66" t="s">
        <v>240</v>
      </c>
      <c r="U31" s="37">
        <v>2016</v>
      </c>
    </row>
    <row r="32" spans="1:21">
      <c r="A32" s="15"/>
      <c r="B32" s="70">
        <v>29</v>
      </c>
      <c r="C32" s="90" t="s">
        <v>94</v>
      </c>
      <c r="D32" s="73">
        <f>+H32+L32</f>
        <v>3</v>
      </c>
      <c r="E32" s="13">
        <f>+I32+M32</f>
        <v>1</v>
      </c>
      <c r="F32" s="13">
        <f>+J32+N32</f>
        <v>0</v>
      </c>
      <c r="G32" s="62">
        <f>+K32+O32</f>
        <v>2</v>
      </c>
      <c r="H32" s="74">
        <f>+I32+J32+K32</f>
        <v>2</v>
      </c>
      <c r="I32" s="13">
        <v>1</v>
      </c>
      <c r="J32" s="13">
        <v>0</v>
      </c>
      <c r="K32" s="27">
        <v>1</v>
      </c>
      <c r="L32" s="73">
        <f>+M32+N32+O32</f>
        <v>1</v>
      </c>
      <c r="M32" s="13">
        <v>0</v>
      </c>
      <c r="N32" s="13">
        <v>0</v>
      </c>
      <c r="O32" s="62">
        <v>1</v>
      </c>
      <c r="R32" s="66" t="s">
        <v>242</v>
      </c>
      <c r="S32" s="41" t="s">
        <v>243</v>
      </c>
      <c r="T32" s="66" t="s">
        <v>242</v>
      </c>
      <c r="U32" s="37">
        <v>2017</v>
      </c>
    </row>
    <row r="33" spans="1:30">
      <c r="A33" s="15"/>
      <c r="B33" s="70">
        <v>30</v>
      </c>
      <c r="C33" s="91" t="s">
        <v>39</v>
      </c>
      <c r="D33" s="73">
        <f>+H33+L33</f>
        <v>3</v>
      </c>
      <c r="E33" s="13">
        <f>+I33+M33</f>
        <v>3</v>
      </c>
      <c r="F33" s="13">
        <f>+J33+N33</f>
        <v>0</v>
      </c>
      <c r="G33" s="62">
        <f>+K33+O33</f>
        <v>0</v>
      </c>
      <c r="H33" s="74">
        <f>+I33+J33+K33</f>
        <v>1</v>
      </c>
      <c r="I33" s="13">
        <v>1</v>
      </c>
      <c r="J33" s="13">
        <v>0</v>
      </c>
      <c r="K33" s="27">
        <v>0</v>
      </c>
      <c r="L33" s="73">
        <f>+M33+N33+O33</f>
        <v>2</v>
      </c>
      <c r="M33" s="13">
        <v>2</v>
      </c>
      <c r="N33" s="13">
        <v>0</v>
      </c>
      <c r="O33" s="62">
        <v>0</v>
      </c>
      <c r="R33" s="66" t="s">
        <v>244</v>
      </c>
      <c r="S33" s="41" t="s">
        <v>343</v>
      </c>
      <c r="T33" s="66" t="s">
        <v>1445</v>
      </c>
      <c r="U33" s="37">
        <v>2018</v>
      </c>
    </row>
    <row r="34" spans="1:30">
      <c r="A34" s="15"/>
      <c r="B34" s="70">
        <v>31</v>
      </c>
      <c r="C34" s="91" t="s">
        <v>200</v>
      </c>
      <c r="D34" s="73">
        <f>+H34+L34</f>
        <v>3</v>
      </c>
      <c r="E34" s="13">
        <f>+I34+M34</f>
        <v>3</v>
      </c>
      <c r="F34" s="13">
        <f>+J34+N34</f>
        <v>0</v>
      </c>
      <c r="G34" s="62">
        <f>+K34+O34</f>
        <v>0</v>
      </c>
      <c r="H34" s="74">
        <f>+I34+J34+K34</f>
        <v>2</v>
      </c>
      <c r="I34" s="13">
        <v>2</v>
      </c>
      <c r="J34" s="13">
        <v>0</v>
      </c>
      <c r="K34" s="27">
        <v>0</v>
      </c>
      <c r="L34" s="73">
        <f>+M34+N34+O34</f>
        <v>1</v>
      </c>
      <c r="M34" s="13">
        <v>1</v>
      </c>
      <c r="N34" s="13">
        <v>0</v>
      </c>
      <c r="O34" s="62">
        <v>0</v>
      </c>
      <c r="R34" s="66" t="s">
        <v>253</v>
      </c>
      <c r="S34" s="41" t="s">
        <v>254</v>
      </c>
      <c r="T34" s="66" t="s">
        <v>1444</v>
      </c>
      <c r="U34" s="37">
        <v>2019</v>
      </c>
    </row>
    <row r="35" spans="1:30">
      <c r="A35" s="15"/>
      <c r="B35" s="70">
        <v>32</v>
      </c>
      <c r="C35" s="91" t="s">
        <v>60</v>
      </c>
      <c r="D35" s="73">
        <f>+H35+L35</f>
        <v>3</v>
      </c>
      <c r="E35" s="13">
        <f>+I35+M35</f>
        <v>3</v>
      </c>
      <c r="F35" s="13">
        <f>+J35+N35</f>
        <v>0</v>
      </c>
      <c r="G35" s="62">
        <f>+K35+O35</f>
        <v>0</v>
      </c>
      <c r="H35" s="74">
        <f>+I35+J35+K35</f>
        <v>2</v>
      </c>
      <c r="I35" s="13">
        <v>2</v>
      </c>
      <c r="J35" s="13">
        <v>0</v>
      </c>
      <c r="K35" s="27">
        <v>0</v>
      </c>
      <c r="L35" s="73">
        <f>+M35+N35+O35</f>
        <v>1</v>
      </c>
      <c r="M35" s="13">
        <v>1</v>
      </c>
      <c r="N35" s="13">
        <v>0</v>
      </c>
      <c r="O35" s="62">
        <v>0</v>
      </c>
      <c r="R35" s="66" t="s">
        <v>341</v>
      </c>
      <c r="S35" s="41" t="s">
        <v>342</v>
      </c>
      <c r="T35" s="66" t="s">
        <v>341</v>
      </c>
      <c r="U35" s="89">
        <v>2021</v>
      </c>
      <c r="V35" s="15"/>
      <c r="W35" s="15"/>
      <c r="X35" s="1"/>
      <c r="Y35" s="1"/>
      <c r="Z35" s="15"/>
      <c r="AA35" s="15"/>
    </row>
    <row r="36" spans="1:30">
      <c r="A36" s="15"/>
      <c r="B36" s="70">
        <v>33</v>
      </c>
      <c r="C36" s="90" t="s">
        <v>184</v>
      </c>
      <c r="D36" s="73">
        <f>+H36+L36</f>
        <v>3</v>
      </c>
      <c r="E36" s="13">
        <f>+I36+M36</f>
        <v>1</v>
      </c>
      <c r="F36" s="13">
        <f>+J36+N36</f>
        <v>0</v>
      </c>
      <c r="G36" s="62">
        <f>+K36+O36</f>
        <v>2</v>
      </c>
      <c r="H36" s="74">
        <f>+I36+J36+K36</f>
        <v>1</v>
      </c>
      <c r="I36" s="13">
        <v>0</v>
      </c>
      <c r="J36" s="13">
        <v>0</v>
      </c>
      <c r="K36" s="27">
        <v>1</v>
      </c>
      <c r="L36" s="73">
        <f>+M36+N36+O36</f>
        <v>2</v>
      </c>
      <c r="M36" s="13">
        <v>1</v>
      </c>
      <c r="N36" s="13">
        <v>0</v>
      </c>
      <c r="O36" s="62">
        <v>1</v>
      </c>
      <c r="S36" s="41" t="s">
        <v>1442</v>
      </c>
      <c r="T36" s="66" t="s">
        <v>1447</v>
      </c>
      <c r="U36" s="37">
        <v>2023</v>
      </c>
      <c r="V36" s="1"/>
      <c r="W36" s="1"/>
      <c r="X36" s="1"/>
      <c r="Y36" s="1"/>
      <c r="Z36" s="1"/>
      <c r="AA36" s="1"/>
    </row>
    <row r="37" spans="1:30">
      <c r="A37" s="15"/>
      <c r="B37" s="70">
        <v>34</v>
      </c>
      <c r="C37" s="90" t="s">
        <v>125</v>
      </c>
      <c r="D37" s="73">
        <f>+H37+L37</f>
        <v>3</v>
      </c>
      <c r="E37" s="13">
        <f>+I37+M37</f>
        <v>0</v>
      </c>
      <c r="F37" s="13">
        <f>+J37+N37</f>
        <v>0</v>
      </c>
      <c r="G37" s="62">
        <f>+K37+O37</f>
        <v>3</v>
      </c>
      <c r="H37" s="74">
        <f>+I37+J37+K37</f>
        <v>2</v>
      </c>
      <c r="I37" s="13">
        <v>0</v>
      </c>
      <c r="J37" s="13">
        <v>0</v>
      </c>
      <c r="K37" s="27">
        <v>2</v>
      </c>
      <c r="L37" s="73">
        <f>+M37+N37+O37</f>
        <v>1</v>
      </c>
      <c r="M37" s="13">
        <v>0</v>
      </c>
      <c r="N37" s="13">
        <v>0</v>
      </c>
      <c r="O37" s="62">
        <v>1</v>
      </c>
      <c r="S37" s="41" t="s">
        <v>1443</v>
      </c>
      <c r="T37" s="66" t="s">
        <v>1449</v>
      </c>
      <c r="U37" s="209" t="s">
        <v>1450</v>
      </c>
      <c r="V37" s="153"/>
      <c r="W37" s="153"/>
      <c r="X37" s="153"/>
      <c r="Y37" s="153"/>
      <c r="Z37" s="153"/>
      <c r="AA37" s="153"/>
      <c r="AB37" s="1"/>
      <c r="AC37" s="1"/>
      <c r="AD37" s="1"/>
    </row>
    <row r="38" spans="1:30" ht="13.5" thickBot="1">
      <c r="A38" s="15"/>
      <c r="B38" s="70">
        <v>35</v>
      </c>
      <c r="C38" s="90" t="s">
        <v>1154</v>
      </c>
      <c r="D38" s="73">
        <f>+H38+L38</f>
        <v>3</v>
      </c>
      <c r="E38" s="13">
        <f>+I38+M38</f>
        <v>0</v>
      </c>
      <c r="F38" s="13">
        <f>+J38+N38</f>
        <v>0</v>
      </c>
      <c r="G38" s="62">
        <f>+K38+O38</f>
        <v>3</v>
      </c>
      <c r="H38" s="74">
        <f>+I38+J38+K38</f>
        <v>1</v>
      </c>
      <c r="I38" s="13">
        <v>0</v>
      </c>
      <c r="J38" s="13">
        <v>0</v>
      </c>
      <c r="K38" s="27">
        <v>1</v>
      </c>
      <c r="L38" s="73">
        <f>+M38+N38+O38</f>
        <v>2</v>
      </c>
      <c r="M38" s="13">
        <v>0</v>
      </c>
      <c r="N38" s="13">
        <v>0</v>
      </c>
      <c r="O38" s="62">
        <v>2</v>
      </c>
      <c r="S38" s="149" t="s">
        <v>1448</v>
      </c>
      <c r="T38" s="81" t="s">
        <v>1449</v>
      </c>
      <c r="U38" s="22">
        <v>2023</v>
      </c>
    </row>
    <row r="39" spans="1:30">
      <c r="A39" s="15"/>
      <c r="B39" s="70">
        <v>36</v>
      </c>
      <c r="C39" s="91" t="s">
        <v>54</v>
      </c>
      <c r="D39" s="73">
        <f>+H39+L39</f>
        <v>2</v>
      </c>
      <c r="E39" s="13">
        <f>+I39+M39</f>
        <v>2</v>
      </c>
      <c r="F39" s="13">
        <f>+J39+N39</f>
        <v>0</v>
      </c>
      <c r="G39" s="62">
        <f>+K39+O39</f>
        <v>0</v>
      </c>
      <c r="H39" s="74">
        <f>+I39+J39+K39</f>
        <v>2</v>
      </c>
      <c r="I39" s="13">
        <v>2</v>
      </c>
      <c r="J39" s="13">
        <v>0</v>
      </c>
      <c r="K39" s="27">
        <v>0</v>
      </c>
      <c r="L39" s="73">
        <f>+M39+N39+O39</f>
        <v>0</v>
      </c>
      <c r="M39" s="13">
        <v>0</v>
      </c>
      <c r="N39" s="13">
        <v>0</v>
      </c>
      <c r="O39" s="62">
        <v>0</v>
      </c>
      <c r="R39" s="39"/>
    </row>
    <row r="40" spans="1:30">
      <c r="A40" s="15"/>
      <c r="B40" s="70">
        <v>37</v>
      </c>
      <c r="C40" s="91" t="s">
        <v>70</v>
      </c>
      <c r="D40" s="73">
        <f>+H40+L40</f>
        <v>2</v>
      </c>
      <c r="E40" s="13">
        <f>+I40+M40</f>
        <v>2</v>
      </c>
      <c r="F40" s="13">
        <f>+J40+N40</f>
        <v>0</v>
      </c>
      <c r="G40" s="62">
        <f>+K40+O40</f>
        <v>0</v>
      </c>
      <c r="H40" s="74">
        <f>+I40+J40+K40</f>
        <v>0</v>
      </c>
      <c r="I40" s="13">
        <v>0</v>
      </c>
      <c r="J40" s="13">
        <v>0</v>
      </c>
      <c r="K40" s="27">
        <v>0</v>
      </c>
      <c r="L40" s="73">
        <f>+M40+N40+O40</f>
        <v>2</v>
      </c>
      <c r="M40" s="13">
        <v>2</v>
      </c>
      <c r="N40" s="13">
        <v>0</v>
      </c>
      <c r="O40" s="62">
        <v>0</v>
      </c>
      <c r="R40" s="39"/>
    </row>
    <row r="41" spans="1:30">
      <c r="A41" s="15"/>
      <c r="B41" s="70">
        <v>38</v>
      </c>
      <c r="C41" s="91" t="s">
        <v>45</v>
      </c>
      <c r="D41" s="73">
        <f>+H41+L41</f>
        <v>2</v>
      </c>
      <c r="E41" s="13">
        <f>+I41+M41</f>
        <v>2</v>
      </c>
      <c r="F41" s="13">
        <f>+J41+N41</f>
        <v>0</v>
      </c>
      <c r="G41" s="62">
        <f>+K41+O41</f>
        <v>0</v>
      </c>
      <c r="H41" s="74">
        <f>+I41+J41+K41</f>
        <v>0</v>
      </c>
      <c r="I41" s="13">
        <v>0</v>
      </c>
      <c r="J41" s="13">
        <v>0</v>
      </c>
      <c r="K41" s="27">
        <v>0</v>
      </c>
      <c r="L41" s="73">
        <f>+M41+N41+O41</f>
        <v>2</v>
      </c>
      <c r="M41" s="13">
        <v>2</v>
      </c>
      <c r="N41" s="13">
        <v>0</v>
      </c>
      <c r="O41" s="62">
        <v>0</v>
      </c>
      <c r="R41" s="39"/>
    </row>
    <row r="42" spans="1:30">
      <c r="A42" s="15"/>
      <c r="B42" s="70">
        <v>39</v>
      </c>
      <c r="C42" s="91" t="s">
        <v>66</v>
      </c>
      <c r="D42" s="73">
        <f>+H42+L42</f>
        <v>2</v>
      </c>
      <c r="E42" s="13">
        <f>+I42+M42</f>
        <v>1</v>
      </c>
      <c r="F42" s="13">
        <f>+J42+N42</f>
        <v>1</v>
      </c>
      <c r="G42" s="62">
        <f>+K42+O42</f>
        <v>0</v>
      </c>
      <c r="H42" s="74">
        <f>+I42+J42+K42</f>
        <v>2</v>
      </c>
      <c r="I42" s="13">
        <v>1</v>
      </c>
      <c r="J42" s="13">
        <v>1</v>
      </c>
      <c r="K42" s="27">
        <v>0</v>
      </c>
      <c r="L42" s="73">
        <f>+M42+N42+O42</f>
        <v>0</v>
      </c>
      <c r="M42" s="13">
        <v>0</v>
      </c>
      <c r="N42" s="13">
        <v>0</v>
      </c>
      <c r="O42" s="62">
        <v>0</v>
      </c>
      <c r="R42" s="39"/>
    </row>
    <row r="43" spans="1:30">
      <c r="A43" s="15"/>
      <c r="B43" s="70">
        <v>40</v>
      </c>
      <c r="C43" s="91" t="s">
        <v>30</v>
      </c>
      <c r="D43" s="73">
        <f>+H43+L43</f>
        <v>2</v>
      </c>
      <c r="E43" s="13">
        <f>+I43+M43</f>
        <v>2</v>
      </c>
      <c r="F43" s="13">
        <f>+J43+N43</f>
        <v>0</v>
      </c>
      <c r="G43" s="62">
        <f>+K43+O43</f>
        <v>0</v>
      </c>
      <c r="H43" s="74">
        <f>+I43+J43+K43</f>
        <v>0</v>
      </c>
      <c r="I43" s="13">
        <v>0</v>
      </c>
      <c r="J43" s="13">
        <v>0</v>
      </c>
      <c r="K43" s="27">
        <v>0</v>
      </c>
      <c r="L43" s="73">
        <f>+M43+N43+O43</f>
        <v>2</v>
      </c>
      <c r="M43" s="13">
        <v>2</v>
      </c>
      <c r="N43" s="13">
        <v>0</v>
      </c>
      <c r="O43" s="62">
        <v>0</v>
      </c>
      <c r="R43" s="39"/>
    </row>
    <row r="44" spans="1:30">
      <c r="A44" s="15"/>
      <c r="B44" s="70">
        <v>41</v>
      </c>
      <c r="C44" s="91" t="s">
        <v>0</v>
      </c>
      <c r="D44" s="73">
        <f>+H44+L44</f>
        <v>2</v>
      </c>
      <c r="E44" s="13">
        <f>+I44+M44</f>
        <v>2</v>
      </c>
      <c r="F44" s="13">
        <f>+J44+N44</f>
        <v>0</v>
      </c>
      <c r="G44" s="62">
        <f>+K44+O44</f>
        <v>0</v>
      </c>
      <c r="H44" s="74">
        <f>+I44+J44+K44</f>
        <v>0</v>
      </c>
      <c r="I44" s="13">
        <v>0</v>
      </c>
      <c r="J44" s="13">
        <v>0</v>
      </c>
      <c r="K44" s="27">
        <v>0</v>
      </c>
      <c r="L44" s="73">
        <f>+M44+N44+O44</f>
        <v>2</v>
      </c>
      <c r="M44" s="13">
        <v>2</v>
      </c>
      <c r="N44" s="13">
        <v>0</v>
      </c>
      <c r="O44" s="62">
        <v>0</v>
      </c>
      <c r="R44" s="39"/>
    </row>
    <row r="45" spans="1:30">
      <c r="A45" s="15"/>
      <c r="B45" s="70">
        <v>42</v>
      </c>
      <c r="C45" s="91" t="s">
        <v>201</v>
      </c>
      <c r="D45" s="73">
        <f>+H45+L45</f>
        <v>2</v>
      </c>
      <c r="E45" s="13">
        <f>+I45+M45</f>
        <v>2</v>
      </c>
      <c r="F45" s="13">
        <f>+J45+N45</f>
        <v>0</v>
      </c>
      <c r="G45" s="62">
        <f>+K45+O45</f>
        <v>0</v>
      </c>
      <c r="H45" s="74">
        <f>+I45+J45+K45</f>
        <v>1</v>
      </c>
      <c r="I45" s="13">
        <v>1</v>
      </c>
      <c r="J45" s="13">
        <v>0</v>
      </c>
      <c r="K45" s="27">
        <v>0</v>
      </c>
      <c r="L45" s="73">
        <f>+M45+N45+O45</f>
        <v>1</v>
      </c>
      <c r="M45" s="13">
        <v>1</v>
      </c>
      <c r="N45" s="13">
        <v>0</v>
      </c>
      <c r="O45" s="62">
        <v>0</v>
      </c>
      <c r="R45" s="39"/>
    </row>
    <row r="46" spans="1:30">
      <c r="A46" s="15"/>
      <c r="B46" s="70">
        <v>43</v>
      </c>
      <c r="C46" s="92" t="s">
        <v>36</v>
      </c>
      <c r="D46" s="73">
        <f>+H46+L46</f>
        <v>2</v>
      </c>
      <c r="E46" s="13">
        <f>+I46+M46</f>
        <v>1</v>
      </c>
      <c r="F46" s="13">
        <f>+J46+N46</f>
        <v>0</v>
      </c>
      <c r="G46" s="62">
        <f>+K46+O46</f>
        <v>1</v>
      </c>
      <c r="H46" s="74">
        <f>+I46+J46+K46</f>
        <v>1</v>
      </c>
      <c r="I46" s="13">
        <v>0</v>
      </c>
      <c r="J46" s="13">
        <v>0</v>
      </c>
      <c r="K46" s="27">
        <v>1</v>
      </c>
      <c r="L46" s="73">
        <f>+M46+N46+O46</f>
        <v>1</v>
      </c>
      <c r="M46" s="13">
        <v>1</v>
      </c>
      <c r="N46" s="13">
        <v>0</v>
      </c>
      <c r="O46" s="62">
        <v>0</v>
      </c>
    </row>
    <row r="47" spans="1:30">
      <c r="A47" s="15"/>
      <c r="B47" s="70">
        <v>44</v>
      </c>
      <c r="C47" s="90" t="s">
        <v>115</v>
      </c>
      <c r="D47" s="73">
        <f>+H47+L47</f>
        <v>2</v>
      </c>
      <c r="E47" s="13">
        <f>+I47+M47</f>
        <v>0</v>
      </c>
      <c r="F47" s="13">
        <f>+J47+N47</f>
        <v>0</v>
      </c>
      <c r="G47" s="62">
        <f>+K47+O47</f>
        <v>2</v>
      </c>
      <c r="H47" s="74">
        <f>+I47+J47+K47</f>
        <v>1</v>
      </c>
      <c r="I47" s="13">
        <v>0</v>
      </c>
      <c r="J47" s="13">
        <v>0</v>
      </c>
      <c r="K47" s="27">
        <v>1</v>
      </c>
      <c r="L47" s="73">
        <f>+M47+N47+O47</f>
        <v>1</v>
      </c>
      <c r="M47" s="13">
        <v>0</v>
      </c>
      <c r="N47" s="13">
        <v>0</v>
      </c>
      <c r="O47" s="62">
        <v>1</v>
      </c>
    </row>
    <row r="48" spans="1:30">
      <c r="A48" s="15"/>
      <c r="B48" s="70">
        <v>45</v>
      </c>
      <c r="C48" s="90" t="s">
        <v>116</v>
      </c>
      <c r="D48" s="73">
        <f>+H48+L48</f>
        <v>2</v>
      </c>
      <c r="E48" s="13">
        <f>+I48+M48</f>
        <v>0</v>
      </c>
      <c r="F48" s="13">
        <f>+J48+N48</f>
        <v>0</v>
      </c>
      <c r="G48" s="62">
        <f>+K48+O48</f>
        <v>2</v>
      </c>
      <c r="H48" s="74">
        <f>+I48+J48+K48</f>
        <v>1</v>
      </c>
      <c r="I48" s="13">
        <v>0</v>
      </c>
      <c r="J48" s="13">
        <v>0</v>
      </c>
      <c r="K48" s="27">
        <v>1</v>
      </c>
      <c r="L48" s="73">
        <f>+M48+N48+O48</f>
        <v>1</v>
      </c>
      <c r="M48" s="13">
        <v>0</v>
      </c>
      <c r="N48" s="13">
        <v>0</v>
      </c>
      <c r="O48" s="62">
        <v>1</v>
      </c>
    </row>
    <row r="49" spans="1:28">
      <c r="A49" s="15"/>
      <c r="B49" s="70">
        <v>46</v>
      </c>
      <c r="C49" s="90" t="s">
        <v>61</v>
      </c>
      <c r="D49" s="73">
        <f>+H49+L49</f>
        <v>2</v>
      </c>
      <c r="E49" s="13">
        <f>+I49+M49</f>
        <v>0</v>
      </c>
      <c r="F49" s="13">
        <f>+J49+N49</f>
        <v>0</v>
      </c>
      <c r="G49" s="62">
        <f>+K49+O49</f>
        <v>2</v>
      </c>
      <c r="H49" s="74">
        <f>+I49+J49+K49</f>
        <v>1</v>
      </c>
      <c r="I49" s="13">
        <v>0</v>
      </c>
      <c r="J49" s="13">
        <v>0</v>
      </c>
      <c r="K49" s="27">
        <v>1</v>
      </c>
      <c r="L49" s="73">
        <f>+M49+N49+O49</f>
        <v>1</v>
      </c>
      <c r="M49" s="13">
        <v>0</v>
      </c>
      <c r="N49" s="13">
        <v>0</v>
      </c>
      <c r="O49" s="62">
        <v>1</v>
      </c>
    </row>
    <row r="50" spans="1:28">
      <c r="A50" s="15"/>
      <c r="B50" s="70">
        <v>47</v>
      </c>
      <c r="C50" s="92" t="s">
        <v>229</v>
      </c>
      <c r="D50" s="73">
        <f>+H50+L50</f>
        <v>2</v>
      </c>
      <c r="E50" s="13">
        <f>+I50+M50</f>
        <v>1</v>
      </c>
      <c r="F50" s="13">
        <f>+J50+N50</f>
        <v>0</v>
      </c>
      <c r="G50" s="62">
        <f>+K50+O50</f>
        <v>1</v>
      </c>
      <c r="H50" s="74">
        <f>+I50+J50+K50</f>
        <v>1</v>
      </c>
      <c r="I50" s="13">
        <v>0</v>
      </c>
      <c r="J50" s="13">
        <v>0</v>
      </c>
      <c r="K50" s="27">
        <v>1</v>
      </c>
      <c r="L50" s="73">
        <f>+M50+N50+O50</f>
        <v>1</v>
      </c>
      <c r="M50" s="13">
        <v>1</v>
      </c>
      <c r="N50" s="13">
        <v>0</v>
      </c>
      <c r="O50" s="62">
        <v>0</v>
      </c>
    </row>
    <row r="51" spans="1:28">
      <c r="A51" s="15"/>
      <c r="B51" s="70">
        <v>48</v>
      </c>
      <c r="C51" s="91" t="s">
        <v>128</v>
      </c>
      <c r="D51" s="73">
        <f>+H51+L51</f>
        <v>2</v>
      </c>
      <c r="E51" s="13">
        <f>+I51+M51</f>
        <v>2</v>
      </c>
      <c r="F51" s="13">
        <f>+J51+N51</f>
        <v>0</v>
      </c>
      <c r="G51" s="62">
        <f>+K51+O51</f>
        <v>0</v>
      </c>
      <c r="H51" s="74">
        <f>+I51+J51+K51</f>
        <v>1</v>
      </c>
      <c r="I51" s="13">
        <v>1</v>
      </c>
      <c r="J51" s="13">
        <v>0</v>
      </c>
      <c r="K51" s="27">
        <v>0</v>
      </c>
      <c r="L51" s="73">
        <f>+M51+N51+O51</f>
        <v>1</v>
      </c>
      <c r="M51" s="13">
        <v>1</v>
      </c>
      <c r="N51" s="13">
        <v>0</v>
      </c>
      <c r="O51" s="62">
        <v>0</v>
      </c>
    </row>
    <row r="52" spans="1:28">
      <c r="A52" s="15"/>
      <c r="B52" s="70">
        <v>49</v>
      </c>
      <c r="C52" s="90" t="s">
        <v>127</v>
      </c>
      <c r="D52" s="73">
        <f>+H52+L52</f>
        <v>2</v>
      </c>
      <c r="E52" s="13">
        <f>+I52+M52</f>
        <v>0</v>
      </c>
      <c r="F52" s="13">
        <f>+J52+N52</f>
        <v>0</v>
      </c>
      <c r="G52" s="62">
        <f>+K52+O52</f>
        <v>2</v>
      </c>
      <c r="H52" s="74">
        <f>+I52+J52+K52</f>
        <v>1</v>
      </c>
      <c r="I52" s="13">
        <v>0</v>
      </c>
      <c r="J52" s="13">
        <v>0</v>
      </c>
      <c r="K52" s="27">
        <v>1</v>
      </c>
      <c r="L52" s="73">
        <f>+M52+N52+O52</f>
        <v>1</v>
      </c>
      <c r="M52" s="13">
        <v>0</v>
      </c>
      <c r="N52" s="13">
        <v>0</v>
      </c>
      <c r="O52" s="62">
        <v>1</v>
      </c>
    </row>
    <row r="53" spans="1:28">
      <c r="A53" s="15"/>
      <c r="B53" s="70">
        <v>50</v>
      </c>
      <c r="C53" s="91" t="s">
        <v>77</v>
      </c>
      <c r="D53" s="73">
        <f>+H53+L53</f>
        <v>1</v>
      </c>
      <c r="E53" s="13">
        <f>+I53+M53</f>
        <v>1</v>
      </c>
      <c r="F53" s="13">
        <f>+J53+N53</f>
        <v>0</v>
      </c>
      <c r="G53" s="62">
        <f>+K53+O53</f>
        <v>0</v>
      </c>
      <c r="H53" s="74">
        <f>+I53+J53+K53</f>
        <v>0</v>
      </c>
      <c r="I53" s="13">
        <v>0</v>
      </c>
      <c r="J53" s="13">
        <v>0</v>
      </c>
      <c r="K53" s="27">
        <v>0</v>
      </c>
      <c r="L53" s="73">
        <f>+M53+N53+O53</f>
        <v>1</v>
      </c>
      <c r="M53" s="13">
        <v>1</v>
      </c>
      <c r="N53" s="13">
        <v>0</v>
      </c>
      <c r="O53" s="62">
        <v>0</v>
      </c>
    </row>
    <row r="54" spans="1:28">
      <c r="A54" s="15"/>
      <c r="B54" s="70">
        <v>51</v>
      </c>
      <c r="C54" s="91" t="s">
        <v>203</v>
      </c>
      <c r="D54" s="73">
        <f>+H54+L54</f>
        <v>1</v>
      </c>
      <c r="E54" s="13">
        <f>+I54+M54</f>
        <v>1</v>
      </c>
      <c r="F54" s="13">
        <f>+J54+N54</f>
        <v>0</v>
      </c>
      <c r="G54" s="62">
        <f>+K54+O54</f>
        <v>0</v>
      </c>
      <c r="H54" s="74">
        <f>+I54+J54+K54</f>
        <v>0</v>
      </c>
      <c r="I54" s="13">
        <v>0</v>
      </c>
      <c r="J54" s="13">
        <v>0</v>
      </c>
      <c r="K54" s="27">
        <v>0</v>
      </c>
      <c r="L54" s="73">
        <f>+M54+N54+O54</f>
        <v>1</v>
      </c>
      <c r="M54" s="13">
        <v>1</v>
      </c>
      <c r="N54" s="13">
        <v>0</v>
      </c>
      <c r="O54" s="62">
        <v>0</v>
      </c>
    </row>
    <row r="55" spans="1:28">
      <c r="A55" s="15"/>
      <c r="B55" s="70">
        <v>52</v>
      </c>
      <c r="C55" s="91" t="s">
        <v>72</v>
      </c>
      <c r="D55" s="73">
        <f>+H55+L55</f>
        <v>1</v>
      </c>
      <c r="E55" s="13">
        <f>+I55+M55</f>
        <v>1</v>
      </c>
      <c r="F55" s="13">
        <f>+J55+N55</f>
        <v>0</v>
      </c>
      <c r="G55" s="62">
        <f>+K55+O55</f>
        <v>0</v>
      </c>
      <c r="H55" s="74">
        <f>+I55+J55+K55</f>
        <v>1</v>
      </c>
      <c r="I55" s="13">
        <v>1</v>
      </c>
      <c r="J55" s="13">
        <v>0</v>
      </c>
      <c r="K55" s="27">
        <v>0</v>
      </c>
      <c r="L55" s="73">
        <f>+M55+N55+O55</f>
        <v>0</v>
      </c>
      <c r="M55" s="13">
        <v>0</v>
      </c>
      <c r="N55" s="13">
        <v>0</v>
      </c>
      <c r="O55" s="62">
        <v>0</v>
      </c>
    </row>
    <row r="56" spans="1:28">
      <c r="A56" s="15"/>
      <c r="B56" s="70">
        <v>53</v>
      </c>
      <c r="C56" s="91" t="s">
        <v>199</v>
      </c>
      <c r="D56" s="73">
        <f>+H56+L56</f>
        <v>1</v>
      </c>
      <c r="E56" s="13">
        <f>+I56+M56</f>
        <v>1</v>
      </c>
      <c r="F56" s="13">
        <f>+J56+N56</f>
        <v>0</v>
      </c>
      <c r="G56" s="62">
        <f>+K56+O56</f>
        <v>0</v>
      </c>
      <c r="H56" s="74">
        <f>+I56+J56+K56</f>
        <v>1</v>
      </c>
      <c r="I56" s="13">
        <v>1</v>
      </c>
      <c r="J56" s="13">
        <v>0</v>
      </c>
      <c r="K56" s="27">
        <v>0</v>
      </c>
      <c r="L56" s="73">
        <f>+M56+N56+O56</f>
        <v>0</v>
      </c>
      <c r="M56" s="13">
        <v>0</v>
      </c>
      <c r="N56" s="13">
        <v>0</v>
      </c>
      <c r="O56" s="62">
        <v>0</v>
      </c>
      <c r="V56" s="15"/>
      <c r="W56" s="15"/>
      <c r="X56" s="15"/>
      <c r="Y56" s="15"/>
      <c r="Z56" s="15"/>
      <c r="AA56" s="15"/>
      <c r="AB56" s="15"/>
    </row>
    <row r="57" spans="1:28">
      <c r="A57" s="15"/>
      <c r="B57" s="70">
        <v>54</v>
      </c>
      <c r="C57" s="91" t="s">
        <v>50</v>
      </c>
      <c r="D57" s="73">
        <f>+H57+L57</f>
        <v>1</v>
      </c>
      <c r="E57" s="13">
        <f>+I57+M57</f>
        <v>1</v>
      </c>
      <c r="F57" s="13">
        <f>+J57+N57</f>
        <v>0</v>
      </c>
      <c r="G57" s="62">
        <f>+K57+O57</f>
        <v>0</v>
      </c>
      <c r="H57" s="74">
        <f>+I57+J57+K57</f>
        <v>0</v>
      </c>
      <c r="I57" s="13">
        <v>0</v>
      </c>
      <c r="J57" s="13">
        <v>0</v>
      </c>
      <c r="K57" s="27">
        <v>0</v>
      </c>
      <c r="L57" s="73">
        <f>+M57+N57+O57</f>
        <v>1</v>
      </c>
      <c r="M57" s="13">
        <v>1</v>
      </c>
      <c r="N57" s="13">
        <v>0</v>
      </c>
      <c r="O57" s="62">
        <v>0</v>
      </c>
    </row>
    <row r="58" spans="1:28">
      <c r="A58" s="15"/>
      <c r="B58" s="70">
        <v>55</v>
      </c>
      <c r="C58" s="91" t="s">
        <v>98</v>
      </c>
      <c r="D58" s="73">
        <f>+H58+L58</f>
        <v>1</v>
      </c>
      <c r="E58" s="13">
        <f>+I58+M58</f>
        <v>1</v>
      </c>
      <c r="F58" s="13">
        <f>+J58+N58</f>
        <v>0</v>
      </c>
      <c r="G58" s="62">
        <f>+K58+O58</f>
        <v>0</v>
      </c>
      <c r="H58" s="74">
        <f>+I58+J58+K58</f>
        <v>0</v>
      </c>
      <c r="I58" s="13">
        <v>0</v>
      </c>
      <c r="J58" s="13">
        <v>0</v>
      </c>
      <c r="K58" s="27">
        <v>0</v>
      </c>
      <c r="L58" s="73">
        <f>+M58+N58+O58</f>
        <v>1</v>
      </c>
      <c r="M58" s="13">
        <v>1</v>
      </c>
      <c r="N58" s="13">
        <v>0</v>
      </c>
      <c r="O58" s="62">
        <v>0</v>
      </c>
      <c r="Q58" s="1"/>
      <c r="V58" s="1"/>
      <c r="W58" s="1"/>
      <c r="X58" s="1"/>
      <c r="Y58" s="1"/>
      <c r="Z58" s="1"/>
      <c r="AA58" s="1"/>
      <c r="AB58" s="1"/>
    </row>
    <row r="59" spans="1:28">
      <c r="A59" s="15"/>
      <c r="B59" s="70">
        <v>56</v>
      </c>
      <c r="C59" s="91" t="s">
        <v>55</v>
      </c>
      <c r="D59" s="73">
        <f>+H59+L59</f>
        <v>1</v>
      </c>
      <c r="E59" s="13">
        <f>+I59+M59</f>
        <v>1</v>
      </c>
      <c r="F59" s="13">
        <f>+J59+N59</f>
        <v>0</v>
      </c>
      <c r="G59" s="62">
        <f>+K59+O59</f>
        <v>0</v>
      </c>
      <c r="H59" s="74">
        <f>+I59+J59+K59</f>
        <v>0</v>
      </c>
      <c r="I59" s="13">
        <v>0</v>
      </c>
      <c r="J59" s="13">
        <v>0</v>
      </c>
      <c r="K59" s="27">
        <v>0</v>
      </c>
      <c r="L59" s="73">
        <f>+M59+N59+O59</f>
        <v>1</v>
      </c>
      <c r="M59" s="13">
        <v>1</v>
      </c>
      <c r="N59" s="13">
        <v>0</v>
      </c>
      <c r="O59" s="62">
        <v>0</v>
      </c>
    </row>
    <row r="60" spans="1:28">
      <c r="A60" s="15"/>
      <c r="B60" s="70">
        <v>57</v>
      </c>
      <c r="C60" s="91" t="s">
        <v>57</v>
      </c>
      <c r="D60" s="73">
        <f>+H60+L60</f>
        <v>1</v>
      </c>
      <c r="E60" s="13">
        <f>+I60+M60</f>
        <v>1</v>
      </c>
      <c r="F60" s="13">
        <f>+J60+N60</f>
        <v>0</v>
      </c>
      <c r="G60" s="62">
        <f>+K60+O60</f>
        <v>0</v>
      </c>
      <c r="H60" s="74">
        <f>+I60+J60+K60</f>
        <v>1</v>
      </c>
      <c r="I60" s="13">
        <v>1</v>
      </c>
      <c r="J60" s="13">
        <v>0</v>
      </c>
      <c r="K60" s="27">
        <v>0</v>
      </c>
      <c r="L60" s="73">
        <f>+M60+N60+O60</f>
        <v>0</v>
      </c>
      <c r="M60" s="13">
        <v>0</v>
      </c>
      <c r="N60" s="13">
        <v>0</v>
      </c>
      <c r="O60" s="62">
        <v>0</v>
      </c>
    </row>
    <row r="61" spans="1:28">
      <c r="A61" s="15"/>
      <c r="B61" s="70">
        <v>58</v>
      </c>
      <c r="C61" s="91" t="s">
        <v>69</v>
      </c>
      <c r="D61" s="73">
        <f>+H61+L61</f>
        <v>1</v>
      </c>
      <c r="E61" s="13">
        <f>+I61+M61</f>
        <v>1</v>
      </c>
      <c r="F61" s="13">
        <f>+J61+N61</f>
        <v>0</v>
      </c>
      <c r="G61" s="62">
        <f>+K61+O61</f>
        <v>0</v>
      </c>
      <c r="H61" s="74">
        <f>+I61+J61+K61</f>
        <v>1</v>
      </c>
      <c r="I61" s="13">
        <v>1</v>
      </c>
      <c r="J61" s="13">
        <v>0</v>
      </c>
      <c r="K61" s="27">
        <v>0</v>
      </c>
      <c r="L61" s="73">
        <f>+M61+N61+O61</f>
        <v>0</v>
      </c>
      <c r="M61" s="13">
        <v>0</v>
      </c>
      <c r="N61" s="13">
        <v>0</v>
      </c>
      <c r="O61" s="62">
        <v>0</v>
      </c>
    </row>
    <row r="62" spans="1:28">
      <c r="A62" s="15"/>
      <c r="B62" s="70">
        <v>59</v>
      </c>
      <c r="C62" s="91" t="s">
        <v>71</v>
      </c>
      <c r="D62" s="73">
        <f>+H62+L62</f>
        <v>1</v>
      </c>
      <c r="E62" s="13">
        <f>+I62+M62</f>
        <v>1</v>
      </c>
      <c r="F62" s="13">
        <f>+J62+N62</f>
        <v>0</v>
      </c>
      <c r="G62" s="62">
        <f>+K62+O62</f>
        <v>0</v>
      </c>
      <c r="H62" s="74">
        <f>+I62+J62+K62</f>
        <v>1</v>
      </c>
      <c r="I62" s="13">
        <v>1</v>
      </c>
      <c r="J62" s="13">
        <v>0</v>
      </c>
      <c r="K62" s="27">
        <v>0</v>
      </c>
      <c r="L62" s="73">
        <f>+M62+N62+O62</f>
        <v>0</v>
      </c>
      <c r="M62" s="13">
        <v>0</v>
      </c>
      <c r="N62" s="13">
        <v>0</v>
      </c>
      <c r="O62" s="62">
        <v>0</v>
      </c>
      <c r="V62" s="15"/>
      <c r="W62" s="15"/>
      <c r="X62" s="15"/>
      <c r="Y62" s="15"/>
      <c r="Z62" s="15"/>
    </row>
    <row r="63" spans="1:28">
      <c r="A63" s="15"/>
      <c r="B63" s="70">
        <v>60</v>
      </c>
      <c r="C63" s="91" t="s">
        <v>65</v>
      </c>
      <c r="D63" s="73">
        <f>+H63+L63</f>
        <v>1</v>
      </c>
      <c r="E63" s="13">
        <f>+I63+M63</f>
        <v>1</v>
      </c>
      <c r="F63" s="13">
        <f>+J63+N63</f>
        <v>0</v>
      </c>
      <c r="G63" s="62">
        <f>+K63+O63</f>
        <v>0</v>
      </c>
      <c r="H63" s="74">
        <f>+I63+J63+K63</f>
        <v>1</v>
      </c>
      <c r="I63" s="13">
        <v>1</v>
      </c>
      <c r="J63" s="13">
        <v>0</v>
      </c>
      <c r="K63" s="27">
        <v>0</v>
      </c>
      <c r="L63" s="73">
        <f>+M63+N63+O63</f>
        <v>0</v>
      </c>
      <c r="M63" s="13">
        <v>0</v>
      </c>
      <c r="N63" s="13">
        <v>0</v>
      </c>
      <c r="O63" s="62">
        <v>0</v>
      </c>
      <c r="V63" s="15"/>
      <c r="W63" s="15"/>
      <c r="X63" s="15"/>
      <c r="Y63" s="15"/>
      <c r="Z63" s="15"/>
    </row>
    <row r="64" spans="1:28">
      <c r="A64" s="15"/>
      <c r="B64" s="70">
        <v>61</v>
      </c>
      <c r="C64" s="90" t="s">
        <v>1114</v>
      </c>
      <c r="D64" s="73">
        <f>+H64+L64</f>
        <v>1</v>
      </c>
      <c r="E64" s="13">
        <f>+I64+M64</f>
        <v>0</v>
      </c>
      <c r="F64" s="13">
        <f>+J64+N64</f>
        <v>0</v>
      </c>
      <c r="G64" s="62">
        <f>+K64+O64</f>
        <v>1</v>
      </c>
      <c r="H64" s="74">
        <f>+I64+J64+K64</f>
        <v>0</v>
      </c>
      <c r="I64" s="13">
        <v>0</v>
      </c>
      <c r="J64" s="13">
        <v>0</v>
      </c>
      <c r="K64" s="27">
        <v>0</v>
      </c>
      <c r="L64" s="73">
        <f>+M64+N64+O64</f>
        <v>1</v>
      </c>
      <c r="M64" s="13">
        <v>0</v>
      </c>
      <c r="N64" s="13">
        <v>0</v>
      </c>
      <c r="O64" s="62">
        <v>1</v>
      </c>
      <c r="V64" s="15"/>
      <c r="W64" s="15"/>
      <c r="X64" s="15"/>
      <c r="Y64" s="15"/>
      <c r="Z64" s="15"/>
    </row>
    <row r="65" spans="1:28" ht="13.5" thickBot="1">
      <c r="A65" s="15"/>
      <c r="B65" s="86">
        <v>62</v>
      </c>
      <c r="C65" s="90" t="s">
        <v>106</v>
      </c>
      <c r="D65" s="73">
        <f>+H65+L65</f>
        <v>1</v>
      </c>
      <c r="E65" s="13">
        <f>+I65+M65</f>
        <v>0</v>
      </c>
      <c r="F65" s="13">
        <f>+J65+N65</f>
        <v>0</v>
      </c>
      <c r="G65" s="62">
        <f>+K65+O65</f>
        <v>1</v>
      </c>
      <c r="H65" s="74">
        <f>+I65+J65+K65</f>
        <v>0</v>
      </c>
      <c r="I65" s="13">
        <v>0</v>
      </c>
      <c r="J65" s="13">
        <v>0</v>
      </c>
      <c r="K65" s="27">
        <v>0</v>
      </c>
      <c r="L65" s="73">
        <f>+M65+N65+O65</f>
        <v>1</v>
      </c>
      <c r="M65" s="13">
        <v>0</v>
      </c>
      <c r="N65" s="13">
        <v>0</v>
      </c>
      <c r="O65" s="62">
        <v>1</v>
      </c>
      <c r="V65" s="15"/>
      <c r="W65" s="15"/>
      <c r="X65" s="15"/>
      <c r="Y65" s="15"/>
      <c r="Z65" s="15"/>
    </row>
    <row r="66" spans="1:28" ht="13.5" thickBot="1">
      <c r="C66" s="79" t="s">
        <v>195</v>
      </c>
      <c r="D66" s="71">
        <f>SUM(D4:D65)</f>
        <v>285</v>
      </c>
      <c r="E66" s="71">
        <f t="shared" ref="E66:O66" si="6">SUM(E4:E65)</f>
        <v>157</v>
      </c>
      <c r="F66" s="71">
        <f t="shared" si="6"/>
        <v>6</v>
      </c>
      <c r="G66" s="71">
        <f t="shared" si="6"/>
        <v>122</v>
      </c>
      <c r="H66" s="71">
        <f t="shared" si="6"/>
        <v>144</v>
      </c>
      <c r="I66" s="71">
        <f t="shared" si="6"/>
        <v>87</v>
      </c>
      <c r="J66" s="71">
        <f t="shared" si="6"/>
        <v>5</v>
      </c>
      <c r="K66" s="71">
        <f t="shared" si="6"/>
        <v>52</v>
      </c>
      <c r="L66" s="71">
        <f t="shared" si="6"/>
        <v>141</v>
      </c>
      <c r="M66" s="71">
        <f t="shared" si="6"/>
        <v>70</v>
      </c>
      <c r="N66" s="71">
        <f t="shared" si="6"/>
        <v>1</v>
      </c>
      <c r="O66" s="71">
        <f t="shared" si="6"/>
        <v>70</v>
      </c>
      <c r="V66" s="1"/>
      <c r="W66" s="1"/>
      <c r="X66" s="1"/>
      <c r="Y66" s="1"/>
      <c r="Z66" s="1"/>
      <c r="AA66" s="1"/>
      <c r="AB66" s="1"/>
    </row>
    <row r="68" spans="1:28">
      <c r="V68" s="15"/>
      <c r="W68" s="15"/>
      <c r="X68" s="15"/>
      <c r="Y68" s="15"/>
      <c r="Z68" s="15"/>
      <c r="AA68" s="15"/>
      <c r="AB68" s="15"/>
    </row>
    <row r="69" spans="1:28">
      <c r="V69" s="1"/>
      <c r="W69" s="1"/>
      <c r="X69" s="1"/>
      <c r="Y69" s="1"/>
      <c r="Z69" s="1"/>
      <c r="AA69" s="1"/>
      <c r="AB69" s="1"/>
    </row>
    <row r="70" spans="1:28">
      <c r="C70" s="39"/>
    </row>
    <row r="72" spans="1:28">
      <c r="Q72" s="15"/>
      <c r="R72" s="1"/>
      <c r="S72" s="1"/>
      <c r="T72" s="66"/>
    </row>
    <row r="73" spans="1:28">
      <c r="Q73" s="39"/>
      <c r="T73" s="66"/>
    </row>
    <row r="74" spans="1:28">
      <c r="Q74" s="39"/>
      <c r="T74" s="66"/>
    </row>
    <row r="75" spans="1:28">
      <c r="Q75" s="39"/>
      <c r="T75" s="66"/>
    </row>
    <row r="76" spans="1:28">
      <c r="Q76" s="39"/>
      <c r="T76" s="66"/>
    </row>
    <row r="77" spans="1:28">
      <c r="Q77" s="39"/>
      <c r="T77" s="66"/>
    </row>
    <row r="78" spans="1:28">
      <c r="Q78" s="39"/>
      <c r="T78" s="66"/>
    </row>
    <row r="79" spans="1:28">
      <c r="Q79" s="39"/>
      <c r="T79" s="66"/>
    </row>
    <row r="80" spans="1:28">
      <c r="Q80" s="39"/>
      <c r="T80" s="66"/>
    </row>
    <row r="81" spans="17:17">
      <c r="Q81" s="39"/>
    </row>
  </sheetData>
  <sortState xmlns:xlrd2="http://schemas.microsoft.com/office/spreadsheetml/2017/richdata2" ref="C5:O65">
    <sortCondition descending="1" ref="D5:D65"/>
  </sortState>
  <mergeCells count="4">
    <mergeCell ref="D2:G2"/>
    <mergeCell ref="H2:K2"/>
    <mergeCell ref="L2:O2"/>
    <mergeCell ref="S28:U28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148"/>
  <sheetViews>
    <sheetView topLeftCell="A5" zoomScaleNormal="100" workbookViewId="0">
      <selection activeCell="K29" sqref="K29"/>
    </sheetView>
  </sheetViews>
  <sheetFormatPr baseColWidth="10" defaultRowHeight="12.75"/>
  <cols>
    <col min="2" max="2" width="27.5703125" customWidth="1"/>
    <col min="3" max="3" width="10.85546875" style="1"/>
    <col min="5" max="5" width="0" hidden="1" customWidth="1"/>
    <col min="6" max="6" width="31.7109375" bestFit="1" customWidth="1"/>
    <col min="7" max="7" width="11.42578125" style="1"/>
    <col min="8" max="8" width="11.42578125" hidden="1" customWidth="1"/>
    <col min="10" max="10" width="31.7109375" bestFit="1" customWidth="1"/>
    <col min="11" max="11" width="12.28515625" bestFit="1" customWidth="1"/>
    <col min="12" max="12" width="11.42578125" customWidth="1"/>
    <col min="13" max="13" width="13.28515625" style="1" customWidth="1"/>
    <col min="14" max="14" width="31.7109375" bestFit="1" customWidth="1"/>
    <col min="15" max="16" width="11.42578125" customWidth="1"/>
  </cols>
  <sheetData>
    <row r="2" spans="1:15">
      <c r="B2" s="39" t="s">
        <v>150</v>
      </c>
    </row>
    <row r="3" spans="1:15" ht="13.5" thickBot="1">
      <c r="B3" s="39"/>
    </row>
    <row r="4" spans="1:15" ht="18.75" thickBot="1">
      <c r="B4" s="39" t="s">
        <v>153</v>
      </c>
      <c r="C4" s="179">
        <v>285</v>
      </c>
    </row>
    <row r="5" spans="1:15">
      <c r="G5" s="15"/>
      <c r="J5" s="39"/>
    </row>
    <row r="6" spans="1:15" ht="13.5" thickBot="1">
      <c r="B6" s="39"/>
      <c r="D6" s="39"/>
      <c r="J6" s="39"/>
    </row>
    <row r="7" spans="1:15" ht="13.5" thickBot="1">
      <c r="B7" s="42" t="s">
        <v>151</v>
      </c>
      <c r="C7" s="43" t="s">
        <v>152</v>
      </c>
      <c r="F7" s="123" t="s">
        <v>382</v>
      </c>
      <c r="G7" s="43" t="s">
        <v>152</v>
      </c>
      <c r="J7" s="21" t="s">
        <v>1041</v>
      </c>
      <c r="K7" s="88" t="s">
        <v>152</v>
      </c>
      <c r="M7" s="42" t="s">
        <v>1049</v>
      </c>
      <c r="N7" s="43" t="s">
        <v>151</v>
      </c>
    </row>
    <row r="8" spans="1:15">
      <c r="A8">
        <v>1</v>
      </c>
      <c r="B8" s="235" t="s">
        <v>6</v>
      </c>
      <c r="C8" s="88">
        <v>206</v>
      </c>
      <c r="D8" s="39">
        <v>1</v>
      </c>
      <c r="F8" s="102" t="s">
        <v>53</v>
      </c>
      <c r="G8" s="89">
        <v>77</v>
      </c>
      <c r="I8">
        <v>1</v>
      </c>
      <c r="J8" s="235" t="s">
        <v>6</v>
      </c>
      <c r="K8" s="88">
        <v>239</v>
      </c>
      <c r="L8" s="39"/>
      <c r="M8" s="32">
        <v>1</v>
      </c>
      <c r="N8" s="84" t="s">
        <v>7</v>
      </c>
      <c r="O8" s="2"/>
    </row>
    <row r="9" spans="1:15">
      <c r="A9">
        <v>2</v>
      </c>
      <c r="B9" s="41" t="s">
        <v>144</v>
      </c>
      <c r="C9" s="89">
        <v>189</v>
      </c>
      <c r="D9" s="39">
        <v>2</v>
      </c>
      <c r="E9" t="s">
        <v>6</v>
      </c>
      <c r="F9" s="41" t="s">
        <v>11</v>
      </c>
      <c r="G9" s="89">
        <v>68</v>
      </c>
      <c r="I9">
        <v>2</v>
      </c>
      <c r="J9" s="41" t="s">
        <v>144</v>
      </c>
      <c r="K9" s="89">
        <v>205</v>
      </c>
      <c r="M9" s="33">
        <v>2</v>
      </c>
      <c r="N9" s="152" t="s">
        <v>10</v>
      </c>
      <c r="O9" s="2"/>
    </row>
    <row r="10" spans="1:15">
      <c r="A10">
        <v>3</v>
      </c>
      <c r="B10" s="102" t="s">
        <v>207</v>
      </c>
      <c r="C10" s="89">
        <v>179</v>
      </c>
      <c r="D10" s="39">
        <v>3</v>
      </c>
      <c r="E10" t="s">
        <v>7</v>
      </c>
      <c r="F10" s="41" t="s">
        <v>182</v>
      </c>
      <c r="G10" s="89">
        <v>67</v>
      </c>
      <c r="I10">
        <v>3</v>
      </c>
      <c r="J10" s="41" t="s">
        <v>11</v>
      </c>
      <c r="K10" s="89">
        <v>194</v>
      </c>
      <c r="L10" s="39"/>
      <c r="M10" s="33">
        <v>3</v>
      </c>
      <c r="N10" s="152" t="s">
        <v>18</v>
      </c>
      <c r="O10" s="2"/>
    </row>
    <row r="11" spans="1:15">
      <c r="A11">
        <v>4</v>
      </c>
      <c r="B11" s="102" t="s">
        <v>214</v>
      </c>
      <c r="C11" s="89">
        <v>159</v>
      </c>
      <c r="D11" s="39">
        <v>4</v>
      </c>
      <c r="E11" t="s">
        <v>35</v>
      </c>
      <c r="F11" s="41" t="s">
        <v>217</v>
      </c>
      <c r="G11" s="89">
        <v>47</v>
      </c>
      <c r="I11">
        <v>4</v>
      </c>
      <c r="J11" s="102" t="s">
        <v>207</v>
      </c>
      <c r="K11" s="89">
        <v>189</v>
      </c>
      <c r="L11" s="39"/>
      <c r="M11" s="33">
        <v>4</v>
      </c>
      <c r="N11" s="152" t="s">
        <v>16</v>
      </c>
      <c r="O11" s="2"/>
    </row>
    <row r="12" spans="1:15">
      <c r="A12">
        <v>5</v>
      </c>
      <c r="B12" s="41" t="s">
        <v>149</v>
      </c>
      <c r="C12" s="89">
        <v>156</v>
      </c>
      <c r="D12" s="39">
        <v>5</v>
      </c>
      <c r="E12" t="s">
        <v>11</v>
      </c>
      <c r="F12" s="41" t="s">
        <v>12</v>
      </c>
      <c r="G12" s="89">
        <v>45</v>
      </c>
      <c r="H12" s="39" t="s">
        <v>258</v>
      </c>
      <c r="I12">
        <v>5</v>
      </c>
      <c r="J12" s="41" t="s">
        <v>149</v>
      </c>
      <c r="K12" s="89">
        <v>176</v>
      </c>
      <c r="M12" s="33">
        <v>5</v>
      </c>
      <c r="N12" s="152" t="s">
        <v>15</v>
      </c>
      <c r="O12" s="2"/>
    </row>
    <row r="13" spans="1:15">
      <c r="A13">
        <v>6</v>
      </c>
      <c r="B13" s="41" t="s">
        <v>33</v>
      </c>
      <c r="C13" s="89">
        <v>155</v>
      </c>
      <c r="D13" s="39">
        <v>6</v>
      </c>
      <c r="E13" t="s">
        <v>12</v>
      </c>
      <c r="F13" s="102" t="s">
        <v>1060</v>
      </c>
      <c r="G13" s="89">
        <v>40</v>
      </c>
      <c r="I13">
        <v>6</v>
      </c>
      <c r="J13" s="41" t="s">
        <v>33</v>
      </c>
      <c r="K13" s="89">
        <v>171</v>
      </c>
      <c r="L13" s="39"/>
      <c r="M13" s="33">
        <v>6</v>
      </c>
      <c r="N13" s="152" t="s">
        <v>11</v>
      </c>
      <c r="O13" s="2"/>
    </row>
    <row r="14" spans="1:15">
      <c r="A14">
        <v>7</v>
      </c>
      <c r="B14" s="102" t="s">
        <v>236</v>
      </c>
      <c r="C14" s="89">
        <v>149</v>
      </c>
      <c r="D14" s="39">
        <v>7</v>
      </c>
      <c r="E14" t="s">
        <v>155</v>
      </c>
      <c r="F14" s="41" t="s">
        <v>6</v>
      </c>
      <c r="G14" s="89">
        <v>33</v>
      </c>
      <c r="H14" s="39" t="s">
        <v>238</v>
      </c>
      <c r="I14">
        <v>7</v>
      </c>
      <c r="J14" s="102" t="s">
        <v>214</v>
      </c>
      <c r="K14" s="89">
        <v>169</v>
      </c>
      <c r="L14" s="39"/>
      <c r="M14" s="33">
        <v>7</v>
      </c>
      <c r="N14" s="152" t="s">
        <v>17</v>
      </c>
      <c r="O14" s="2"/>
    </row>
    <row r="15" spans="1:15">
      <c r="A15">
        <v>8</v>
      </c>
      <c r="B15" s="102" t="s">
        <v>18</v>
      </c>
      <c r="C15" s="89">
        <v>138</v>
      </c>
      <c r="D15" s="39">
        <v>8</v>
      </c>
      <c r="E15" t="s">
        <v>143</v>
      </c>
      <c r="F15" s="41" t="s">
        <v>211</v>
      </c>
      <c r="G15" s="89">
        <v>31</v>
      </c>
      <c r="H15" s="39" t="s">
        <v>118</v>
      </c>
      <c r="I15">
        <v>8</v>
      </c>
      <c r="J15" s="102" t="s">
        <v>18</v>
      </c>
      <c r="K15" s="89">
        <v>159</v>
      </c>
      <c r="M15" s="33">
        <v>8</v>
      </c>
      <c r="N15" s="152" t="s">
        <v>14</v>
      </c>
      <c r="O15" s="2"/>
    </row>
    <row r="16" spans="1:15">
      <c r="A16" s="39">
        <v>9</v>
      </c>
      <c r="B16" s="41" t="s">
        <v>19</v>
      </c>
      <c r="C16" s="89">
        <v>134</v>
      </c>
      <c r="D16" s="39">
        <v>9</v>
      </c>
      <c r="E16" t="s">
        <v>13</v>
      </c>
      <c r="F16" s="41" t="s">
        <v>230</v>
      </c>
      <c r="G16" s="89">
        <v>30</v>
      </c>
      <c r="H16" s="39" t="s">
        <v>64</v>
      </c>
      <c r="I16">
        <v>9</v>
      </c>
      <c r="J16" s="102" t="s">
        <v>236</v>
      </c>
      <c r="K16" s="89">
        <v>156</v>
      </c>
      <c r="L16" s="39"/>
      <c r="M16" s="33">
        <v>9</v>
      </c>
      <c r="N16" s="152" t="s">
        <v>35</v>
      </c>
      <c r="O16" s="2"/>
    </row>
    <row r="17" spans="1:15">
      <c r="A17" s="39">
        <v>10</v>
      </c>
      <c r="B17" s="41" t="s">
        <v>11</v>
      </c>
      <c r="C17" s="89">
        <v>126</v>
      </c>
      <c r="D17" s="39">
        <v>10</v>
      </c>
      <c r="E17" t="s">
        <v>139</v>
      </c>
      <c r="F17" s="41" t="s">
        <v>146</v>
      </c>
      <c r="G17" s="89">
        <v>30</v>
      </c>
      <c r="H17" s="39" t="s">
        <v>259</v>
      </c>
      <c r="I17">
        <v>10</v>
      </c>
      <c r="J17" s="41" t="s">
        <v>182</v>
      </c>
      <c r="K17" s="89">
        <v>150</v>
      </c>
      <c r="M17" s="33">
        <v>10</v>
      </c>
      <c r="N17" s="152" t="s">
        <v>9</v>
      </c>
      <c r="O17" s="2"/>
    </row>
    <row r="18" spans="1:15">
      <c r="A18" s="39">
        <v>11</v>
      </c>
      <c r="B18" s="41" t="s">
        <v>15</v>
      </c>
      <c r="C18" s="89">
        <v>123</v>
      </c>
      <c r="D18" s="39">
        <v>11</v>
      </c>
      <c r="E18" t="s">
        <v>149</v>
      </c>
      <c r="F18" s="41" t="s">
        <v>32</v>
      </c>
      <c r="G18" s="89">
        <f>15+2+7+3</f>
        <v>27</v>
      </c>
      <c r="H18" s="39" t="s">
        <v>138</v>
      </c>
      <c r="I18">
        <v>11</v>
      </c>
      <c r="J18" s="41" t="s">
        <v>19</v>
      </c>
      <c r="K18" s="89">
        <v>140</v>
      </c>
      <c r="M18" s="33">
        <v>11</v>
      </c>
      <c r="N18" s="152" t="s">
        <v>20</v>
      </c>
      <c r="O18" s="2"/>
    </row>
    <row r="19" spans="1:15">
      <c r="A19" s="39">
        <v>12</v>
      </c>
      <c r="B19" s="41" t="s">
        <v>34</v>
      </c>
      <c r="C19" s="89">
        <v>113</v>
      </c>
      <c r="D19" s="39">
        <v>12</v>
      </c>
      <c r="E19" t="s">
        <v>42</v>
      </c>
      <c r="F19" s="41" t="s">
        <v>160</v>
      </c>
      <c r="G19" s="89">
        <v>27</v>
      </c>
      <c r="H19" s="39" t="s">
        <v>62</v>
      </c>
      <c r="I19">
        <v>12</v>
      </c>
      <c r="J19" s="102" t="s">
        <v>53</v>
      </c>
      <c r="K19" s="89">
        <v>136</v>
      </c>
      <c r="M19" s="33">
        <v>12</v>
      </c>
      <c r="N19" s="152" t="s">
        <v>19</v>
      </c>
      <c r="O19" s="2"/>
    </row>
    <row r="20" spans="1:15">
      <c r="A20">
        <v>13</v>
      </c>
      <c r="B20" s="41" t="s">
        <v>14</v>
      </c>
      <c r="C20" s="89">
        <v>108</v>
      </c>
      <c r="D20" s="39">
        <v>13</v>
      </c>
      <c r="E20" t="s">
        <v>19</v>
      </c>
      <c r="F20" s="41" t="s">
        <v>208</v>
      </c>
      <c r="G20" s="89">
        <v>27</v>
      </c>
      <c r="I20">
        <v>13</v>
      </c>
      <c r="J20" s="102" t="s">
        <v>230</v>
      </c>
      <c r="K20" s="89">
        <v>134</v>
      </c>
      <c r="M20" s="33">
        <v>13</v>
      </c>
      <c r="N20" s="152" t="s">
        <v>13</v>
      </c>
      <c r="O20" s="2"/>
    </row>
    <row r="21" spans="1:15">
      <c r="A21">
        <v>14</v>
      </c>
      <c r="B21" s="102" t="s">
        <v>142</v>
      </c>
      <c r="C21" s="89">
        <v>105</v>
      </c>
      <c r="D21" s="39">
        <v>14</v>
      </c>
      <c r="E21" t="s">
        <v>145</v>
      </c>
      <c r="F21" s="41" t="s">
        <v>233</v>
      </c>
      <c r="G21" s="89">
        <v>25</v>
      </c>
      <c r="I21">
        <v>14</v>
      </c>
      <c r="J21" s="41" t="s">
        <v>12</v>
      </c>
      <c r="K21" s="89">
        <v>133</v>
      </c>
      <c r="M21" s="33">
        <v>14</v>
      </c>
      <c r="N21" s="152" t="s">
        <v>6</v>
      </c>
      <c r="O21" s="2"/>
    </row>
    <row r="22" spans="1:15">
      <c r="A22">
        <v>15</v>
      </c>
      <c r="B22" s="102" t="s">
        <v>230</v>
      </c>
      <c r="C22" s="89">
        <v>104</v>
      </c>
      <c r="D22" s="39">
        <v>15</v>
      </c>
      <c r="E22" t="s">
        <v>34</v>
      </c>
      <c r="F22" s="41" t="s">
        <v>1339</v>
      </c>
      <c r="G22" s="37">
        <v>23</v>
      </c>
      <c r="I22">
        <v>15</v>
      </c>
      <c r="J22" s="41" t="s">
        <v>15</v>
      </c>
      <c r="K22" s="89">
        <v>133</v>
      </c>
      <c r="M22" s="33">
        <v>15</v>
      </c>
      <c r="N22" s="152" t="s">
        <v>12</v>
      </c>
      <c r="O22" s="2"/>
    </row>
    <row r="23" spans="1:15">
      <c r="A23">
        <v>16</v>
      </c>
      <c r="B23" s="41" t="s">
        <v>234</v>
      </c>
      <c r="C23" s="89">
        <v>103</v>
      </c>
      <c r="D23" s="39">
        <v>16</v>
      </c>
      <c r="E23" t="s">
        <v>144</v>
      </c>
      <c r="F23" s="41" t="s">
        <v>35</v>
      </c>
      <c r="G23" s="89">
        <v>21</v>
      </c>
      <c r="I23">
        <v>16</v>
      </c>
      <c r="J23" s="102" t="s">
        <v>208</v>
      </c>
      <c r="K23" s="89">
        <v>131</v>
      </c>
      <c r="M23" s="150">
        <v>16</v>
      </c>
      <c r="N23" s="126" t="s">
        <v>31</v>
      </c>
      <c r="O23" s="2"/>
    </row>
    <row r="24" spans="1:15">
      <c r="A24">
        <v>17</v>
      </c>
      <c r="B24" s="102" t="s">
        <v>208</v>
      </c>
      <c r="C24" s="89">
        <v>103</v>
      </c>
      <c r="D24" s="39">
        <v>17</v>
      </c>
      <c r="F24" s="41" t="s">
        <v>18</v>
      </c>
      <c r="G24" s="89">
        <v>21</v>
      </c>
      <c r="I24">
        <v>17</v>
      </c>
      <c r="J24" s="41" t="s">
        <v>34</v>
      </c>
      <c r="K24" s="89">
        <v>130</v>
      </c>
      <c r="M24" s="150">
        <v>17</v>
      </c>
      <c r="N24" s="126" t="s">
        <v>32</v>
      </c>
      <c r="O24" s="2"/>
    </row>
    <row r="25" spans="1:15">
      <c r="A25">
        <v>18</v>
      </c>
      <c r="B25" s="41" t="s">
        <v>12</v>
      </c>
      <c r="C25" s="89">
        <v>88</v>
      </c>
      <c r="D25" s="39">
        <v>18</v>
      </c>
      <c r="F25" s="41" t="s">
        <v>1035</v>
      </c>
      <c r="G25" s="89">
        <f>5+5+4+2+4</f>
        <v>20</v>
      </c>
      <c r="I25">
        <v>18</v>
      </c>
      <c r="J25" s="41" t="s">
        <v>14</v>
      </c>
      <c r="K25" s="89">
        <v>127</v>
      </c>
      <c r="M25" s="150">
        <v>18</v>
      </c>
      <c r="N25" s="126" t="s">
        <v>33</v>
      </c>
      <c r="O25" s="2"/>
    </row>
    <row r="26" spans="1:15">
      <c r="A26">
        <v>19</v>
      </c>
      <c r="B26" s="41" t="s">
        <v>182</v>
      </c>
      <c r="C26" s="89">
        <v>84</v>
      </c>
      <c r="D26" s="39">
        <v>19</v>
      </c>
      <c r="F26" s="41" t="s">
        <v>149</v>
      </c>
      <c r="G26" s="89">
        <v>20</v>
      </c>
      <c r="I26">
        <v>19</v>
      </c>
      <c r="J26" s="102" t="s">
        <v>142</v>
      </c>
      <c r="K26" s="89">
        <v>121</v>
      </c>
      <c r="M26" s="150">
        <v>19</v>
      </c>
      <c r="N26" s="126" t="s">
        <v>34</v>
      </c>
      <c r="O26" s="2"/>
    </row>
    <row r="27" spans="1:15">
      <c r="A27">
        <v>20</v>
      </c>
      <c r="B27" s="41" t="s">
        <v>35</v>
      </c>
      <c r="C27" s="89">
        <v>81</v>
      </c>
      <c r="D27" s="39">
        <v>20</v>
      </c>
      <c r="F27" s="41" t="s">
        <v>181</v>
      </c>
      <c r="G27" s="89">
        <v>20</v>
      </c>
      <c r="I27">
        <v>20</v>
      </c>
      <c r="J27" s="102" t="s">
        <v>234</v>
      </c>
      <c r="K27" s="89">
        <v>119</v>
      </c>
      <c r="M27" s="150">
        <v>20</v>
      </c>
      <c r="N27" s="126" t="s">
        <v>42</v>
      </c>
      <c r="O27" s="2"/>
    </row>
    <row r="28" spans="1:15">
      <c r="A28">
        <v>21</v>
      </c>
      <c r="B28" s="102" t="s">
        <v>211</v>
      </c>
      <c r="C28" s="89">
        <v>81</v>
      </c>
      <c r="D28" s="39">
        <v>21</v>
      </c>
      <c r="F28" s="41" t="s">
        <v>164</v>
      </c>
      <c r="G28" s="89">
        <v>19</v>
      </c>
      <c r="I28">
        <v>21</v>
      </c>
      <c r="J28" s="102" t="s">
        <v>211</v>
      </c>
      <c r="K28" s="89">
        <v>113</v>
      </c>
      <c r="M28" s="150">
        <v>21</v>
      </c>
      <c r="N28" s="126" t="s">
        <v>46</v>
      </c>
      <c r="O28" s="2"/>
    </row>
    <row r="29" spans="1:15">
      <c r="A29">
        <v>22</v>
      </c>
      <c r="B29" s="41" t="s">
        <v>10</v>
      </c>
      <c r="C29" s="89">
        <v>77</v>
      </c>
      <c r="D29" s="39">
        <v>22</v>
      </c>
      <c r="F29" s="41" t="s">
        <v>1403</v>
      </c>
      <c r="G29" s="37">
        <v>19</v>
      </c>
      <c r="I29">
        <v>22</v>
      </c>
      <c r="J29" s="41" t="s">
        <v>217</v>
      </c>
      <c r="K29" s="89">
        <v>110</v>
      </c>
      <c r="M29" s="150">
        <v>22</v>
      </c>
      <c r="N29" s="126" t="s">
        <v>52</v>
      </c>
      <c r="O29" s="2"/>
    </row>
    <row r="30" spans="1:15">
      <c r="A30">
        <v>23</v>
      </c>
      <c r="B30" s="41" t="s">
        <v>13</v>
      </c>
      <c r="C30" s="89">
        <v>71</v>
      </c>
      <c r="D30" s="39">
        <v>23</v>
      </c>
      <c r="F30" s="41" t="s">
        <v>31</v>
      </c>
      <c r="G30" s="89">
        <f>4+4+9+1</f>
        <v>18</v>
      </c>
      <c r="I30">
        <v>23</v>
      </c>
      <c r="J30" s="102" t="s">
        <v>1060</v>
      </c>
      <c r="K30" s="89">
        <v>107</v>
      </c>
      <c r="M30" s="150">
        <v>23</v>
      </c>
      <c r="N30" s="126" t="s">
        <v>141</v>
      </c>
      <c r="O30" s="2"/>
    </row>
    <row r="31" spans="1:15">
      <c r="A31">
        <v>24</v>
      </c>
      <c r="B31" s="102" t="s">
        <v>1340</v>
      </c>
      <c r="C31" s="37">
        <v>70</v>
      </c>
      <c r="D31" s="39">
        <v>24</v>
      </c>
      <c r="F31" s="41" t="s">
        <v>1048</v>
      </c>
      <c r="G31" s="89">
        <v>18</v>
      </c>
      <c r="I31">
        <v>24</v>
      </c>
      <c r="J31" s="41" t="s">
        <v>35</v>
      </c>
      <c r="K31" s="89">
        <v>102</v>
      </c>
      <c r="M31" s="150">
        <v>24</v>
      </c>
      <c r="N31" s="126" t="s">
        <v>140</v>
      </c>
      <c r="O31" s="2"/>
    </row>
    <row r="32" spans="1:15">
      <c r="A32">
        <v>25</v>
      </c>
      <c r="B32" s="41" t="s">
        <v>139</v>
      </c>
      <c r="C32" s="89">
        <v>68</v>
      </c>
      <c r="D32" s="39">
        <v>25</v>
      </c>
      <c r="F32" s="41" t="s">
        <v>14</v>
      </c>
      <c r="G32" s="89">
        <v>18</v>
      </c>
      <c r="I32">
        <v>25</v>
      </c>
      <c r="J32" s="41" t="s">
        <v>10</v>
      </c>
      <c r="K32" s="89">
        <v>94</v>
      </c>
      <c r="M32" s="150">
        <v>25</v>
      </c>
      <c r="N32" s="126" t="s">
        <v>139</v>
      </c>
      <c r="O32" s="2"/>
    </row>
    <row r="33" spans="1:15">
      <c r="A33">
        <v>26</v>
      </c>
      <c r="B33" s="41" t="s">
        <v>1060</v>
      </c>
      <c r="C33" s="89">
        <v>68</v>
      </c>
      <c r="D33" s="39">
        <v>26</v>
      </c>
      <c r="F33" s="41" t="s">
        <v>1329</v>
      </c>
      <c r="G33" s="37">
        <v>18</v>
      </c>
      <c r="I33">
        <v>26</v>
      </c>
      <c r="J33" s="41" t="s">
        <v>13</v>
      </c>
      <c r="K33" s="89">
        <v>86</v>
      </c>
      <c r="M33" s="150">
        <v>26</v>
      </c>
      <c r="N33" s="126" t="s">
        <v>142</v>
      </c>
      <c r="O33" s="2"/>
    </row>
    <row r="34" spans="1:15">
      <c r="A34">
        <v>27</v>
      </c>
      <c r="B34" s="41" t="s">
        <v>164</v>
      </c>
      <c r="C34" s="89">
        <v>64</v>
      </c>
      <c r="D34" s="39">
        <v>27</v>
      </c>
      <c r="F34" s="41" t="s">
        <v>10</v>
      </c>
      <c r="G34" s="89">
        <v>17</v>
      </c>
      <c r="I34">
        <v>27</v>
      </c>
      <c r="J34" s="41" t="s">
        <v>164</v>
      </c>
      <c r="K34" s="89">
        <v>83</v>
      </c>
      <c r="M34" s="150">
        <v>27</v>
      </c>
      <c r="N34" s="126" t="s">
        <v>53</v>
      </c>
      <c r="O34" s="2"/>
    </row>
    <row r="35" spans="1:15">
      <c r="A35">
        <v>28</v>
      </c>
      <c r="B35" s="41" t="s">
        <v>9</v>
      </c>
      <c r="C35" s="89">
        <v>62</v>
      </c>
      <c r="D35" s="39">
        <v>28</v>
      </c>
      <c r="F35" s="41" t="s">
        <v>34</v>
      </c>
      <c r="G35" s="89">
        <v>17</v>
      </c>
      <c r="I35">
        <v>28</v>
      </c>
      <c r="J35" s="41" t="s">
        <v>9</v>
      </c>
      <c r="K35" s="89">
        <f>62+11+1+4</f>
        <v>78</v>
      </c>
      <c r="M35" s="150">
        <v>28</v>
      </c>
      <c r="N35" s="126" t="s">
        <v>143</v>
      </c>
      <c r="O35" s="2"/>
    </row>
    <row r="36" spans="1:15">
      <c r="A36">
        <v>29</v>
      </c>
      <c r="B36" s="41" t="s">
        <v>217</v>
      </c>
      <c r="C36" s="89">
        <v>62</v>
      </c>
      <c r="D36" s="39">
        <v>29</v>
      </c>
      <c r="F36" s="102" t="s">
        <v>234</v>
      </c>
      <c r="G36" s="89">
        <v>17</v>
      </c>
      <c r="I36">
        <v>29</v>
      </c>
      <c r="J36" s="102" t="s">
        <v>1340</v>
      </c>
      <c r="K36" s="89">
        <v>75</v>
      </c>
      <c r="M36" s="150">
        <v>29</v>
      </c>
      <c r="N36" s="126" t="s">
        <v>144</v>
      </c>
      <c r="O36" s="2"/>
    </row>
    <row r="37" spans="1:15">
      <c r="A37">
        <v>30</v>
      </c>
      <c r="B37" s="41" t="s">
        <v>53</v>
      </c>
      <c r="C37" s="89">
        <v>59</v>
      </c>
      <c r="D37" s="39">
        <v>30</v>
      </c>
      <c r="F37" s="41" t="s">
        <v>156</v>
      </c>
      <c r="G37" s="89">
        <f>14+2</f>
        <v>16</v>
      </c>
      <c r="I37">
        <v>30</v>
      </c>
      <c r="J37" s="41" t="s">
        <v>139</v>
      </c>
      <c r="K37" s="89">
        <f>68+2+3+1</f>
        <v>74</v>
      </c>
      <c r="L37" s="39"/>
      <c r="M37" s="150">
        <v>30</v>
      </c>
      <c r="N37" s="126" t="s">
        <v>145</v>
      </c>
      <c r="O37" s="2"/>
    </row>
    <row r="38" spans="1:15">
      <c r="A38">
        <v>31</v>
      </c>
      <c r="B38" s="41" t="s">
        <v>1320</v>
      </c>
      <c r="C38" s="89">
        <v>44</v>
      </c>
      <c r="D38" s="39">
        <v>31</v>
      </c>
      <c r="F38" s="41" t="s">
        <v>9</v>
      </c>
      <c r="G38" s="89">
        <f>1+10+1+4</f>
        <v>16</v>
      </c>
      <c r="I38">
        <v>31</v>
      </c>
      <c r="J38" s="102" t="s">
        <v>146</v>
      </c>
      <c r="K38" s="89">
        <v>74</v>
      </c>
      <c r="M38" s="150">
        <v>31</v>
      </c>
      <c r="N38" s="126" t="s">
        <v>146</v>
      </c>
      <c r="O38" s="2"/>
    </row>
    <row r="39" spans="1:15">
      <c r="A39">
        <v>32</v>
      </c>
      <c r="B39" s="102" t="s">
        <v>146</v>
      </c>
      <c r="C39" s="89">
        <v>44</v>
      </c>
      <c r="D39" s="39">
        <v>32</v>
      </c>
      <c r="F39" s="41" t="s">
        <v>140</v>
      </c>
      <c r="G39" s="89">
        <v>16</v>
      </c>
      <c r="I39">
        <v>32</v>
      </c>
      <c r="J39" s="41" t="s">
        <v>32</v>
      </c>
      <c r="K39" s="89">
        <f>35+15+2+7+3</f>
        <v>62</v>
      </c>
      <c r="M39" s="150">
        <v>32</v>
      </c>
      <c r="N39" s="126" t="s">
        <v>147</v>
      </c>
      <c r="O39" s="2"/>
    </row>
    <row r="40" spans="1:15">
      <c r="A40">
        <v>33</v>
      </c>
      <c r="B40" s="102" t="s">
        <v>1329</v>
      </c>
      <c r="C40" s="37">
        <v>44</v>
      </c>
      <c r="D40" s="39">
        <v>33</v>
      </c>
      <c r="F40" s="41" t="s">
        <v>144</v>
      </c>
      <c r="G40" s="89">
        <v>16</v>
      </c>
      <c r="I40">
        <v>33</v>
      </c>
      <c r="J40" s="102" t="s">
        <v>1329</v>
      </c>
      <c r="K40" s="37">
        <v>62</v>
      </c>
      <c r="M40" s="150">
        <v>33</v>
      </c>
      <c r="N40" s="126" t="s">
        <v>155</v>
      </c>
      <c r="O40" s="153"/>
    </row>
    <row r="41" spans="1:15">
      <c r="A41">
        <v>34</v>
      </c>
      <c r="B41" s="41" t="s">
        <v>1314</v>
      </c>
      <c r="C41" s="37">
        <v>43</v>
      </c>
      <c r="D41" s="39">
        <v>34</v>
      </c>
      <c r="F41" s="41" t="s">
        <v>13</v>
      </c>
      <c r="G41" s="89">
        <v>16</v>
      </c>
      <c r="I41">
        <v>34</v>
      </c>
      <c r="J41" s="41" t="s">
        <v>1048</v>
      </c>
      <c r="K41" s="37">
        <v>61</v>
      </c>
      <c r="M41" s="150">
        <v>34</v>
      </c>
      <c r="N41" s="126" t="s">
        <v>607</v>
      </c>
      <c r="O41" s="2"/>
    </row>
    <row r="42" spans="1:15">
      <c r="A42">
        <v>35</v>
      </c>
      <c r="B42" s="41" t="s">
        <v>1324</v>
      </c>
      <c r="C42" s="89">
        <v>42</v>
      </c>
      <c r="D42" s="39">
        <v>35</v>
      </c>
      <c r="F42" s="41" t="s">
        <v>142</v>
      </c>
      <c r="G42" s="89">
        <v>16</v>
      </c>
      <c r="I42">
        <v>35</v>
      </c>
      <c r="J42" s="41" t="s">
        <v>1324</v>
      </c>
      <c r="K42" s="37">
        <v>55</v>
      </c>
      <c r="M42" s="150">
        <v>35</v>
      </c>
      <c r="N42" s="126" t="s">
        <v>160</v>
      </c>
      <c r="O42" s="153"/>
    </row>
    <row r="43" spans="1:15">
      <c r="A43">
        <v>36</v>
      </c>
      <c r="B43" s="41" t="s">
        <v>16</v>
      </c>
      <c r="C43" s="89">
        <v>40</v>
      </c>
      <c r="D43" s="39">
        <v>36</v>
      </c>
      <c r="F43" s="41" t="s">
        <v>33</v>
      </c>
      <c r="G43" s="89">
        <v>16</v>
      </c>
      <c r="I43">
        <v>36</v>
      </c>
      <c r="J43" s="41" t="s">
        <v>233</v>
      </c>
      <c r="K43" s="89">
        <v>53</v>
      </c>
      <c r="L43" s="39"/>
      <c r="M43" s="150">
        <v>36</v>
      </c>
      <c r="N43" s="126" t="s">
        <v>169</v>
      </c>
      <c r="O43" s="2"/>
    </row>
    <row r="44" spans="1:15">
      <c r="A44">
        <v>37</v>
      </c>
      <c r="B44" s="41" t="s">
        <v>7</v>
      </c>
      <c r="C44" s="89">
        <v>38</v>
      </c>
      <c r="D44" s="39">
        <v>37</v>
      </c>
      <c r="F44" s="41" t="s">
        <v>1434</v>
      </c>
      <c r="G44" s="37">
        <v>15</v>
      </c>
      <c r="I44">
        <v>37</v>
      </c>
      <c r="J44" s="102" t="s">
        <v>1434</v>
      </c>
      <c r="K44" s="37">
        <v>52</v>
      </c>
      <c r="M44" s="150">
        <v>37</v>
      </c>
      <c r="N44" s="126" t="s">
        <v>181</v>
      </c>
      <c r="O44" s="2"/>
    </row>
    <row r="45" spans="1:15">
      <c r="A45">
        <v>38</v>
      </c>
      <c r="B45" s="41" t="s">
        <v>155</v>
      </c>
      <c r="C45" s="89">
        <v>38</v>
      </c>
      <c r="D45" s="39">
        <v>38</v>
      </c>
      <c r="F45" s="41" t="s">
        <v>155</v>
      </c>
      <c r="G45" s="89">
        <f>4+6+3</f>
        <v>13</v>
      </c>
      <c r="I45">
        <v>38</v>
      </c>
      <c r="J45" s="41" t="s">
        <v>155</v>
      </c>
      <c r="K45" s="89">
        <f>38+4+6+3</f>
        <v>51</v>
      </c>
      <c r="M45" s="150">
        <v>38</v>
      </c>
      <c r="N45" s="126" t="s">
        <v>182</v>
      </c>
      <c r="O45" s="2"/>
    </row>
    <row r="46" spans="1:15">
      <c r="A46">
        <v>39</v>
      </c>
      <c r="B46" s="102" t="s">
        <v>1434</v>
      </c>
      <c r="C46" s="37">
        <v>37</v>
      </c>
      <c r="D46" s="39">
        <v>39</v>
      </c>
      <c r="F46" s="41" t="s">
        <v>17</v>
      </c>
      <c r="G46" s="89">
        <f>9+4</f>
        <v>13</v>
      </c>
      <c r="I46">
        <v>39</v>
      </c>
      <c r="J46" s="102" t="s">
        <v>1320</v>
      </c>
      <c r="K46" s="37">
        <v>51</v>
      </c>
      <c r="M46" s="150">
        <v>39</v>
      </c>
      <c r="N46" s="126" t="s">
        <v>183</v>
      </c>
      <c r="O46" s="2"/>
    </row>
    <row r="47" spans="1:15">
      <c r="A47">
        <v>40</v>
      </c>
      <c r="B47" s="41" t="s">
        <v>42</v>
      </c>
      <c r="C47" s="89">
        <v>36</v>
      </c>
      <c r="D47" s="39">
        <v>40</v>
      </c>
      <c r="F47" s="41" t="s">
        <v>1044</v>
      </c>
      <c r="G47" s="89">
        <v>13</v>
      </c>
      <c r="I47">
        <v>40</v>
      </c>
      <c r="J47" s="41" t="s">
        <v>160</v>
      </c>
      <c r="K47" s="89">
        <v>50</v>
      </c>
      <c r="M47" s="150">
        <v>40</v>
      </c>
      <c r="N47" s="126" t="s">
        <v>75</v>
      </c>
      <c r="O47" s="2"/>
    </row>
    <row r="48" spans="1:15">
      <c r="A48">
        <v>41</v>
      </c>
      <c r="B48" s="41" t="s">
        <v>32</v>
      </c>
      <c r="C48" s="89">
        <v>35</v>
      </c>
      <c r="D48" s="39">
        <v>41</v>
      </c>
      <c r="F48" s="41" t="s">
        <v>183</v>
      </c>
      <c r="G48" s="89">
        <v>13</v>
      </c>
      <c r="I48">
        <v>41</v>
      </c>
      <c r="J48" s="41" t="s">
        <v>75</v>
      </c>
      <c r="K48" s="89">
        <f>27+10+4+2+4</f>
        <v>47</v>
      </c>
      <c r="M48" s="150">
        <v>41</v>
      </c>
      <c r="N48" s="126" t="s">
        <v>256</v>
      </c>
      <c r="O48" s="153"/>
    </row>
    <row r="49" spans="1:15">
      <c r="A49">
        <v>42</v>
      </c>
      <c r="B49" s="102" t="s">
        <v>1491</v>
      </c>
      <c r="C49" s="37">
        <v>34</v>
      </c>
      <c r="D49" s="39">
        <v>42</v>
      </c>
      <c r="F49" s="41" t="s">
        <v>1371</v>
      </c>
      <c r="G49" s="37">
        <v>13</v>
      </c>
      <c r="I49">
        <v>42</v>
      </c>
      <c r="J49" s="41" t="s">
        <v>1403</v>
      </c>
      <c r="K49" s="37">
        <v>47</v>
      </c>
      <c r="M49" s="150">
        <v>42</v>
      </c>
      <c r="N49" s="126" t="s">
        <v>190</v>
      </c>
      <c r="O49" s="2"/>
    </row>
    <row r="50" spans="1:15">
      <c r="A50">
        <v>43</v>
      </c>
      <c r="B50" s="102" t="s">
        <v>1476</v>
      </c>
      <c r="C50" s="37">
        <v>31</v>
      </c>
      <c r="D50" s="39">
        <v>43</v>
      </c>
      <c r="F50" s="41" t="s">
        <v>1500</v>
      </c>
      <c r="G50" s="37">
        <v>13</v>
      </c>
      <c r="I50">
        <v>43</v>
      </c>
      <c r="J50" s="41" t="s">
        <v>42</v>
      </c>
      <c r="K50" s="89">
        <f>36+5+1+1</f>
        <v>43</v>
      </c>
      <c r="M50" s="150">
        <v>43</v>
      </c>
      <c r="N50" s="126" t="s">
        <v>189</v>
      </c>
      <c r="O50" s="2"/>
    </row>
    <row r="51" spans="1:15">
      <c r="A51">
        <v>44</v>
      </c>
      <c r="B51" s="41" t="s">
        <v>233</v>
      </c>
      <c r="C51" s="89">
        <v>28</v>
      </c>
      <c r="D51" s="39">
        <v>44</v>
      </c>
      <c r="F51" s="41" t="s">
        <v>1324</v>
      </c>
      <c r="G51" s="37">
        <v>13</v>
      </c>
      <c r="I51">
        <v>44</v>
      </c>
      <c r="J51" s="41" t="s">
        <v>7</v>
      </c>
      <c r="K51" s="89">
        <f>38+2+1</f>
        <v>41</v>
      </c>
      <c r="M51" s="150">
        <v>44</v>
      </c>
      <c r="N51" s="126" t="s">
        <v>206</v>
      </c>
      <c r="O51" s="2"/>
    </row>
    <row r="52" spans="1:15">
      <c r="A52">
        <v>45</v>
      </c>
      <c r="B52" s="41" t="s">
        <v>1403</v>
      </c>
      <c r="C52" s="37">
        <v>28</v>
      </c>
      <c r="D52" s="39">
        <v>45</v>
      </c>
      <c r="F52" s="41" t="s">
        <v>20</v>
      </c>
      <c r="G52" s="89">
        <f>1+6+4+1</f>
        <v>12</v>
      </c>
      <c r="I52">
        <v>45</v>
      </c>
      <c r="J52" s="41" t="s">
        <v>16</v>
      </c>
      <c r="K52" s="89">
        <v>40</v>
      </c>
      <c r="M52" s="150">
        <v>45</v>
      </c>
      <c r="N52" s="126" t="s">
        <v>207</v>
      </c>
      <c r="O52" s="2"/>
    </row>
    <row r="53" spans="1:15">
      <c r="A53">
        <v>46</v>
      </c>
      <c r="B53" s="41" t="s">
        <v>75</v>
      </c>
      <c r="C53" s="89">
        <v>27</v>
      </c>
      <c r="D53" s="39">
        <v>46</v>
      </c>
      <c r="F53" s="41" t="s">
        <v>247</v>
      </c>
      <c r="G53" s="89">
        <v>12</v>
      </c>
      <c r="I53">
        <v>46</v>
      </c>
      <c r="J53" s="102" t="s">
        <v>1476</v>
      </c>
      <c r="K53" s="89">
        <v>39</v>
      </c>
      <c r="M53" s="150">
        <v>46</v>
      </c>
      <c r="N53" s="126" t="s">
        <v>208</v>
      </c>
      <c r="O53" s="2"/>
    </row>
    <row r="54" spans="1:15">
      <c r="A54">
        <v>47</v>
      </c>
      <c r="B54" s="41" t="s">
        <v>143</v>
      </c>
      <c r="C54" s="89">
        <v>24</v>
      </c>
      <c r="D54" s="39">
        <v>47</v>
      </c>
      <c r="F54" s="41" t="s">
        <v>1315</v>
      </c>
      <c r="G54" s="37">
        <v>12</v>
      </c>
      <c r="I54">
        <v>47</v>
      </c>
      <c r="J54" s="102" t="s">
        <v>1491</v>
      </c>
      <c r="K54" s="37">
        <v>37</v>
      </c>
      <c r="M54" s="150">
        <v>47</v>
      </c>
      <c r="N54" s="126" t="s">
        <v>211</v>
      </c>
      <c r="O54" s="2"/>
    </row>
    <row r="55" spans="1:15">
      <c r="A55">
        <v>48</v>
      </c>
      <c r="B55" s="41" t="s">
        <v>1245</v>
      </c>
      <c r="C55" s="89">
        <v>24</v>
      </c>
      <c r="D55" s="39">
        <v>48</v>
      </c>
      <c r="F55" s="41" t="s">
        <v>256</v>
      </c>
      <c r="G55" s="89">
        <f>7+2+2</f>
        <v>11</v>
      </c>
      <c r="I55">
        <v>48</v>
      </c>
      <c r="J55" s="41" t="s">
        <v>20</v>
      </c>
      <c r="K55" s="89">
        <f>23+1+6+4+1</f>
        <v>35</v>
      </c>
      <c r="M55" s="151">
        <v>48</v>
      </c>
      <c r="N55" s="126" t="s">
        <v>212</v>
      </c>
      <c r="O55" s="2"/>
    </row>
    <row r="56" spans="1:15">
      <c r="A56">
        <v>49</v>
      </c>
      <c r="B56" s="41" t="s">
        <v>145</v>
      </c>
      <c r="C56" s="89">
        <v>23</v>
      </c>
      <c r="D56" s="39">
        <v>49</v>
      </c>
      <c r="F56" s="41" t="s">
        <v>218</v>
      </c>
      <c r="G56" s="89">
        <f>8+1+2</f>
        <v>11</v>
      </c>
      <c r="I56">
        <v>49</v>
      </c>
      <c r="J56" s="41" t="s">
        <v>143</v>
      </c>
      <c r="K56" s="89">
        <v>35</v>
      </c>
      <c r="M56" s="151">
        <v>49</v>
      </c>
      <c r="N56" s="126" t="s">
        <v>214</v>
      </c>
      <c r="O56" s="2"/>
    </row>
    <row r="57" spans="1:15">
      <c r="A57">
        <v>50</v>
      </c>
      <c r="B57" s="41" t="s">
        <v>20</v>
      </c>
      <c r="C57" s="89">
        <v>23</v>
      </c>
      <c r="D57" s="39">
        <v>50</v>
      </c>
      <c r="F57" s="41" t="s">
        <v>143</v>
      </c>
      <c r="G57" s="89">
        <v>11</v>
      </c>
      <c r="I57">
        <v>50</v>
      </c>
      <c r="J57" s="41" t="s">
        <v>145</v>
      </c>
      <c r="K57" s="89">
        <f>23+6+2+1</f>
        <v>32</v>
      </c>
      <c r="M57" s="151">
        <v>50</v>
      </c>
      <c r="N57" s="126" t="s">
        <v>217</v>
      </c>
      <c r="O57" s="2"/>
    </row>
    <row r="58" spans="1:15">
      <c r="A58">
        <v>51</v>
      </c>
      <c r="B58" s="41" t="s">
        <v>160</v>
      </c>
      <c r="C58" s="89">
        <v>23</v>
      </c>
      <c r="D58" s="39">
        <v>51</v>
      </c>
      <c r="F58" s="41" t="s">
        <v>207</v>
      </c>
      <c r="G58" s="89">
        <v>10</v>
      </c>
      <c r="I58">
        <v>51</v>
      </c>
      <c r="J58" s="41" t="s">
        <v>1339</v>
      </c>
      <c r="K58" s="89">
        <v>31</v>
      </c>
      <c r="L58" s="39"/>
      <c r="M58" s="151">
        <v>51</v>
      </c>
      <c r="N58" s="126" t="s">
        <v>218</v>
      </c>
      <c r="O58" s="2"/>
    </row>
    <row r="59" spans="1:15">
      <c r="A59">
        <v>52</v>
      </c>
      <c r="B59" s="41" t="s">
        <v>141</v>
      </c>
      <c r="C59" s="89">
        <v>22</v>
      </c>
      <c r="D59" s="39">
        <v>52</v>
      </c>
      <c r="F59" s="41" t="s">
        <v>15</v>
      </c>
      <c r="G59" s="89">
        <v>10</v>
      </c>
      <c r="I59">
        <v>52</v>
      </c>
      <c r="J59" s="41" t="s">
        <v>17</v>
      </c>
      <c r="K59" s="89">
        <f>17+9+4</f>
        <v>30</v>
      </c>
      <c r="M59" s="151">
        <v>52</v>
      </c>
      <c r="N59" s="126" t="s">
        <v>221</v>
      </c>
      <c r="O59" s="2"/>
    </row>
    <row r="60" spans="1:15">
      <c r="A60">
        <v>53</v>
      </c>
      <c r="B60" s="41" t="s">
        <v>17</v>
      </c>
      <c r="C60" s="89">
        <v>17</v>
      </c>
      <c r="D60" s="39">
        <v>53</v>
      </c>
      <c r="F60" s="41" t="s">
        <v>214</v>
      </c>
      <c r="G60" s="89">
        <v>10</v>
      </c>
      <c r="I60">
        <v>53</v>
      </c>
      <c r="J60" s="41" t="s">
        <v>141</v>
      </c>
      <c r="K60" s="89">
        <v>30</v>
      </c>
      <c r="M60" s="151">
        <v>53</v>
      </c>
      <c r="N60" s="126" t="s">
        <v>222</v>
      </c>
      <c r="O60" s="2"/>
    </row>
    <row r="61" spans="1:15">
      <c r="A61">
        <v>54</v>
      </c>
      <c r="B61" s="41" t="s">
        <v>1315</v>
      </c>
      <c r="C61" s="37">
        <v>16</v>
      </c>
      <c r="D61" s="39">
        <v>54</v>
      </c>
      <c r="F61" s="41" t="s">
        <v>1344</v>
      </c>
      <c r="G61" s="37">
        <v>10</v>
      </c>
      <c r="I61">
        <v>54</v>
      </c>
      <c r="J61" s="41" t="s">
        <v>31</v>
      </c>
      <c r="K61" s="89">
        <f>11+8+9+1</f>
        <v>29</v>
      </c>
      <c r="M61" s="151">
        <v>54</v>
      </c>
      <c r="N61" s="126" t="s">
        <v>223</v>
      </c>
      <c r="O61" s="2"/>
    </row>
    <row r="62" spans="1:15">
      <c r="A62">
        <v>55</v>
      </c>
      <c r="B62" s="41" t="s">
        <v>223</v>
      </c>
      <c r="C62" s="89">
        <v>15</v>
      </c>
      <c r="D62" s="39">
        <v>55</v>
      </c>
      <c r="F62" s="41" t="s">
        <v>145</v>
      </c>
      <c r="G62" s="89">
        <f>3+3+2+1</f>
        <v>9</v>
      </c>
      <c r="I62">
        <v>55</v>
      </c>
      <c r="J62" s="41" t="s">
        <v>1245</v>
      </c>
      <c r="K62" s="89">
        <v>28</v>
      </c>
      <c r="M62" s="151">
        <v>55</v>
      </c>
      <c r="N62" s="126" t="s">
        <v>220</v>
      </c>
      <c r="O62" s="153"/>
    </row>
    <row r="63" spans="1:15">
      <c r="A63">
        <v>56</v>
      </c>
      <c r="B63" s="41" t="s">
        <v>218</v>
      </c>
      <c r="C63" s="89">
        <v>15</v>
      </c>
      <c r="D63" s="39">
        <v>56</v>
      </c>
      <c r="F63" s="41" t="s">
        <v>189</v>
      </c>
      <c r="G63" s="89">
        <f>2+1+4+1</f>
        <v>8</v>
      </c>
      <c r="I63">
        <v>56</v>
      </c>
      <c r="J63" s="41" t="s">
        <v>181</v>
      </c>
      <c r="K63" s="89">
        <v>28</v>
      </c>
      <c r="M63" s="151">
        <v>56</v>
      </c>
      <c r="N63" s="126" t="s">
        <v>230</v>
      </c>
      <c r="O63" s="2"/>
    </row>
    <row r="64" spans="1:15">
      <c r="A64">
        <v>57</v>
      </c>
      <c r="B64" s="41" t="s">
        <v>247</v>
      </c>
      <c r="C64" s="89">
        <v>14</v>
      </c>
      <c r="D64" s="39">
        <v>57</v>
      </c>
      <c r="F64" s="41" t="s">
        <v>231</v>
      </c>
      <c r="G64" s="89">
        <v>8</v>
      </c>
      <c r="I64">
        <v>57</v>
      </c>
      <c r="J64" s="41" t="s">
        <v>1315</v>
      </c>
      <c r="K64" s="89">
        <v>28</v>
      </c>
      <c r="M64" s="151">
        <v>57</v>
      </c>
      <c r="N64" s="126" t="s">
        <v>233</v>
      </c>
      <c r="O64" s="2"/>
    </row>
    <row r="65" spans="1:15">
      <c r="A65">
        <v>58</v>
      </c>
      <c r="B65" s="41" t="s">
        <v>220</v>
      </c>
      <c r="C65" s="89">
        <v>12</v>
      </c>
      <c r="D65" s="39">
        <v>58</v>
      </c>
      <c r="F65" s="41" t="s">
        <v>236</v>
      </c>
      <c r="G65" s="89">
        <v>8</v>
      </c>
      <c r="I65">
        <v>58</v>
      </c>
      <c r="J65" s="41" t="s">
        <v>140</v>
      </c>
      <c r="K65" s="89">
        <v>27</v>
      </c>
      <c r="M65" s="151">
        <v>58</v>
      </c>
      <c r="N65" s="126" t="s">
        <v>231</v>
      </c>
      <c r="O65" s="2"/>
    </row>
    <row r="66" spans="1:15">
      <c r="A66">
        <v>59</v>
      </c>
      <c r="B66" s="41" t="s">
        <v>189</v>
      </c>
      <c r="C66" s="89">
        <v>11</v>
      </c>
      <c r="D66" s="39">
        <v>59</v>
      </c>
      <c r="F66" s="41" t="s">
        <v>1205</v>
      </c>
      <c r="G66" s="89">
        <v>8</v>
      </c>
      <c r="I66">
        <v>59</v>
      </c>
      <c r="J66" s="41" t="s">
        <v>218</v>
      </c>
      <c r="K66" s="89">
        <f>15+8+1+2</f>
        <v>26</v>
      </c>
      <c r="M66" s="151">
        <v>59</v>
      </c>
      <c r="N66" s="126" t="s">
        <v>234</v>
      </c>
      <c r="O66" s="2"/>
    </row>
    <row r="67" spans="1:15">
      <c r="A67">
        <v>60</v>
      </c>
      <c r="B67" s="41" t="s">
        <v>31</v>
      </c>
      <c r="C67" s="89">
        <v>11</v>
      </c>
      <c r="D67" s="39">
        <v>60</v>
      </c>
      <c r="F67" s="41" t="s">
        <v>141</v>
      </c>
      <c r="G67" s="89">
        <v>8</v>
      </c>
      <c r="I67">
        <v>60</v>
      </c>
      <c r="J67" s="41" t="s">
        <v>247</v>
      </c>
      <c r="K67" s="89">
        <v>26</v>
      </c>
      <c r="M67" s="151">
        <v>60</v>
      </c>
      <c r="N67" s="126" t="s">
        <v>236</v>
      </c>
      <c r="O67" s="2"/>
    </row>
    <row r="68" spans="1:15">
      <c r="A68">
        <v>61</v>
      </c>
      <c r="B68" s="41" t="s">
        <v>231</v>
      </c>
      <c r="C68" s="89">
        <v>11</v>
      </c>
      <c r="D68" s="39">
        <v>61</v>
      </c>
      <c r="F68" s="41" t="s">
        <v>169</v>
      </c>
      <c r="G68" s="89">
        <f>5+2</f>
        <v>7</v>
      </c>
      <c r="I68">
        <v>61</v>
      </c>
      <c r="J68" s="41" t="s">
        <v>183</v>
      </c>
      <c r="K68" s="89">
        <v>21</v>
      </c>
      <c r="M68" s="151">
        <v>61</v>
      </c>
      <c r="N68" s="126" t="s">
        <v>164</v>
      </c>
      <c r="O68" s="2"/>
    </row>
    <row r="69" spans="1:15">
      <c r="A69">
        <v>62</v>
      </c>
      <c r="B69" s="41" t="s">
        <v>140</v>
      </c>
      <c r="C69" s="89">
        <v>11</v>
      </c>
      <c r="D69" s="39">
        <v>62</v>
      </c>
      <c r="F69" s="41" t="s">
        <v>42</v>
      </c>
      <c r="G69" s="89">
        <f>4+1+1+1</f>
        <v>7</v>
      </c>
      <c r="I69">
        <v>62</v>
      </c>
      <c r="J69" s="41" t="s">
        <v>1344</v>
      </c>
      <c r="K69" s="89">
        <v>21</v>
      </c>
      <c r="M69" s="151">
        <v>62</v>
      </c>
      <c r="N69" s="126" t="s">
        <v>247</v>
      </c>
      <c r="O69" s="2"/>
    </row>
    <row r="70" spans="1:15">
      <c r="A70">
        <v>63</v>
      </c>
      <c r="B70" s="41" t="s">
        <v>1344</v>
      </c>
      <c r="C70" s="37">
        <v>11</v>
      </c>
      <c r="D70" s="39">
        <v>63</v>
      </c>
      <c r="F70" s="41" t="s">
        <v>221</v>
      </c>
      <c r="G70" s="89">
        <f>6+1</f>
        <v>7</v>
      </c>
      <c r="I70">
        <v>63</v>
      </c>
      <c r="J70" s="41" t="s">
        <v>223</v>
      </c>
      <c r="K70" s="89">
        <v>20</v>
      </c>
      <c r="M70" s="151">
        <v>63</v>
      </c>
      <c r="N70" s="152" t="s">
        <v>1107</v>
      </c>
      <c r="O70" s="2"/>
    </row>
    <row r="71" spans="1:15">
      <c r="A71">
        <v>64</v>
      </c>
      <c r="B71" s="41" t="s">
        <v>206</v>
      </c>
      <c r="C71" s="89">
        <v>10</v>
      </c>
      <c r="D71" s="39">
        <v>64</v>
      </c>
      <c r="F71" s="41" t="s">
        <v>1046</v>
      </c>
      <c r="G71" s="89">
        <v>7</v>
      </c>
      <c r="I71">
        <v>64</v>
      </c>
      <c r="J71" s="41" t="s">
        <v>189</v>
      </c>
      <c r="K71" s="89">
        <f>11+2+1+4+1</f>
        <v>19</v>
      </c>
      <c r="M71" s="33">
        <v>64</v>
      </c>
      <c r="N71" s="152" t="s">
        <v>1060</v>
      </c>
      <c r="O71" s="153"/>
    </row>
    <row r="72" spans="1:15">
      <c r="A72">
        <v>65</v>
      </c>
      <c r="B72" s="41" t="s">
        <v>1429</v>
      </c>
      <c r="C72" s="37">
        <v>10</v>
      </c>
      <c r="D72" s="39">
        <v>65</v>
      </c>
      <c r="F72" s="41" t="s">
        <v>1476</v>
      </c>
      <c r="G72" s="37">
        <v>7</v>
      </c>
      <c r="I72">
        <v>65</v>
      </c>
      <c r="J72" s="41" t="s">
        <v>231</v>
      </c>
      <c r="K72" s="89">
        <v>19</v>
      </c>
      <c r="M72" s="33">
        <v>65</v>
      </c>
      <c r="N72" s="152" t="s">
        <v>1155</v>
      </c>
      <c r="O72" s="153"/>
    </row>
    <row r="73" spans="1:15">
      <c r="A73">
        <v>66</v>
      </c>
      <c r="B73" s="41" t="s">
        <v>190</v>
      </c>
      <c r="C73" s="89">
        <v>9</v>
      </c>
      <c r="D73" s="39">
        <v>66</v>
      </c>
      <c r="F73" s="41" t="s">
        <v>147</v>
      </c>
      <c r="G73" s="89">
        <f>3+3</f>
        <v>6</v>
      </c>
      <c r="I73">
        <v>66</v>
      </c>
      <c r="J73" s="41" t="s">
        <v>220</v>
      </c>
      <c r="K73" s="89">
        <f>12+5+1</f>
        <v>18</v>
      </c>
      <c r="M73" s="33">
        <v>66</v>
      </c>
      <c r="N73" s="152" t="s">
        <v>1240</v>
      </c>
      <c r="O73" s="153"/>
    </row>
    <row r="74" spans="1:15">
      <c r="A74">
        <v>67</v>
      </c>
      <c r="B74" s="41" t="s">
        <v>181</v>
      </c>
      <c r="C74" s="89">
        <v>8</v>
      </c>
      <c r="D74" s="39">
        <v>67</v>
      </c>
      <c r="F74" s="41" t="s">
        <v>157</v>
      </c>
      <c r="G74" s="89">
        <f>4+2</f>
        <v>6</v>
      </c>
      <c r="I74">
        <v>67</v>
      </c>
      <c r="J74" s="41" t="s">
        <v>1371</v>
      </c>
      <c r="K74" s="37">
        <v>17</v>
      </c>
      <c r="M74" s="33">
        <v>67</v>
      </c>
      <c r="N74" s="152" t="s">
        <v>1245</v>
      </c>
      <c r="O74" s="153"/>
    </row>
    <row r="75" spans="1:15">
      <c r="A75">
        <v>68</v>
      </c>
      <c r="B75" s="41" t="s">
        <v>183</v>
      </c>
      <c r="C75" s="89">
        <v>8</v>
      </c>
      <c r="D75" s="39">
        <v>68</v>
      </c>
      <c r="F75" s="41" t="s">
        <v>190</v>
      </c>
      <c r="G75" s="89">
        <v>6</v>
      </c>
      <c r="I75">
        <v>68</v>
      </c>
      <c r="J75" s="59" t="s">
        <v>156</v>
      </c>
      <c r="K75" s="89">
        <f>14+2</f>
        <v>16</v>
      </c>
      <c r="M75" s="33">
        <v>68</v>
      </c>
      <c r="N75" s="152" t="s">
        <v>1315</v>
      </c>
      <c r="O75" s="2"/>
    </row>
    <row r="76" spans="1:15">
      <c r="A76">
        <v>69</v>
      </c>
      <c r="B76" s="41" t="s">
        <v>1506</v>
      </c>
      <c r="C76" s="37">
        <v>8</v>
      </c>
      <c r="D76" s="39">
        <v>69</v>
      </c>
      <c r="F76" s="41" t="s">
        <v>1042</v>
      </c>
      <c r="G76" s="89">
        <f>2+3+1</f>
        <v>6</v>
      </c>
      <c r="I76">
        <v>69</v>
      </c>
      <c r="J76" s="41" t="s">
        <v>256</v>
      </c>
      <c r="K76" s="89">
        <f>5+7+2+2</f>
        <v>16</v>
      </c>
      <c r="M76" s="33">
        <v>69</v>
      </c>
      <c r="N76" s="152" t="s">
        <v>1314</v>
      </c>
      <c r="O76" s="153"/>
    </row>
    <row r="77" spans="1:15">
      <c r="A77">
        <v>70</v>
      </c>
      <c r="B77" s="41" t="s">
        <v>1155</v>
      </c>
      <c r="C77" s="89">
        <v>7</v>
      </c>
      <c r="D77" s="39">
        <v>70</v>
      </c>
      <c r="F77" s="41" t="s">
        <v>220</v>
      </c>
      <c r="G77" s="89">
        <f>5+1</f>
        <v>6</v>
      </c>
      <c r="I77">
        <v>70</v>
      </c>
      <c r="J77" s="41" t="s">
        <v>1500</v>
      </c>
      <c r="K77" s="37">
        <v>16</v>
      </c>
      <c r="M77" s="33">
        <v>70</v>
      </c>
      <c r="N77" s="152" t="s">
        <v>1324</v>
      </c>
      <c r="O77" s="153"/>
    </row>
    <row r="78" spans="1:15">
      <c r="A78">
        <v>71</v>
      </c>
      <c r="B78" s="41" t="s">
        <v>147</v>
      </c>
      <c r="C78" s="89">
        <v>5</v>
      </c>
      <c r="D78" s="39">
        <v>71</v>
      </c>
      <c r="F78" s="41" t="s">
        <v>1155</v>
      </c>
      <c r="G78" s="89">
        <v>6</v>
      </c>
      <c r="I78">
        <v>71</v>
      </c>
      <c r="J78" s="41" t="s">
        <v>190</v>
      </c>
      <c r="K78" s="89">
        <f>9+6</f>
        <v>15</v>
      </c>
      <c r="M78" s="33">
        <v>71</v>
      </c>
      <c r="N78" s="152" t="s">
        <v>1320</v>
      </c>
      <c r="O78" s="153"/>
    </row>
    <row r="79" spans="1:15">
      <c r="A79">
        <v>72</v>
      </c>
      <c r="B79" s="41" t="s">
        <v>256</v>
      </c>
      <c r="C79" s="89">
        <v>5</v>
      </c>
      <c r="D79" s="39">
        <v>72</v>
      </c>
      <c r="F79" s="41" t="s">
        <v>19</v>
      </c>
      <c r="G79" s="89">
        <v>6</v>
      </c>
      <c r="I79">
        <v>72</v>
      </c>
      <c r="J79" s="41" t="s">
        <v>1429</v>
      </c>
      <c r="K79" s="37">
        <v>15</v>
      </c>
      <c r="M79" s="33">
        <v>72</v>
      </c>
      <c r="N79" s="152" t="s">
        <v>1340</v>
      </c>
      <c r="O79" s="153"/>
    </row>
    <row r="80" spans="1:15">
      <c r="A80">
        <v>73</v>
      </c>
      <c r="B80" s="41" t="s">
        <v>212</v>
      </c>
      <c r="C80" s="89">
        <v>5</v>
      </c>
      <c r="D80" s="39">
        <v>73</v>
      </c>
      <c r="F80" s="102" t="s">
        <v>1320</v>
      </c>
      <c r="G80" s="37">
        <v>6</v>
      </c>
      <c r="I80">
        <v>73</v>
      </c>
      <c r="J80" s="41" t="s">
        <v>1045</v>
      </c>
      <c r="K80" s="37">
        <v>14</v>
      </c>
      <c r="M80" s="33">
        <v>73</v>
      </c>
      <c r="N80" s="152" t="s">
        <v>1329</v>
      </c>
      <c r="O80" s="153"/>
    </row>
    <row r="81" spans="1:15">
      <c r="A81">
        <v>74</v>
      </c>
      <c r="B81" s="41" t="s">
        <v>1533</v>
      </c>
      <c r="C81" s="37">
        <v>5</v>
      </c>
      <c r="D81" s="39">
        <v>74</v>
      </c>
      <c r="F81" s="41" t="s">
        <v>223</v>
      </c>
      <c r="G81" s="89">
        <f>3+2</f>
        <v>5</v>
      </c>
      <c r="I81">
        <v>74</v>
      </c>
      <c r="J81" s="41" t="s">
        <v>206</v>
      </c>
      <c r="K81" s="89">
        <f>10+3</f>
        <v>13</v>
      </c>
      <c r="M81" s="33">
        <v>74</v>
      </c>
      <c r="N81" s="152" t="s">
        <v>1344</v>
      </c>
      <c r="O81" s="153"/>
    </row>
    <row r="82" spans="1:15">
      <c r="A82">
        <v>75</v>
      </c>
      <c r="B82" s="41" t="s">
        <v>46</v>
      </c>
      <c r="C82" s="89">
        <v>4</v>
      </c>
      <c r="D82" s="39">
        <v>75</v>
      </c>
      <c r="F82" s="41" t="s">
        <v>1033</v>
      </c>
      <c r="G82" s="89">
        <v>5</v>
      </c>
      <c r="I82">
        <v>75</v>
      </c>
      <c r="J82" s="41" t="s">
        <v>1155</v>
      </c>
      <c r="K82" s="37">
        <v>13</v>
      </c>
      <c r="M82" s="33">
        <v>75</v>
      </c>
      <c r="N82" s="152" t="s">
        <v>1402</v>
      </c>
      <c r="O82" s="153"/>
    </row>
    <row r="83" spans="1:15">
      <c r="A83">
        <v>76</v>
      </c>
      <c r="B83" s="41" t="s">
        <v>52</v>
      </c>
      <c r="C83" s="89">
        <v>4</v>
      </c>
      <c r="D83" s="39">
        <v>76</v>
      </c>
      <c r="F83" s="41" t="s">
        <v>1429</v>
      </c>
      <c r="G83" s="37">
        <v>5</v>
      </c>
      <c r="I83">
        <v>76</v>
      </c>
      <c r="J83" s="41" t="s">
        <v>147</v>
      </c>
      <c r="K83" s="89">
        <f>5+6</f>
        <v>11</v>
      </c>
      <c r="M83" s="33">
        <v>76</v>
      </c>
      <c r="N83" s="152" t="s">
        <v>1403</v>
      </c>
      <c r="O83" s="153"/>
    </row>
    <row r="84" spans="1:15">
      <c r="A84">
        <v>77</v>
      </c>
      <c r="B84" s="41" t="s">
        <v>1240</v>
      </c>
      <c r="C84" s="89">
        <v>4</v>
      </c>
      <c r="D84" s="39">
        <v>77</v>
      </c>
      <c r="F84" s="41" t="s">
        <v>1340</v>
      </c>
      <c r="G84" s="37">
        <v>5</v>
      </c>
      <c r="I84">
        <v>77</v>
      </c>
      <c r="J84" s="41" t="s">
        <v>221</v>
      </c>
      <c r="K84" s="89">
        <f>2+6+1</f>
        <v>9</v>
      </c>
      <c r="M84" s="33">
        <v>77</v>
      </c>
      <c r="N84" s="152" t="s">
        <v>1415</v>
      </c>
      <c r="O84" s="153"/>
    </row>
    <row r="85" spans="1:15">
      <c r="A85">
        <v>78</v>
      </c>
      <c r="B85" s="41" t="s">
        <v>1371</v>
      </c>
      <c r="C85" s="37">
        <v>4</v>
      </c>
      <c r="D85" s="39">
        <v>78</v>
      </c>
      <c r="F85" s="41" t="s">
        <v>52</v>
      </c>
      <c r="G85" s="89">
        <v>4</v>
      </c>
      <c r="I85">
        <v>78</v>
      </c>
      <c r="J85" s="41" t="s">
        <v>52</v>
      </c>
      <c r="K85" s="89">
        <f>4+4</f>
        <v>8</v>
      </c>
      <c r="M85" s="33">
        <v>78</v>
      </c>
      <c r="N85" s="152" t="s">
        <v>1438</v>
      </c>
      <c r="O85" s="153"/>
    </row>
    <row r="86" spans="1:15">
      <c r="A86">
        <v>79</v>
      </c>
      <c r="B86" s="41" t="s">
        <v>1415</v>
      </c>
      <c r="C86" s="37">
        <v>3</v>
      </c>
      <c r="D86" s="39">
        <v>79</v>
      </c>
      <c r="F86" s="41" t="s">
        <v>1038</v>
      </c>
      <c r="G86" s="89">
        <v>4</v>
      </c>
      <c r="I86">
        <v>79</v>
      </c>
      <c r="J86" s="41" t="s">
        <v>169</v>
      </c>
      <c r="K86" s="89">
        <f>1+5+2</f>
        <v>8</v>
      </c>
      <c r="M86" s="33">
        <v>79</v>
      </c>
      <c r="N86" s="152" t="s">
        <v>1429</v>
      </c>
      <c r="O86" s="2"/>
    </row>
    <row r="87" spans="1:15">
      <c r="A87">
        <v>80</v>
      </c>
      <c r="B87" s="41" t="s">
        <v>1438</v>
      </c>
      <c r="C87" s="37">
        <v>3</v>
      </c>
      <c r="D87" s="39">
        <v>80</v>
      </c>
      <c r="F87" s="41" t="s">
        <v>1034</v>
      </c>
      <c r="G87" s="89">
        <v>4</v>
      </c>
      <c r="I87">
        <v>80</v>
      </c>
      <c r="J87" s="41" t="s">
        <v>1205</v>
      </c>
      <c r="K87" s="37">
        <v>8</v>
      </c>
      <c r="M87" s="33">
        <v>80</v>
      </c>
      <c r="N87" s="152" t="s">
        <v>1434</v>
      </c>
      <c r="O87" s="153"/>
    </row>
    <row r="88" spans="1:15">
      <c r="A88">
        <v>81</v>
      </c>
      <c r="B88" s="41" t="s">
        <v>1510</v>
      </c>
      <c r="C88" s="37">
        <v>3</v>
      </c>
      <c r="D88" s="39">
        <v>81</v>
      </c>
      <c r="F88" s="41" t="s">
        <v>227</v>
      </c>
      <c r="G88" s="89">
        <f>1+1+2</f>
        <v>4</v>
      </c>
      <c r="I88">
        <v>81</v>
      </c>
      <c r="J88" s="41" t="s">
        <v>212</v>
      </c>
      <c r="K88" s="89">
        <f>4+3</f>
        <v>7</v>
      </c>
      <c r="M88" s="33">
        <v>81</v>
      </c>
      <c r="N88" s="152" t="s">
        <v>1476</v>
      </c>
      <c r="O88" s="2"/>
    </row>
    <row r="89" spans="1:15">
      <c r="A89">
        <v>82</v>
      </c>
      <c r="B89" s="41" t="s">
        <v>1500</v>
      </c>
      <c r="C89" s="37">
        <v>3</v>
      </c>
      <c r="D89" s="39">
        <v>82</v>
      </c>
      <c r="F89" s="41" t="s">
        <v>1245</v>
      </c>
      <c r="G89" s="37">
        <v>4</v>
      </c>
      <c r="I89">
        <v>82</v>
      </c>
      <c r="J89" s="41" t="s">
        <v>1438</v>
      </c>
      <c r="K89" s="89">
        <v>7</v>
      </c>
      <c r="M89" s="33">
        <v>82</v>
      </c>
      <c r="N89" s="152" t="s">
        <v>1490</v>
      </c>
      <c r="O89" s="153"/>
    </row>
    <row r="90" spans="1:15">
      <c r="A90">
        <v>83</v>
      </c>
      <c r="B90" s="41" t="s">
        <v>221</v>
      </c>
      <c r="C90" s="89">
        <v>2</v>
      </c>
      <c r="D90" s="39">
        <v>83</v>
      </c>
      <c r="F90" s="41" t="s">
        <v>1438</v>
      </c>
      <c r="G90" s="37">
        <v>4</v>
      </c>
      <c r="I90">
        <v>83</v>
      </c>
      <c r="J90" s="41" t="s">
        <v>1046</v>
      </c>
      <c r="K90" s="37">
        <v>7</v>
      </c>
      <c r="M90" s="33">
        <v>83</v>
      </c>
      <c r="N90" s="152" t="s">
        <v>1491</v>
      </c>
      <c r="O90" s="153"/>
    </row>
    <row r="91" spans="1:15">
      <c r="A91">
        <v>84</v>
      </c>
      <c r="B91" s="41" t="s">
        <v>1490</v>
      </c>
      <c r="C91" s="37">
        <v>2</v>
      </c>
      <c r="D91" s="39">
        <v>84</v>
      </c>
      <c r="F91" s="41" t="s">
        <v>1485</v>
      </c>
      <c r="G91" s="37">
        <v>4</v>
      </c>
      <c r="I91">
        <v>84</v>
      </c>
      <c r="J91" s="41" t="s">
        <v>1533</v>
      </c>
      <c r="K91" s="37">
        <v>7</v>
      </c>
      <c r="M91" s="33">
        <v>84</v>
      </c>
      <c r="N91" s="152" t="s">
        <v>1502</v>
      </c>
    </row>
    <row r="92" spans="1:15">
      <c r="A92">
        <v>85</v>
      </c>
      <c r="B92" s="41" t="s">
        <v>169</v>
      </c>
      <c r="C92" s="89">
        <v>1</v>
      </c>
      <c r="D92" s="39">
        <v>85</v>
      </c>
      <c r="F92" s="102" t="s">
        <v>1532</v>
      </c>
      <c r="G92" s="37">
        <v>4</v>
      </c>
      <c r="I92">
        <v>85</v>
      </c>
      <c r="J92" s="41" t="s">
        <v>46</v>
      </c>
      <c r="K92" s="89">
        <f>4+2</f>
        <v>6</v>
      </c>
      <c r="M92" s="33">
        <v>85</v>
      </c>
      <c r="N92" s="152" t="s">
        <v>1371</v>
      </c>
    </row>
    <row r="93" spans="1:15">
      <c r="A93">
        <v>86</v>
      </c>
      <c r="B93" s="41" t="s">
        <v>222</v>
      </c>
      <c r="C93" s="89">
        <v>1</v>
      </c>
      <c r="D93" s="39">
        <v>86</v>
      </c>
      <c r="F93" s="41" t="s">
        <v>7</v>
      </c>
      <c r="G93" s="89">
        <f>1+1+1</f>
        <v>3</v>
      </c>
      <c r="I93">
        <v>86</v>
      </c>
      <c r="J93" s="59" t="s">
        <v>1040</v>
      </c>
      <c r="K93" s="89">
        <v>6</v>
      </c>
      <c r="M93" s="33">
        <v>86</v>
      </c>
      <c r="N93" s="152" t="s">
        <v>1339</v>
      </c>
    </row>
    <row r="94" spans="1:15">
      <c r="A94">
        <v>87</v>
      </c>
      <c r="B94" s="41" t="s">
        <v>1107</v>
      </c>
      <c r="C94" s="89">
        <v>1</v>
      </c>
      <c r="D94" s="39">
        <v>87</v>
      </c>
      <c r="F94" s="41" t="s">
        <v>206</v>
      </c>
      <c r="G94" s="89">
        <v>3</v>
      </c>
      <c r="I94">
        <v>87</v>
      </c>
      <c r="J94" s="41" t="s">
        <v>1240</v>
      </c>
      <c r="K94" s="37">
        <v>6</v>
      </c>
      <c r="M94" s="33">
        <v>87</v>
      </c>
      <c r="N94" s="152" t="s">
        <v>1500</v>
      </c>
    </row>
    <row r="95" spans="1:15">
      <c r="A95">
        <v>88</v>
      </c>
      <c r="B95" s="41" t="s">
        <v>1402</v>
      </c>
      <c r="C95" s="37">
        <v>1</v>
      </c>
      <c r="D95" s="39">
        <v>88</v>
      </c>
      <c r="F95" s="41" t="s">
        <v>212</v>
      </c>
      <c r="G95" s="89">
        <v>3</v>
      </c>
      <c r="I95">
        <v>88</v>
      </c>
      <c r="J95" s="59" t="s">
        <v>1033</v>
      </c>
      <c r="K95" s="89">
        <v>5</v>
      </c>
      <c r="M95" s="33">
        <v>88</v>
      </c>
      <c r="N95" s="152" t="s">
        <v>1510</v>
      </c>
    </row>
    <row r="96" spans="1:15">
      <c r="A96">
        <v>89</v>
      </c>
      <c r="B96" s="41" t="s">
        <v>1502</v>
      </c>
      <c r="C96" s="37">
        <v>1</v>
      </c>
      <c r="D96" s="39">
        <v>89</v>
      </c>
      <c r="F96" s="41" t="s">
        <v>1491</v>
      </c>
      <c r="G96" s="37">
        <v>3</v>
      </c>
      <c r="I96">
        <v>89</v>
      </c>
      <c r="J96" s="41" t="s">
        <v>1510</v>
      </c>
      <c r="K96" s="37">
        <v>5</v>
      </c>
      <c r="M96" s="33">
        <v>89</v>
      </c>
      <c r="N96" s="152" t="s">
        <v>1533</v>
      </c>
    </row>
    <row r="97" spans="1:14" ht="13.5" thickBot="1">
      <c r="A97">
        <v>90</v>
      </c>
      <c r="B97" s="41" t="s">
        <v>1522</v>
      </c>
      <c r="C97" s="37">
        <v>1</v>
      </c>
      <c r="D97" s="39">
        <v>90</v>
      </c>
      <c r="F97" s="102" t="s">
        <v>1522</v>
      </c>
      <c r="G97" s="37">
        <v>3</v>
      </c>
      <c r="I97">
        <v>90</v>
      </c>
      <c r="J97" s="41" t="s">
        <v>1038</v>
      </c>
      <c r="K97" s="37">
        <v>4</v>
      </c>
      <c r="M97" s="34">
        <v>90</v>
      </c>
      <c r="N97" s="157" t="s">
        <v>1522</v>
      </c>
    </row>
    <row r="98" spans="1:14" ht="13.5" thickBot="1">
      <c r="B98" s="149"/>
      <c r="C98" s="22">
        <f>SUM(C8:C97)</f>
        <v>4275</v>
      </c>
      <c r="D98" s="39">
        <v>91</v>
      </c>
      <c r="F98" s="41" t="s">
        <v>46</v>
      </c>
      <c r="G98" s="89">
        <v>2</v>
      </c>
      <c r="I98">
        <v>91</v>
      </c>
      <c r="J98" s="41" t="s">
        <v>1034</v>
      </c>
      <c r="K98" s="37">
        <f>3+1</f>
        <v>4</v>
      </c>
    </row>
    <row r="99" spans="1:14">
      <c r="D99" s="39">
        <v>92</v>
      </c>
      <c r="F99" s="41" t="s">
        <v>1039</v>
      </c>
      <c r="G99" s="89">
        <v>2</v>
      </c>
      <c r="I99">
        <v>92</v>
      </c>
      <c r="J99" s="41" t="s">
        <v>227</v>
      </c>
      <c r="K99" s="37">
        <f>1+1+2</f>
        <v>4</v>
      </c>
    </row>
    <row r="100" spans="1:14">
      <c r="C100" s="1">
        <f>+C4*15</f>
        <v>4275</v>
      </c>
      <c r="D100" s="39">
        <v>93</v>
      </c>
      <c r="F100" s="41" t="s">
        <v>1037</v>
      </c>
      <c r="G100" s="89">
        <v>2</v>
      </c>
      <c r="I100">
        <v>93</v>
      </c>
      <c r="J100" s="41" t="s">
        <v>1415</v>
      </c>
      <c r="K100" s="37">
        <v>4</v>
      </c>
      <c r="M100" s="44" t="s">
        <v>1050</v>
      </c>
    </row>
    <row r="101" spans="1:14">
      <c r="D101" s="39">
        <v>94</v>
      </c>
      <c r="F101" s="41" t="s">
        <v>1036</v>
      </c>
      <c r="G101" s="89">
        <v>2</v>
      </c>
      <c r="I101">
        <v>94</v>
      </c>
      <c r="J101" s="41" t="s">
        <v>1485</v>
      </c>
      <c r="K101" s="37">
        <v>4</v>
      </c>
      <c r="M101" s="44">
        <v>1</v>
      </c>
      <c r="N101" s="39" t="s">
        <v>1047</v>
      </c>
    </row>
    <row r="102" spans="1:14">
      <c r="D102" s="39">
        <v>95</v>
      </c>
      <c r="F102" s="41" t="s">
        <v>1240</v>
      </c>
      <c r="G102" s="37">
        <v>2</v>
      </c>
      <c r="I102">
        <v>95</v>
      </c>
      <c r="J102" s="102" t="s">
        <v>1522</v>
      </c>
      <c r="K102" s="37">
        <v>4</v>
      </c>
      <c r="M102" s="44">
        <v>2</v>
      </c>
      <c r="N102" s="39" t="s">
        <v>1043</v>
      </c>
    </row>
    <row r="103" spans="1:14">
      <c r="D103" s="39">
        <v>96</v>
      </c>
      <c r="F103" s="41" t="s">
        <v>1409</v>
      </c>
      <c r="G103" s="37">
        <v>2</v>
      </c>
      <c r="I103">
        <v>96</v>
      </c>
      <c r="J103" s="102" t="s">
        <v>1530</v>
      </c>
      <c r="K103" s="89">
        <v>4</v>
      </c>
      <c r="M103" s="44">
        <v>3</v>
      </c>
      <c r="N103" s="39" t="s">
        <v>1036</v>
      </c>
    </row>
    <row r="104" spans="1:14">
      <c r="D104" s="39">
        <v>97</v>
      </c>
      <c r="F104" s="41" t="s">
        <v>1510</v>
      </c>
      <c r="G104" s="37">
        <v>2</v>
      </c>
      <c r="I104">
        <v>97</v>
      </c>
      <c r="J104" s="41" t="s">
        <v>1039</v>
      </c>
      <c r="K104" s="37">
        <v>2</v>
      </c>
      <c r="M104" s="44">
        <v>4</v>
      </c>
      <c r="N104" s="39" t="s">
        <v>166</v>
      </c>
    </row>
    <row r="105" spans="1:14">
      <c r="D105" s="39">
        <v>98</v>
      </c>
      <c r="F105" s="41" t="s">
        <v>1533</v>
      </c>
      <c r="G105" s="37">
        <v>2</v>
      </c>
      <c r="I105">
        <v>98</v>
      </c>
      <c r="J105" s="41" t="s">
        <v>1037</v>
      </c>
      <c r="K105" s="37">
        <v>2</v>
      </c>
      <c r="M105" s="44">
        <v>5</v>
      </c>
      <c r="N105" s="39" t="s">
        <v>1046</v>
      </c>
    </row>
    <row r="106" spans="1:14">
      <c r="D106" s="39">
        <v>99</v>
      </c>
      <c r="F106" s="41" t="s">
        <v>166</v>
      </c>
      <c r="G106" s="89">
        <v>1</v>
      </c>
      <c r="I106">
        <v>99</v>
      </c>
      <c r="J106" s="41" t="s">
        <v>222</v>
      </c>
      <c r="K106" s="89">
        <f>1+1</f>
        <v>2</v>
      </c>
      <c r="M106" s="44">
        <v>6</v>
      </c>
      <c r="N106" s="39" t="s">
        <v>1037</v>
      </c>
    </row>
    <row r="107" spans="1:14">
      <c r="D107" s="39">
        <v>101</v>
      </c>
      <c r="F107" s="41" t="s">
        <v>1043</v>
      </c>
      <c r="G107" s="89">
        <v>1</v>
      </c>
      <c r="I107">
        <v>100</v>
      </c>
      <c r="J107" s="41" t="s">
        <v>1036</v>
      </c>
      <c r="K107" s="37">
        <v>2</v>
      </c>
      <c r="M107" s="44">
        <v>7</v>
      </c>
      <c r="N107" s="39" t="s">
        <v>1039</v>
      </c>
    </row>
    <row r="108" spans="1:14">
      <c r="D108" s="39">
        <v>102</v>
      </c>
      <c r="F108" s="41" t="s">
        <v>222</v>
      </c>
      <c r="G108" s="89">
        <v>1</v>
      </c>
      <c r="I108">
        <v>101</v>
      </c>
      <c r="J108" s="41" t="s">
        <v>1409</v>
      </c>
      <c r="K108" s="37">
        <v>2</v>
      </c>
      <c r="M108" s="44">
        <v>8</v>
      </c>
      <c r="N108" s="39" t="s">
        <v>227</v>
      </c>
    </row>
    <row r="109" spans="1:14">
      <c r="D109" s="39">
        <v>103</v>
      </c>
      <c r="F109" s="41" t="s">
        <v>1047</v>
      </c>
      <c r="G109" s="89">
        <v>1</v>
      </c>
      <c r="I109">
        <v>102</v>
      </c>
      <c r="J109" s="41" t="s">
        <v>1490</v>
      </c>
      <c r="K109" s="37">
        <v>2</v>
      </c>
      <c r="M109" s="44">
        <v>9</v>
      </c>
      <c r="N109" s="39" t="s">
        <v>1034</v>
      </c>
    </row>
    <row r="110" spans="1:14">
      <c r="D110" s="39">
        <v>104</v>
      </c>
      <c r="F110" s="41" t="s">
        <v>1391</v>
      </c>
      <c r="G110" s="37">
        <v>1</v>
      </c>
      <c r="I110">
        <v>103</v>
      </c>
      <c r="J110" s="41" t="s">
        <v>1502</v>
      </c>
      <c r="K110" s="37">
        <v>2</v>
      </c>
      <c r="M110" s="44">
        <v>10</v>
      </c>
      <c r="N110" s="39" t="s">
        <v>1051</v>
      </c>
    </row>
    <row r="111" spans="1:14">
      <c r="D111" s="39">
        <v>105</v>
      </c>
      <c r="F111" s="41" t="s">
        <v>1415</v>
      </c>
      <c r="G111" s="37">
        <v>1</v>
      </c>
      <c r="I111">
        <v>104</v>
      </c>
      <c r="J111" s="41" t="s">
        <v>1043</v>
      </c>
      <c r="K111" s="89">
        <v>1</v>
      </c>
      <c r="M111" s="44">
        <v>11</v>
      </c>
      <c r="N111" s="39" t="s">
        <v>1033</v>
      </c>
    </row>
    <row r="112" spans="1:14">
      <c r="D112" s="39">
        <v>106</v>
      </c>
      <c r="F112" s="41" t="s">
        <v>1502</v>
      </c>
      <c r="G112" s="37">
        <v>1</v>
      </c>
      <c r="I112">
        <v>105</v>
      </c>
      <c r="J112" s="41" t="s">
        <v>166</v>
      </c>
      <c r="K112" s="89">
        <v>1</v>
      </c>
      <c r="M112" s="44">
        <v>12</v>
      </c>
      <c r="N112" s="39" t="s">
        <v>1052</v>
      </c>
    </row>
    <row r="113" spans="4:14">
      <c r="D113" s="39">
        <v>107</v>
      </c>
      <c r="F113" s="41" t="s">
        <v>1528</v>
      </c>
      <c r="G113" s="37">
        <v>1</v>
      </c>
      <c r="I113">
        <v>106</v>
      </c>
      <c r="J113" s="41" t="s">
        <v>1047</v>
      </c>
      <c r="K113" s="37">
        <v>1</v>
      </c>
      <c r="M113" s="44">
        <v>13</v>
      </c>
      <c r="N113" s="39" t="s">
        <v>156</v>
      </c>
    </row>
    <row r="114" spans="4:14" ht="13.5" thickBot="1">
      <c r="F114" s="7"/>
      <c r="G114" s="22">
        <f>SUM(G8:G113)</f>
        <v>1410</v>
      </c>
      <c r="I114">
        <v>107</v>
      </c>
      <c r="J114" s="41" t="s">
        <v>1391</v>
      </c>
      <c r="K114" s="37">
        <v>1</v>
      </c>
      <c r="M114" s="44">
        <v>14</v>
      </c>
      <c r="N114" s="39" t="s">
        <v>1205</v>
      </c>
    </row>
    <row r="115" spans="4:14">
      <c r="I115">
        <v>108</v>
      </c>
      <c r="J115" s="41" t="s">
        <v>1402</v>
      </c>
      <c r="K115" s="37">
        <v>1</v>
      </c>
      <c r="M115" s="44">
        <v>15</v>
      </c>
      <c r="N115" s="39" t="s">
        <v>1391</v>
      </c>
    </row>
    <row r="116" spans="4:14" ht="13.5" thickBot="1">
      <c r="F116">
        <v>21</v>
      </c>
      <c r="G116" s="1">
        <v>2014</v>
      </c>
      <c r="I116">
        <v>109</v>
      </c>
      <c r="J116" s="149" t="s">
        <v>1528</v>
      </c>
      <c r="K116" s="22">
        <v>1</v>
      </c>
      <c r="M116" s="44">
        <v>16</v>
      </c>
      <c r="N116" s="39" t="s">
        <v>1409</v>
      </c>
    </row>
    <row r="117" spans="4:14">
      <c r="F117">
        <v>25</v>
      </c>
      <c r="G117" s="1">
        <v>2015</v>
      </c>
      <c r="J117" s="45"/>
      <c r="K117">
        <f>SUM(K8:K116)</f>
        <v>5685</v>
      </c>
      <c r="M117" s="44">
        <v>17</v>
      </c>
      <c r="N117" s="39" t="s">
        <v>1485</v>
      </c>
    </row>
    <row r="118" spans="4:14">
      <c r="F118">
        <v>23</v>
      </c>
      <c r="G118" s="1">
        <v>2016</v>
      </c>
      <c r="J118" s="45"/>
      <c r="K118">
        <f>+G114+C98</f>
        <v>5685</v>
      </c>
      <c r="M118" s="1">
        <v>18</v>
      </c>
      <c r="N118" s="39" t="s">
        <v>1528</v>
      </c>
    </row>
    <row r="119" spans="4:14">
      <c r="F119">
        <v>26</v>
      </c>
      <c r="G119" s="1">
        <v>2017</v>
      </c>
      <c r="J119" s="45"/>
      <c r="M119" s="1">
        <v>19</v>
      </c>
      <c r="N119" s="39" t="s">
        <v>1530</v>
      </c>
    </row>
    <row r="120" spans="4:14">
      <c r="F120">
        <v>26</v>
      </c>
      <c r="G120" s="1">
        <v>2018</v>
      </c>
      <c r="J120" s="45"/>
      <c r="K120">
        <f>+K118-K117</f>
        <v>0</v>
      </c>
    </row>
    <row r="121" spans="4:14">
      <c r="F121">
        <v>26</v>
      </c>
      <c r="G121" s="1">
        <v>2019</v>
      </c>
      <c r="J121" s="45"/>
    </row>
    <row r="122" spans="4:14">
      <c r="F122">
        <v>15</v>
      </c>
      <c r="G122" s="1">
        <v>2021</v>
      </c>
      <c r="J122" s="45"/>
      <c r="M122" s="44"/>
    </row>
    <row r="123" spans="4:14">
      <c r="F123">
        <v>26</v>
      </c>
      <c r="G123" s="1">
        <v>2022</v>
      </c>
      <c r="J123" s="45"/>
      <c r="M123" s="44"/>
    </row>
    <row r="124" spans="4:14">
      <c r="F124">
        <v>27</v>
      </c>
      <c r="G124" s="1">
        <v>2023</v>
      </c>
      <c r="J124" s="45"/>
      <c r="M124" s="44"/>
    </row>
    <row r="125" spans="4:14">
      <c r="F125">
        <v>26</v>
      </c>
      <c r="G125" s="1">
        <v>2024</v>
      </c>
      <c r="J125" s="45"/>
      <c r="M125" s="44"/>
    </row>
    <row r="126" spans="4:14">
      <c r="F126">
        <v>26</v>
      </c>
      <c r="G126" s="1">
        <v>2025</v>
      </c>
      <c r="J126" s="45"/>
      <c r="M126" s="44"/>
    </row>
    <row r="127" spans="4:14">
      <c r="F127">
        <f>+C4-F116-F117-F118-F119-F120-F121-F122-F123-F124-F125-F126</f>
        <v>18</v>
      </c>
      <c r="G127" s="1">
        <v>2026</v>
      </c>
      <c r="J127" s="45"/>
      <c r="M127" s="44"/>
    </row>
    <row r="128" spans="4:14">
      <c r="F128">
        <f>SUM(F116:F127)</f>
        <v>285</v>
      </c>
      <c r="J128" s="45"/>
      <c r="M128" s="44"/>
    </row>
    <row r="129" spans="10:13">
      <c r="J129" s="45"/>
      <c r="M129" s="44"/>
    </row>
    <row r="130" spans="10:13">
      <c r="J130" s="45"/>
      <c r="M130" s="44"/>
    </row>
    <row r="131" spans="10:13">
      <c r="M131" s="44"/>
    </row>
    <row r="132" spans="10:13">
      <c r="M132" s="44"/>
    </row>
    <row r="133" spans="10:13">
      <c r="M133" s="44"/>
    </row>
    <row r="134" spans="10:13">
      <c r="M134" s="44"/>
    </row>
    <row r="135" spans="10:13">
      <c r="M135" s="44"/>
    </row>
    <row r="136" spans="10:13">
      <c r="M136" s="44"/>
    </row>
    <row r="137" spans="10:13">
      <c r="M137" s="44"/>
    </row>
    <row r="138" spans="10:13">
      <c r="M138" s="44"/>
    </row>
    <row r="139" spans="10:13">
      <c r="M139" s="124"/>
    </row>
    <row r="140" spans="10:13">
      <c r="M140" s="44"/>
    </row>
    <row r="141" spans="10:13">
      <c r="M141" s="44"/>
    </row>
    <row r="142" spans="10:13">
      <c r="M142" s="44"/>
    </row>
    <row r="143" spans="10:13">
      <c r="M143" s="44"/>
    </row>
    <row r="144" spans="10:13">
      <c r="M144" s="44"/>
    </row>
    <row r="145" spans="13:14">
      <c r="M145" s="44"/>
    </row>
    <row r="148" spans="13:14">
      <c r="N148">
        <v>11</v>
      </c>
    </row>
  </sheetData>
  <sortState xmlns:xlrd2="http://schemas.microsoft.com/office/spreadsheetml/2017/richdata2" ref="J9:K116">
    <sortCondition descending="1" ref="K9:K116"/>
  </sortState>
  <pageMargins left="0.7" right="0.7" top="0.75" bottom="0.75" header="0.3" footer="0.3"/>
  <pageSetup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C31"/>
  <sheetViews>
    <sheetView topLeftCell="L3" workbookViewId="0">
      <selection activeCell="T30" sqref="T30"/>
    </sheetView>
  </sheetViews>
  <sheetFormatPr baseColWidth="10" defaultRowHeight="12.75"/>
  <cols>
    <col min="2" max="2" width="26" bestFit="1" customWidth="1"/>
    <col min="3" max="10" width="17.7109375" customWidth="1"/>
    <col min="11" max="11" width="19.7109375" bestFit="1" customWidth="1"/>
    <col min="12" max="28" width="17.7109375" customWidth="1"/>
    <col min="29" max="29" width="6.7109375" bestFit="1" customWidth="1"/>
  </cols>
  <sheetData>
    <row r="2" spans="2:29">
      <c r="C2" s="15" t="s">
        <v>43</v>
      </c>
    </row>
    <row r="3" spans="2:29">
      <c r="C3" s="15"/>
    </row>
    <row r="4" spans="2:29">
      <c r="C4" s="15" t="s">
        <v>1513</v>
      </c>
    </row>
    <row r="5" spans="2:29" ht="13.5" thickBot="1"/>
    <row r="6" spans="2:29" ht="13.5" thickBot="1">
      <c r="B6" s="36" t="s">
        <v>151</v>
      </c>
      <c r="C6" s="101" t="s">
        <v>185</v>
      </c>
      <c r="D6" s="85" t="s">
        <v>95</v>
      </c>
      <c r="E6" s="85" t="s">
        <v>114</v>
      </c>
      <c r="F6" s="85" t="s">
        <v>170</v>
      </c>
      <c r="G6" s="85" t="s">
        <v>127</v>
      </c>
      <c r="H6" s="85" t="s">
        <v>118</v>
      </c>
      <c r="I6" s="31" t="s">
        <v>1114</v>
      </c>
      <c r="J6" s="31" t="s">
        <v>126</v>
      </c>
      <c r="K6" s="36" t="s">
        <v>125</v>
      </c>
      <c r="L6" s="36" t="s">
        <v>106</v>
      </c>
      <c r="M6" s="36" t="s">
        <v>62</v>
      </c>
      <c r="N6" s="36" t="s">
        <v>1154</v>
      </c>
      <c r="O6" s="79" t="s">
        <v>91</v>
      </c>
      <c r="P6" s="43" t="s">
        <v>185</v>
      </c>
      <c r="Q6" s="36" t="s">
        <v>95</v>
      </c>
      <c r="R6" s="226" t="s">
        <v>114</v>
      </c>
      <c r="S6" s="36" t="s">
        <v>170</v>
      </c>
      <c r="T6" s="36" t="s">
        <v>127</v>
      </c>
      <c r="U6" s="227"/>
      <c r="V6" s="31"/>
      <c r="W6" s="31"/>
      <c r="X6" s="36"/>
      <c r="Y6" s="79"/>
      <c r="Z6" s="36"/>
      <c r="AA6" s="36"/>
      <c r="AB6" s="36"/>
      <c r="AC6" s="35" t="s">
        <v>44</v>
      </c>
    </row>
    <row r="7" spans="2:29">
      <c r="B7" s="173" t="s">
        <v>1434</v>
      </c>
      <c r="C7" s="73">
        <v>1</v>
      </c>
      <c r="D7" s="13">
        <v>1</v>
      </c>
      <c r="E7" s="13"/>
      <c r="F7" s="122"/>
      <c r="G7" s="122"/>
      <c r="H7" s="27"/>
      <c r="I7" s="63"/>
      <c r="J7" s="63"/>
      <c r="K7" s="63"/>
      <c r="L7" s="63"/>
      <c r="M7" s="63"/>
      <c r="N7" s="63"/>
      <c r="O7" s="63"/>
      <c r="P7" s="63"/>
      <c r="Q7" s="76"/>
      <c r="R7" s="76"/>
      <c r="S7" s="76"/>
      <c r="T7" s="76"/>
      <c r="U7" s="76"/>
      <c r="V7" s="76"/>
      <c r="W7" s="76"/>
      <c r="X7" s="76"/>
      <c r="Y7" s="76"/>
      <c r="Z7" s="29"/>
      <c r="AA7" s="230"/>
      <c r="AB7" s="29"/>
      <c r="AC7" s="37">
        <f>SUM(C7:AB7)</f>
        <v>2</v>
      </c>
    </row>
    <row r="8" spans="2:29">
      <c r="B8" s="173" t="s">
        <v>207</v>
      </c>
      <c r="C8" s="166">
        <v>1</v>
      </c>
      <c r="D8" s="13"/>
      <c r="E8" s="13"/>
      <c r="F8" s="13"/>
      <c r="G8" s="13"/>
      <c r="H8" s="27"/>
      <c r="I8" s="13"/>
      <c r="J8" s="13"/>
      <c r="K8" s="13"/>
      <c r="L8" s="13"/>
      <c r="M8" s="13"/>
      <c r="N8" s="13"/>
      <c r="O8" s="13"/>
      <c r="P8" s="13"/>
      <c r="Q8" s="62"/>
      <c r="R8" s="62"/>
      <c r="S8" s="62"/>
      <c r="T8" s="62"/>
      <c r="U8" s="62"/>
      <c r="V8" s="62"/>
      <c r="W8" s="62"/>
      <c r="X8" s="62"/>
      <c r="Y8" s="62"/>
      <c r="Z8" s="29"/>
      <c r="AA8" s="29"/>
      <c r="AB8" s="29"/>
      <c r="AC8" s="37">
        <f>SUM(C8:AB8)</f>
        <v>1</v>
      </c>
    </row>
    <row r="9" spans="2:29">
      <c r="B9" s="173" t="s">
        <v>1500</v>
      </c>
      <c r="C9" s="73"/>
      <c r="D9" s="13">
        <v>1</v>
      </c>
      <c r="E9" s="13"/>
      <c r="F9" s="13">
        <v>1</v>
      </c>
      <c r="G9" s="13"/>
      <c r="H9" s="27">
        <v>1</v>
      </c>
      <c r="I9" s="13"/>
      <c r="J9" s="13"/>
      <c r="K9" s="13"/>
      <c r="L9" s="13"/>
      <c r="M9" s="13"/>
      <c r="N9" s="13"/>
      <c r="O9" s="13"/>
      <c r="P9" s="13"/>
      <c r="Q9" s="62"/>
      <c r="R9" s="62"/>
      <c r="S9" s="62"/>
      <c r="T9" s="62"/>
      <c r="U9" s="62"/>
      <c r="V9" s="62"/>
      <c r="W9" s="62"/>
      <c r="X9" s="62"/>
      <c r="Y9" s="62"/>
      <c r="Z9" s="29"/>
      <c r="AA9" s="29"/>
      <c r="AB9" s="29"/>
      <c r="AC9" s="37">
        <f t="shared" ref="AC9:AC30" si="0">SUM(C9:AB9)</f>
        <v>3</v>
      </c>
    </row>
    <row r="10" spans="2:29">
      <c r="B10" s="173" t="s">
        <v>1172</v>
      </c>
      <c r="C10" s="73"/>
      <c r="D10" s="13"/>
      <c r="E10" s="13">
        <v>1</v>
      </c>
      <c r="F10" s="13"/>
      <c r="G10" s="13"/>
      <c r="H10" s="27"/>
      <c r="I10" s="13"/>
      <c r="J10" s="13"/>
      <c r="K10" s="13"/>
      <c r="L10" s="13"/>
      <c r="M10" s="13"/>
      <c r="N10" s="13"/>
      <c r="O10" s="13"/>
      <c r="P10" s="13"/>
      <c r="Q10" s="62"/>
      <c r="R10" s="62"/>
      <c r="S10" s="62"/>
      <c r="T10" s="62"/>
      <c r="U10" s="62"/>
      <c r="V10" s="62"/>
      <c r="W10" s="62"/>
      <c r="X10" s="62"/>
      <c r="Y10" s="62"/>
      <c r="Z10" s="29"/>
      <c r="AA10" s="29"/>
      <c r="AB10" s="29"/>
      <c r="AC10" s="37">
        <f t="shared" si="0"/>
        <v>1</v>
      </c>
    </row>
    <row r="11" spans="2:29">
      <c r="B11" s="173" t="s">
        <v>1522</v>
      </c>
      <c r="C11" s="73"/>
      <c r="D11" s="13"/>
      <c r="E11" s="13">
        <v>1</v>
      </c>
      <c r="F11" s="13"/>
      <c r="G11" s="13"/>
      <c r="H11" s="27"/>
      <c r="I11" s="13"/>
      <c r="J11" s="13"/>
      <c r="K11" s="13"/>
      <c r="L11" s="13"/>
      <c r="M11" s="13"/>
      <c r="N11" s="13"/>
      <c r="O11" s="13"/>
      <c r="P11" s="13"/>
      <c r="Q11" s="62"/>
      <c r="R11" s="62"/>
      <c r="S11" s="62"/>
      <c r="T11" s="62"/>
      <c r="U11" s="62"/>
      <c r="V11" s="62"/>
      <c r="W11" s="62"/>
      <c r="X11" s="62"/>
      <c r="Y11" s="62"/>
      <c r="Z11" s="29"/>
      <c r="AA11" s="29"/>
      <c r="AB11" s="29"/>
      <c r="AC11" s="37">
        <f t="shared" si="0"/>
        <v>1</v>
      </c>
    </row>
    <row r="12" spans="2:29">
      <c r="B12" s="173" t="s">
        <v>1105</v>
      </c>
      <c r="C12" s="166"/>
      <c r="D12" s="13"/>
      <c r="E12" s="13"/>
      <c r="F12" s="13">
        <v>1</v>
      </c>
      <c r="G12" s="13"/>
      <c r="H12" s="27"/>
      <c r="I12" s="13"/>
      <c r="J12" s="13"/>
      <c r="K12" s="13"/>
      <c r="L12" s="13"/>
      <c r="M12" s="13"/>
      <c r="N12" s="13"/>
      <c r="O12" s="13"/>
      <c r="P12" s="13"/>
      <c r="Q12" s="62"/>
      <c r="R12" s="62"/>
      <c r="S12" s="62"/>
      <c r="T12" s="62"/>
      <c r="U12" s="62"/>
      <c r="V12" s="62"/>
      <c r="W12" s="62"/>
      <c r="X12" s="62"/>
      <c r="Y12" s="62"/>
      <c r="Z12" s="29"/>
      <c r="AA12" s="29"/>
      <c r="AB12" s="29"/>
      <c r="AC12" s="37">
        <f t="shared" si="0"/>
        <v>1</v>
      </c>
    </row>
    <row r="13" spans="2:29">
      <c r="B13" s="173" t="s">
        <v>1095</v>
      </c>
      <c r="C13" s="166"/>
      <c r="D13" s="13"/>
      <c r="E13" s="13"/>
      <c r="F13" s="13">
        <v>1</v>
      </c>
      <c r="G13" s="13"/>
      <c r="H13" s="27"/>
      <c r="I13" s="169"/>
      <c r="J13" s="13"/>
      <c r="K13" s="13"/>
      <c r="L13" s="13">
        <v>1</v>
      </c>
      <c r="M13" s="13"/>
      <c r="N13" s="13"/>
      <c r="O13" s="13"/>
      <c r="P13" s="13"/>
      <c r="Q13" s="62"/>
      <c r="R13" s="62"/>
      <c r="S13" s="62"/>
      <c r="T13" s="62"/>
      <c r="U13" s="62"/>
      <c r="V13" s="62"/>
      <c r="W13" s="62"/>
      <c r="X13" s="62"/>
      <c r="Y13" s="62"/>
      <c r="Z13" s="29"/>
      <c r="AA13" s="29"/>
      <c r="AB13" s="29"/>
      <c r="AC13" s="37">
        <f t="shared" si="0"/>
        <v>2</v>
      </c>
    </row>
    <row r="14" spans="2:29">
      <c r="B14" s="173" t="s">
        <v>211</v>
      </c>
      <c r="C14" s="166"/>
      <c r="D14" s="13"/>
      <c r="E14" s="13"/>
      <c r="F14" s="13">
        <v>1</v>
      </c>
      <c r="G14" s="13"/>
      <c r="H14" s="27"/>
      <c r="I14" s="169"/>
      <c r="J14" s="13"/>
      <c r="K14" s="13"/>
      <c r="L14" s="13"/>
      <c r="M14" s="13"/>
      <c r="N14" s="13"/>
      <c r="O14" s="13"/>
      <c r="P14" s="13"/>
      <c r="Q14" s="62"/>
      <c r="R14" s="62"/>
      <c r="S14" s="62"/>
      <c r="T14" s="62"/>
      <c r="U14" s="62"/>
      <c r="V14" s="62"/>
      <c r="W14" s="62"/>
      <c r="X14" s="62"/>
      <c r="Y14" s="62"/>
      <c r="Z14" s="29"/>
      <c r="AA14" s="29"/>
      <c r="AB14" s="29"/>
      <c r="AC14" s="37">
        <f t="shared" si="0"/>
        <v>1</v>
      </c>
    </row>
    <row r="15" spans="2:29">
      <c r="B15" s="167" t="s">
        <v>1329</v>
      </c>
      <c r="C15" s="166"/>
      <c r="D15" s="13"/>
      <c r="E15" s="13"/>
      <c r="F15" s="13"/>
      <c r="G15" s="13"/>
      <c r="H15" s="233">
        <v>1</v>
      </c>
      <c r="I15" s="169"/>
      <c r="J15" s="13"/>
      <c r="K15" s="13">
        <v>1</v>
      </c>
      <c r="L15" s="13"/>
      <c r="M15" s="13"/>
      <c r="N15" s="13"/>
      <c r="O15" s="13"/>
      <c r="P15" s="13"/>
      <c r="Q15" s="62"/>
      <c r="R15" s="62"/>
      <c r="S15" s="62"/>
      <c r="T15" s="62"/>
      <c r="U15" s="62"/>
      <c r="V15" s="62"/>
      <c r="W15" s="62"/>
      <c r="X15" s="62"/>
      <c r="Y15" s="62"/>
      <c r="Z15" s="29"/>
      <c r="AA15" s="29"/>
      <c r="AB15" s="29"/>
      <c r="AC15" s="37">
        <f t="shared" si="0"/>
        <v>2</v>
      </c>
    </row>
    <row r="16" spans="2:29">
      <c r="B16" s="167" t="s">
        <v>1476</v>
      </c>
      <c r="C16" s="166"/>
      <c r="D16" s="13"/>
      <c r="E16" s="13"/>
      <c r="F16" s="13"/>
      <c r="G16" s="13"/>
      <c r="H16" s="27"/>
      <c r="I16" s="122">
        <v>1</v>
      </c>
      <c r="J16" s="13"/>
      <c r="K16" s="13"/>
      <c r="L16" s="13"/>
      <c r="M16" s="13"/>
      <c r="N16" s="13"/>
      <c r="O16" s="13"/>
      <c r="P16" s="13"/>
      <c r="Q16" s="62">
        <v>1</v>
      </c>
      <c r="R16" s="62"/>
      <c r="S16" s="62"/>
      <c r="T16" s="62"/>
      <c r="U16" s="62"/>
      <c r="V16" s="62"/>
      <c r="W16" s="62"/>
      <c r="X16" s="62"/>
      <c r="Y16" s="62"/>
      <c r="Z16" s="29"/>
      <c r="AA16" s="29"/>
      <c r="AB16" s="29"/>
      <c r="AC16" s="37">
        <f t="shared" si="0"/>
        <v>2</v>
      </c>
    </row>
    <row r="17" spans="2:29">
      <c r="B17" s="167" t="s">
        <v>234</v>
      </c>
      <c r="C17" s="166"/>
      <c r="D17" s="13"/>
      <c r="E17" s="13"/>
      <c r="F17" s="13"/>
      <c r="G17" s="13"/>
      <c r="H17" s="27"/>
      <c r="I17" s="169"/>
      <c r="J17" s="13">
        <v>1</v>
      </c>
      <c r="K17" s="13">
        <v>1</v>
      </c>
      <c r="L17" s="13"/>
      <c r="M17" s="13"/>
      <c r="N17" s="13"/>
      <c r="O17" s="13"/>
      <c r="P17" s="13"/>
      <c r="Q17" s="62"/>
      <c r="R17" s="62"/>
      <c r="S17" s="62"/>
      <c r="T17" s="62"/>
      <c r="U17" s="62"/>
      <c r="V17" s="62"/>
      <c r="W17" s="62"/>
      <c r="X17" s="62"/>
      <c r="Y17" s="62"/>
      <c r="Z17" s="29"/>
      <c r="AA17" s="29"/>
      <c r="AB17" s="29"/>
      <c r="AC17" s="37">
        <f t="shared" si="0"/>
        <v>2</v>
      </c>
    </row>
    <row r="18" spans="2:29" hidden="1">
      <c r="B18" s="167"/>
      <c r="C18" s="166"/>
      <c r="D18" s="13"/>
      <c r="E18" s="13"/>
      <c r="F18" s="13"/>
      <c r="G18" s="13"/>
      <c r="H18" s="27"/>
      <c r="I18" s="169"/>
      <c r="J18" s="13"/>
      <c r="K18" s="13"/>
      <c r="L18" s="13"/>
      <c r="M18" s="13"/>
      <c r="N18" s="13"/>
      <c r="O18" s="13"/>
      <c r="P18" s="13"/>
      <c r="Q18" s="62"/>
      <c r="R18" s="62"/>
      <c r="S18" s="62"/>
      <c r="T18" s="62"/>
      <c r="U18" s="62"/>
      <c r="V18" s="62"/>
      <c r="W18" s="62"/>
      <c r="X18" s="62"/>
      <c r="Y18" s="62"/>
      <c r="Z18" s="29"/>
      <c r="AA18" s="29"/>
      <c r="AB18" s="29"/>
      <c r="AC18" s="37">
        <f t="shared" si="0"/>
        <v>0</v>
      </c>
    </row>
    <row r="19" spans="2:29" hidden="1">
      <c r="B19" s="167"/>
      <c r="C19" s="166"/>
      <c r="D19" s="13"/>
      <c r="E19" s="13"/>
      <c r="F19" s="13"/>
      <c r="G19" s="13"/>
      <c r="H19" s="27"/>
      <c r="I19" s="169"/>
      <c r="J19" s="13"/>
      <c r="K19" s="13"/>
      <c r="L19" s="13"/>
      <c r="M19" s="13"/>
      <c r="N19" s="13"/>
      <c r="O19" s="13"/>
      <c r="P19" s="13"/>
      <c r="Q19" s="62"/>
      <c r="R19" s="62"/>
      <c r="S19" s="62"/>
      <c r="T19" s="62"/>
      <c r="U19" s="62"/>
      <c r="V19" s="62"/>
      <c r="W19" s="62"/>
      <c r="X19" s="62"/>
      <c r="Y19" s="62"/>
      <c r="Z19" s="29"/>
      <c r="AA19" s="29"/>
      <c r="AB19" s="29"/>
      <c r="AC19" s="37">
        <f t="shared" si="0"/>
        <v>0</v>
      </c>
    </row>
    <row r="20" spans="2:29" hidden="1">
      <c r="B20" s="167"/>
      <c r="C20" s="166"/>
      <c r="D20" s="13"/>
      <c r="E20" s="13"/>
      <c r="F20" s="13"/>
      <c r="G20" s="13"/>
      <c r="H20" s="27"/>
      <c r="I20" s="169"/>
      <c r="J20" s="13"/>
      <c r="K20" s="13"/>
      <c r="L20" s="13"/>
      <c r="M20" s="13"/>
      <c r="N20" s="13"/>
      <c r="O20" s="13"/>
      <c r="P20" s="13"/>
      <c r="Q20" s="62"/>
      <c r="R20" s="62"/>
      <c r="S20" s="62"/>
      <c r="T20" s="62"/>
      <c r="U20" s="62"/>
      <c r="V20" s="62"/>
      <c r="W20" s="62"/>
      <c r="X20" s="62"/>
      <c r="Y20" s="62"/>
      <c r="Z20" s="29"/>
      <c r="AA20" s="29"/>
      <c r="AB20" s="29"/>
      <c r="AC20" s="37">
        <f t="shared" si="0"/>
        <v>0</v>
      </c>
    </row>
    <row r="21" spans="2:29" hidden="1">
      <c r="B21" s="178"/>
      <c r="C21" s="166"/>
      <c r="D21" s="13"/>
      <c r="E21" s="13"/>
      <c r="F21" s="13"/>
      <c r="G21" s="13"/>
      <c r="H21" s="27"/>
      <c r="I21" s="169"/>
      <c r="J21" s="13"/>
      <c r="K21" s="13"/>
      <c r="L21" s="13"/>
      <c r="M21" s="13"/>
      <c r="N21" s="13"/>
      <c r="O21" s="13"/>
      <c r="P21" s="13"/>
      <c r="Q21" s="62"/>
      <c r="R21" s="62"/>
      <c r="S21" s="62"/>
      <c r="T21" s="62"/>
      <c r="U21" s="62"/>
      <c r="V21" s="62"/>
      <c r="W21" s="62"/>
      <c r="X21" s="62"/>
      <c r="Y21" s="62"/>
      <c r="Z21" s="29"/>
      <c r="AA21" s="29"/>
      <c r="AB21" s="29"/>
      <c r="AC21" s="37">
        <f t="shared" si="0"/>
        <v>0</v>
      </c>
    </row>
    <row r="22" spans="2:29" hidden="1">
      <c r="B22" s="167"/>
      <c r="C22" s="166"/>
      <c r="D22" s="13"/>
      <c r="E22" s="13"/>
      <c r="F22" s="13"/>
      <c r="G22" s="13"/>
      <c r="H22" s="27"/>
      <c r="I22" s="169"/>
      <c r="J22" s="13"/>
      <c r="K22" s="13"/>
      <c r="L22" s="13"/>
      <c r="M22" s="13"/>
      <c r="N22" s="13"/>
      <c r="O22" s="13"/>
      <c r="P22" s="13"/>
      <c r="Q22" s="62"/>
      <c r="R22" s="62"/>
      <c r="S22" s="62"/>
      <c r="T22" s="62"/>
      <c r="U22" s="62"/>
      <c r="V22" s="62"/>
      <c r="W22" s="62"/>
      <c r="X22" s="62"/>
      <c r="Y22" s="62"/>
      <c r="Z22" s="29"/>
      <c r="AA22" s="29"/>
      <c r="AB22" s="29"/>
      <c r="AC22" s="37">
        <f t="shared" si="0"/>
        <v>0</v>
      </c>
    </row>
    <row r="23" spans="2:29" hidden="1">
      <c r="B23" s="167"/>
      <c r="C23" s="166"/>
      <c r="D23" s="13"/>
      <c r="E23" s="13"/>
      <c r="F23" s="13"/>
      <c r="G23" s="13"/>
      <c r="H23" s="27"/>
      <c r="I23" s="169"/>
      <c r="J23" s="13"/>
      <c r="K23" s="13"/>
      <c r="L23" s="13"/>
      <c r="M23" s="13"/>
      <c r="N23" s="13"/>
      <c r="O23" s="13"/>
      <c r="P23" s="13"/>
      <c r="Q23" s="62"/>
      <c r="R23" s="62"/>
      <c r="S23" s="62"/>
      <c r="T23" s="62"/>
      <c r="U23" s="62"/>
      <c r="V23" s="62"/>
      <c r="W23" s="62"/>
      <c r="X23" s="62"/>
      <c r="Y23" s="62"/>
      <c r="Z23" s="29"/>
      <c r="AA23" s="29"/>
      <c r="AB23" s="29"/>
      <c r="AC23" s="37">
        <f t="shared" si="0"/>
        <v>0</v>
      </c>
    </row>
    <row r="24" spans="2:29" hidden="1">
      <c r="B24" s="29"/>
      <c r="C24" s="166"/>
      <c r="D24" s="13"/>
      <c r="E24" s="13"/>
      <c r="F24" s="13"/>
      <c r="G24" s="13"/>
      <c r="H24" s="27"/>
      <c r="I24" s="169"/>
      <c r="J24" s="13"/>
      <c r="K24" s="13"/>
      <c r="L24" s="13"/>
      <c r="M24" s="13"/>
      <c r="N24" s="13"/>
      <c r="O24" s="13"/>
      <c r="P24" s="13"/>
      <c r="Q24" s="62"/>
      <c r="R24" s="62"/>
      <c r="S24" s="62"/>
      <c r="T24" s="62"/>
      <c r="U24" s="62"/>
      <c r="V24" s="62"/>
      <c r="W24" s="62"/>
      <c r="X24" s="62"/>
      <c r="Y24" s="62"/>
      <c r="Z24" s="29"/>
      <c r="AA24" s="29"/>
      <c r="AB24" s="29"/>
      <c r="AC24" s="37">
        <f t="shared" si="0"/>
        <v>0</v>
      </c>
    </row>
    <row r="25" spans="2:29">
      <c r="B25" s="167" t="s">
        <v>1533</v>
      </c>
      <c r="C25" s="166"/>
      <c r="D25" s="13"/>
      <c r="E25" s="13"/>
      <c r="F25" s="13"/>
      <c r="G25" s="13"/>
      <c r="H25" s="27"/>
      <c r="I25" s="169"/>
      <c r="J25" s="13"/>
      <c r="K25" s="13"/>
      <c r="L25" s="13">
        <v>1</v>
      </c>
      <c r="M25" s="13"/>
      <c r="N25" s="13"/>
      <c r="O25" s="13"/>
      <c r="P25" s="13"/>
      <c r="Q25" s="62"/>
      <c r="R25" s="62"/>
      <c r="S25" s="62"/>
      <c r="T25" s="62"/>
      <c r="U25" s="62"/>
      <c r="V25" s="62"/>
      <c r="W25" s="62"/>
      <c r="X25" s="62"/>
      <c r="Y25" s="62"/>
      <c r="Z25" s="29"/>
      <c r="AA25" s="29"/>
      <c r="AB25" s="29"/>
      <c r="AC25" s="37">
        <f t="shared" si="0"/>
        <v>1</v>
      </c>
    </row>
    <row r="26" spans="2:29">
      <c r="B26" s="167" t="s">
        <v>1286</v>
      </c>
      <c r="C26" s="166"/>
      <c r="D26" s="13"/>
      <c r="E26" s="13"/>
      <c r="F26" s="13"/>
      <c r="G26" s="13"/>
      <c r="H26" s="27"/>
      <c r="I26" s="169"/>
      <c r="J26" s="13"/>
      <c r="K26" s="13"/>
      <c r="L26" s="13"/>
      <c r="M26" s="13"/>
      <c r="N26" s="13"/>
      <c r="O26" s="13">
        <v>1</v>
      </c>
      <c r="P26" s="13"/>
      <c r="Q26" s="62"/>
      <c r="R26" s="62"/>
      <c r="S26" s="62"/>
      <c r="T26" s="62"/>
      <c r="U26" s="62"/>
      <c r="V26" s="62"/>
      <c r="W26" s="62"/>
      <c r="X26" s="62"/>
      <c r="Y26" s="62"/>
      <c r="Z26" s="29"/>
      <c r="AA26" s="29"/>
      <c r="AB26" s="29"/>
      <c r="AC26" s="37">
        <f t="shared" si="0"/>
        <v>1</v>
      </c>
    </row>
    <row r="27" spans="2:29">
      <c r="B27" s="167" t="s">
        <v>1340</v>
      </c>
      <c r="C27" s="166"/>
      <c r="D27" s="13"/>
      <c r="E27" s="13"/>
      <c r="F27" s="13"/>
      <c r="G27" s="13"/>
      <c r="H27" s="27"/>
      <c r="I27" s="169"/>
      <c r="J27" s="13"/>
      <c r="K27" s="13"/>
      <c r="L27" s="13"/>
      <c r="M27" s="13"/>
      <c r="N27" s="13"/>
      <c r="O27" s="13"/>
      <c r="P27" s="13"/>
      <c r="Q27" s="62">
        <v>1</v>
      </c>
      <c r="R27" s="62"/>
      <c r="S27" s="62"/>
      <c r="T27" s="62"/>
      <c r="U27" s="62"/>
      <c r="V27" s="62"/>
      <c r="W27" s="62"/>
      <c r="X27" s="62"/>
      <c r="Y27" s="62"/>
      <c r="Z27" s="29"/>
      <c r="AA27" s="29"/>
      <c r="AB27" s="29"/>
      <c r="AC27" s="37"/>
    </row>
    <row r="28" spans="2:29">
      <c r="B28" s="167" t="s">
        <v>33</v>
      </c>
      <c r="C28" s="166"/>
      <c r="D28" s="13"/>
      <c r="E28" s="13"/>
      <c r="F28" s="13"/>
      <c r="G28" s="13"/>
      <c r="H28" s="27"/>
      <c r="I28" s="169"/>
      <c r="J28" s="13"/>
      <c r="K28" s="13"/>
      <c r="L28" s="13"/>
      <c r="M28" s="13"/>
      <c r="N28" s="13"/>
      <c r="O28" s="13"/>
      <c r="P28" s="13"/>
      <c r="Q28" s="62">
        <v>1</v>
      </c>
      <c r="R28" s="62"/>
      <c r="S28" s="62"/>
      <c r="T28" s="62"/>
      <c r="U28" s="62"/>
      <c r="V28" s="62"/>
      <c r="W28" s="62"/>
      <c r="X28" s="62"/>
      <c r="Y28" s="62"/>
      <c r="Z28" s="29"/>
      <c r="AA28" s="29"/>
      <c r="AB28" s="29"/>
      <c r="AC28" s="37"/>
    </row>
    <row r="29" spans="2:29">
      <c r="B29" s="167" t="s">
        <v>327</v>
      </c>
      <c r="C29" s="166"/>
      <c r="D29" s="13"/>
      <c r="E29" s="13"/>
      <c r="F29" s="13"/>
      <c r="G29" s="13"/>
      <c r="H29" s="27"/>
      <c r="I29" s="169"/>
      <c r="J29" s="13"/>
      <c r="K29" s="13"/>
      <c r="L29" s="13"/>
      <c r="M29" s="13"/>
      <c r="N29" s="13"/>
      <c r="O29" s="13"/>
      <c r="P29" s="13"/>
      <c r="Q29" s="62"/>
      <c r="R29" s="62"/>
      <c r="S29" s="62"/>
      <c r="T29" s="62">
        <v>1</v>
      </c>
      <c r="U29" s="62"/>
      <c r="V29" s="62"/>
      <c r="W29" s="62"/>
      <c r="X29" s="62"/>
      <c r="Y29" s="62"/>
      <c r="Z29" s="29"/>
      <c r="AA29" s="29"/>
      <c r="AB29" s="29"/>
      <c r="AC29" s="37"/>
    </row>
    <row r="30" spans="2:29" ht="13.5" thickBot="1">
      <c r="B30" s="228"/>
      <c r="C30" s="94"/>
      <c r="D30" s="14"/>
      <c r="E30" s="14"/>
      <c r="F30" s="14"/>
      <c r="G30" s="14"/>
      <c r="H30" s="28"/>
      <c r="I30" s="14"/>
      <c r="J30" s="14"/>
      <c r="K30" s="14"/>
      <c r="L30" s="14"/>
      <c r="M30" s="14"/>
      <c r="N30" s="14"/>
      <c r="O30" s="14"/>
      <c r="P30" s="14"/>
      <c r="Q30" s="170"/>
      <c r="R30" s="170"/>
      <c r="S30" s="170"/>
      <c r="T30" s="170"/>
      <c r="U30" s="170"/>
      <c r="V30" s="170"/>
      <c r="W30" s="170">
        <v>1</v>
      </c>
      <c r="X30" s="170"/>
      <c r="Y30" s="170"/>
      <c r="Z30" s="30"/>
      <c r="AA30" s="30"/>
      <c r="AB30" s="30"/>
      <c r="AC30" s="37">
        <f t="shared" si="0"/>
        <v>1</v>
      </c>
    </row>
    <row r="31" spans="2:29" ht="13.5" thickBot="1">
      <c r="AC31" s="38">
        <f>SUM(AC7:AC30)</f>
        <v>21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U101"/>
  <sheetViews>
    <sheetView topLeftCell="AP28" workbookViewId="0">
      <selection activeCell="BJ53" sqref="BJ53"/>
    </sheetView>
  </sheetViews>
  <sheetFormatPr baseColWidth="10" defaultColWidth="11.42578125" defaultRowHeight="12.75"/>
  <cols>
    <col min="1" max="2" width="11.42578125" style="45"/>
    <col min="3" max="3" width="22.7109375" style="45" bestFit="1" customWidth="1"/>
    <col min="4" max="6" width="11.42578125" style="45"/>
    <col min="7" max="7" width="22.7109375" style="45" bestFit="1" customWidth="1"/>
    <col min="8" max="8" width="4.28515625" style="45" customWidth="1"/>
    <col min="9" max="9" width="15" style="45" customWidth="1"/>
    <col min="10" max="10" width="11.42578125" style="45"/>
    <col min="11" max="11" width="22.7109375" style="45" bestFit="1" customWidth="1"/>
    <col min="12" max="12" width="4.28515625" style="45" customWidth="1"/>
    <col min="13" max="14" width="11.42578125" style="45"/>
    <col min="15" max="15" width="22.7109375" style="45" bestFit="1" customWidth="1"/>
    <col min="16" max="16" width="3.7109375" style="45" bestFit="1" customWidth="1"/>
    <col min="17" max="18" width="11.42578125" style="45"/>
    <col min="19" max="19" width="22.7109375" style="45" bestFit="1" customWidth="1"/>
    <col min="20" max="20" width="3.7109375" style="45" bestFit="1" customWidth="1"/>
    <col min="21" max="22" width="11.42578125" style="45"/>
    <col min="23" max="23" width="22.7109375" style="45" bestFit="1" customWidth="1"/>
    <col min="24" max="24" width="3.7109375" style="45" bestFit="1" customWidth="1"/>
    <col min="25" max="26" width="11.42578125" style="45"/>
    <col min="27" max="27" width="22.7109375" style="45" bestFit="1" customWidth="1"/>
    <col min="28" max="28" width="3.7109375" style="45" bestFit="1" customWidth="1"/>
    <col min="29" max="30" width="11.42578125" style="45"/>
    <col min="31" max="31" width="22.7109375" style="45" bestFit="1" customWidth="1"/>
    <col min="32" max="32" width="3.7109375" style="45" bestFit="1" customWidth="1"/>
    <col min="33" max="34" width="11.42578125" style="45"/>
    <col min="35" max="35" width="22.7109375" style="45" bestFit="1" customWidth="1"/>
    <col min="36" max="36" width="12.28515625" style="45" bestFit="1" customWidth="1"/>
    <col min="37" max="38" width="11.42578125" style="45"/>
    <col min="39" max="39" width="22.7109375" style="45" bestFit="1" customWidth="1"/>
    <col min="40" max="40" width="12.28515625" style="45" bestFit="1" customWidth="1"/>
    <col min="41" max="41" width="12.28515625" style="45" customWidth="1"/>
    <col min="42" max="42" width="11.42578125" style="45"/>
    <col min="43" max="43" width="22.7109375" style="45" bestFit="1" customWidth="1"/>
    <col min="44" max="44" width="12.28515625" style="45" bestFit="1" customWidth="1"/>
    <col min="45" max="45" width="12.28515625" style="45" customWidth="1"/>
    <col min="46" max="46" width="3" style="45" hidden="1" customWidth="1"/>
    <col min="47" max="47" width="17.5703125" style="112" hidden="1" customWidth="1"/>
    <col min="48" max="48" width="3" style="45" hidden="1" customWidth="1"/>
    <col min="49" max="49" width="17.5703125" style="112" hidden="1" customWidth="1"/>
    <col min="50" max="50" width="13.85546875" style="180" hidden="1" customWidth="1"/>
    <col min="51" max="51" width="12.7109375" style="180" hidden="1" customWidth="1"/>
    <col min="52" max="52" width="3" style="181" hidden="1" customWidth="1"/>
    <col min="53" max="53" width="22" style="180" hidden="1" customWidth="1"/>
    <col min="54" max="54" width="3" style="180" hidden="1" customWidth="1"/>
    <col min="55" max="55" width="22" style="180" hidden="1" customWidth="1"/>
    <col min="56" max="56" width="3" style="180" hidden="1" customWidth="1"/>
    <col min="57" max="57" width="22" style="180" hidden="1" customWidth="1"/>
    <col min="58" max="58" width="3" style="180" hidden="1" customWidth="1"/>
    <col min="59" max="59" width="22.42578125" style="180" hidden="1" customWidth="1"/>
    <col min="60" max="60" width="11.42578125" style="45"/>
    <col min="61" max="61" width="22.7109375" style="45" bestFit="1" customWidth="1"/>
    <col min="62" max="62" width="12.28515625" style="45" bestFit="1" customWidth="1"/>
    <col min="63" max="65" width="12.28515625" style="45" customWidth="1"/>
    <col min="66" max="66" width="11.42578125" style="218"/>
    <col min="67" max="67" width="11.42578125" style="45"/>
    <col min="68" max="68" width="15.7109375" style="45" bestFit="1" customWidth="1"/>
    <col min="69" max="69" width="11.42578125" style="45"/>
    <col min="70" max="70" width="12" style="45" bestFit="1" customWidth="1"/>
    <col min="71" max="16384" width="11.42578125" style="45"/>
  </cols>
  <sheetData>
    <row r="1" spans="1:70" ht="13.5" thickBot="1"/>
    <row r="2" spans="1:70" ht="12.75" customHeight="1">
      <c r="B2" s="252">
        <v>2014</v>
      </c>
      <c r="C2" s="253"/>
      <c r="D2" s="254"/>
      <c r="F2" s="252">
        <v>2015</v>
      </c>
      <c r="G2" s="253"/>
      <c r="H2" s="254"/>
      <c r="I2" s="103"/>
      <c r="J2" s="252">
        <v>2016</v>
      </c>
      <c r="K2" s="253"/>
      <c r="L2" s="254"/>
      <c r="N2" s="252">
        <v>2017</v>
      </c>
      <c r="O2" s="253"/>
      <c r="P2" s="254"/>
      <c r="Q2" s="104"/>
      <c r="R2" s="252">
        <v>2018</v>
      </c>
      <c r="S2" s="253"/>
      <c r="T2" s="254"/>
      <c r="V2" s="252">
        <v>2019</v>
      </c>
      <c r="W2" s="253"/>
      <c r="X2" s="254"/>
      <c r="Z2" s="252">
        <v>2020</v>
      </c>
      <c r="AA2" s="253"/>
      <c r="AB2" s="254"/>
      <c r="AD2" s="252">
        <v>2021</v>
      </c>
      <c r="AE2" s="253"/>
      <c r="AF2" s="254"/>
      <c r="AH2" s="252">
        <v>2022</v>
      </c>
      <c r="AI2" s="253"/>
      <c r="AJ2" s="254"/>
      <c r="AL2" s="252">
        <v>2023</v>
      </c>
      <c r="AM2" s="253"/>
      <c r="AN2" s="254"/>
      <c r="AO2" s="211"/>
      <c r="AP2" s="252">
        <v>2024</v>
      </c>
      <c r="AQ2" s="253"/>
      <c r="AR2" s="254"/>
      <c r="AS2" s="211"/>
      <c r="AT2" s="211"/>
      <c r="AU2" s="260" t="s">
        <v>1459</v>
      </c>
      <c r="AV2" s="211"/>
      <c r="AW2" s="260" t="s">
        <v>1458</v>
      </c>
      <c r="AY2" s="258">
        <v>2025</v>
      </c>
      <c r="BA2" s="258">
        <v>2026</v>
      </c>
      <c r="BC2" s="258">
        <v>2027</v>
      </c>
      <c r="BE2" s="258">
        <v>2028</v>
      </c>
      <c r="BG2" s="258">
        <v>2029</v>
      </c>
      <c r="BH2" s="252">
        <v>2025</v>
      </c>
      <c r="BI2" s="253"/>
      <c r="BJ2" s="254"/>
      <c r="BK2" s="211"/>
      <c r="BL2" s="211"/>
      <c r="BM2" s="211"/>
    </row>
    <row r="3" spans="1:70" ht="18.75" customHeight="1" thickBot="1">
      <c r="B3" s="255"/>
      <c r="C3" s="256"/>
      <c r="D3" s="257"/>
      <c r="F3" s="255"/>
      <c r="G3" s="256"/>
      <c r="H3" s="257"/>
      <c r="I3" s="103"/>
      <c r="J3" s="255"/>
      <c r="K3" s="256"/>
      <c r="L3" s="257"/>
      <c r="N3" s="255"/>
      <c r="O3" s="256"/>
      <c r="P3" s="257"/>
      <c r="Q3" s="104"/>
      <c r="R3" s="255"/>
      <c r="S3" s="256"/>
      <c r="T3" s="257"/>
      <c r="V3" s="255"/>
      <c r="W3" s="256"/>
      <c r="X3" s="257"/>
      <c r="Z3" s="255"/>
      <c r="AA3" s="256"/>
      <c r="AB3" s="257"/>
      <c r="AD3" s="255"/>
      <c r="AE3" s="256"/>
      <c r="AF3" s="257"/>
      <c r="AH3" s="255"/>
      <c r="AI3" s="256"/>
      <c r="AJ3" s="257"/>
      <c r="AL3" s="255"/>
      <c r="AM3" s="256"/>
      <c r="AN3" s="257"/>
      <c r="AO3" s="211"/>
      <c r="AP3" s="255"/>
      <c r="AQ3" s="256"/>
      <c r="AR3" s="257"/>
      <c r="AS3" s="211"/>
      <c r="AT3" s="211"/>
      <c r="AU3" s="261"/>
      <c r="AV3" s="211"/>
      <c r="AW3" s="261"/>
      <c r="AY3" s="259"/>
      <c r="BA3" s="259"/>
      <c r="BC3" s="259"/>
      <c r="BE3" s="259"/>
      <c r="BG3" s="259"/>
      <c r="BH3" s="255"/>
      <c r="BI3" s="256"/>
      <c r="BJ3" s="257"/>
      <c r="BK3" s="211"/>
      <c r="BL3" s="211"/>
      <c r="BM3" s="211"/>
    </row>
    <row r="4" spans="1:70" ht="13.15" customHeight="1">
      <c r="K4" s="104"/>
      <c r="L4" s="104"/>
      <c r="BI4" s="180" t="s">
        <v>1508</v>
      </c>
    </row>
    <row r="5" spans="1:70" ht="13.5" thickBot="1"/>
    <row r="6" spans="1:70">
      <c r="B6" s="105">
        <v>1</v>
      </c>
      <c r="C6" s="45" t="s">
        <v>136</v>
      </c>
      <c r="F6" s="105">
        <v>1</v>
      </c>
      <c r="G6" s="45" t="s">
        <v>136</v>
      </c>
      <c r="H6" s="45">
        <v>0</v>
      </c>
      <c r="J6" s="105">
        <v>1</v>
      </c>
      <c r="K6" s="45" t="s">
        <v>111</v>
      </c>
      <c r="L6" s="45">
        <v>3</v>
      </c>
      <c r="N6" s="105">
        <v>1</v>
      </c>
      <c r="O6" s="45" t="s">
        <v>136</v>
      </c>
      <c r="P6" s="45">
        <v>1</v>
      </c>
      <c r="R6" s="105">
        <v>1</v>
      </c>
      <c r="S6" s="45" t="s">
        <v>109</v>
      </c>
      <c r="T6" s="45">
        <v>1</v>
      </c>
      <c r="V6" s="105">
        <v>1</v>
      </c>
      <c r="W6" s="45" t="s">
        <v>108</v>
      </c>
      <c r="X6" s="45">
        <v>5</v>
      </c>
      <c r="Z6" s="265" t="s">
        <v>340</v>
      </c>
      <c r="AA6" s="265"/>
      <c r="AB6" s="265"/>
      <c r="AD6" s="105">
        <v>1</v>
      </c>
      <c r="AE6" s="45" t="s">
        <v>1179</v>
      </c>
      <c r="AF6" s="45">
        <v>9</v>
      </c>
      <c r="AH6" s="105">
        <v>1</v>
      </c>
      <c r="AI6" s="45" t="s">
        <v>1309</v>
      </c>
      <c r="AJ6" s="45">
        <v>3</v>
      </c>
      <c r="AL6" s="105">
        <v>1</v>
      </c>
      <c r="AM6" s="45" t="s">
        <v>108</v>
      </c>
      <c r="AN6" s="45">
        <v>1</v>
      </c>
      <c r="AP6" s="105">
        <v>1</v>
      </c>
      <c r="AQ6" s="45" t="s">
        <v>109</v>
      </c>
      <c r="AR6" s="45">
        <v>1</v>
      </c>
      <c r="AT6" s="45">
        <v>1</v>
      </c>
      <c r="AU6" s="266" t="s">
        <v>1456</v>
      </c>
      <c r="AV6" s="45">
        <v>1</v>
      </c>
      <c r="AW6" s="266" t="s">
        <v>1456</v>
      </c>
      <c r="AY6" s="212"/>
      <c r="AZ6" s="181">
        <v>1</v>
      </c>
      <c r="BA6" s="266" t="s">
        <v>1457</v>
      </c>
      <c r="BB6" s="181">
        <v>1</v>
      </c>
      <c r="BC6" s="266" t="s">
        <v>1457</v>
      </c>
      <c r="BD6" s="181">
        <v>1</v>
      </c>
      <c r="BE6" s="266" t="s">
        <v>1457</v>
      </c>
      <c r="BF6" s="181">
        <v>1</v>
      </c>
      <c r="BG6" s="266" t="s">
        <v>1457</v>
      </c>
      <c r="BH6" s="105">
        <v>1</v>
      </c>
      <c r="BI6" s="45" t="s">
        <v>110</v>
      </c>
      <c r="BJ6" s="67">
        <v>2</v>
      </c>
    </row>
    <row r="7" spans="1:70" ht="13.5" thickBot="1">
      <c r="B7" s="105">
        <v>2</v>
      </c>
      <c r="C7" s="45" t="s">
        <v>137</v>
      </c>
      <c r="F7" s="105">
        <v>2</v>
      </c>
      <c r="G7" s="45" t="s">
        <v>137</v>
      </c>
      <c r="H7" s="45">
        <v>0</v>
      </c>
      <c r="J7" s="105">
        <v>2</v>
      </c>
      <c r="K7" s="45" t="s">
        <v>136</v>
      </c>
      <c r="L7" s="45">
        <v>-1</v>
      </c>
      <c r="N7" s="105">
        <v>2</v>
      </c>
      <c r="O7" s="45" t="s">
        <v>109</v>
      </c>
      <c r="P7" s="45">
        <v>7</v>
      </c>
      <c r="R7" s="105">
        <v>2</v>
      </c>
      <c r="S7" s="45" t="s">
        <v>136</v>
      </c>
      <c r="T7" s="45">
        <v>-1</v>
      </c>
      <c r="V7" s="105">
        <v>2</v>
      </c>
      <c r="W7" s="45" t="s">
        <v>111</v>
      </c>
      <c r="X7" s="45">
        <v>2</v>
      </c>
      <c r="Z7" s="265"/>
      <c r="AA7" s="265"/>
      <c r="AB7" s="265"/>
      <c r="AD7" s="105">
        <v>2</v>
      </c>
      <c r="AE7" s="45" t="s">
        <v>108</v>
      </c>
      <c r="AF7" s="45">
        <v>-1</v>
      </c>
      <c r="AH7" s="105">
        <v>2</v>
      </c>
      <c r="AI7" s="45" t="s">
        <v>108</v>
      </c>
      <c r="AJ7" s="45">
        <v>0</v>
      </c>
      <c r="AL7" s="105">
        <v>2</v>
      </c>
      <c r="AM7" s="45" t="s">
        <v>109</v>
      </c>
      <c r="AN7" s="45">
        <v>3</v>
      </c>
      <c r="AP7" s="105">
        <v>2</v>
      </c>
      <c r="AQ7" s="45" t="s">
        <v>111</v>
      </c>
      <c r="AR7" s="45">
        <v>4</v>
      </c>
      <c r="AT7" s="45">
        <v>2</v>
      </c>
      <c r="AU7" s="266"/>
      <c r="AV7" s="45">
        <v>2</v>
      </c>
      <c r="AW7" s="266"/>
      <c r="AY7" s="213"/>
      <c r="AZ7" s="181">
        <v>2</v>
      </c>
      <c r="BA7" s="266"/>
      <c r="BB7" s="181">
        <v>2</v>
      </c>
      <c r="BC7" s="266"/>
      <c r="BD7" s="181">
        <v>2</v>
      </c>
      <c r="BE7" s="266"/>
      <c r="BF7" s="181">
        <v>2</v>
      </c>
      <c r="BG7" s="266"/>
      <c r="BH7" s="105">
        <v>2</v>
      </c>
      <c r="BI7" s="45" t="s">
        <v>108</v>
      </c>
      <c r="BJ7" s="67">
        <v>2</v>
      </c>
    </row>
    <row r="8" spans="1:70" ht="13.5" thickBot="1">
      <c r="A8" s="45" t="s">
        <v>81</v>
      </c>
      <c r="B8" s="105">
        <v>3</v>
      </c>
      <c r="C8" s="45" t="s">
        <v>133</v>
      </c>
      <c r="F8" s="105">
        <v>3</v>
      </c>
      <c r="G8" s="45" t="s">
        <v>110</v>
      </c>
      <c r="H8" s="45">
        <v>2</v>
      </c>
      <c r="J8" s="105">
        <v>3</v>
      </c>
      <c r="K8" s="45" t="s">
        <v>86</v>
      </c>
      <c r="L8" s="45">
        <v>4</v>
      </c>
      <c r="N8" s="105">
        <v>3</v>
      </c>
      <c r="O8" s="45" t="s">
        <v>105</v>
      </c>
      <c r="P8" s="45">
        <v>8</v>
      </c>
      <c r="R8" s="105">
        <v>3</v>
      </c>
      <c r="S8" s="45" t="s">
        <v>86</v>
      </c>
      <c r="T8" s="45">
        <v>5</v>
      </c>
      <c r="V8" s="105">
        <v>3</v>
      </c>
      <c r="W8" s="45" t="s">
        <v>136</v>
      </c>
      <c r="X8" s="45">
        <v>-1</v>
      </c>
      <c r="Z8" s="265"/>
      <c r="AA8" s="265"/>
      <c r="AB8" s="265"/>
      <c r="AD8" s="105">
        <v>3</v>
      </c>
      <c r="AE8" s="45" t="s">
        <v>110</v>
      </c>
      <c r="AF8" s="45">
        <v>2</v>
      </c>
      <c r="AH8" s="105">
        <v>3</v>
      </c>
      <c r="AI8" s="45" t="s">
        <v>110</v>
      </c>
      <c r="AJ8" s="45">
        <v>0</v>
      </c>
      <c r="AL8" s="105">
        <v>3</v>
      </c>
      <c r="AM8" s="45" t="s">
        <v>110</v>
      </c>
      <c r="AN8" s="45">
        <v>0</v>
      </c>
      <c r="AP8" s="105">
        <v>3</v>
      </c>
      <c r="AQ8" s="45" t="s">
        <v>110</v>
      </c>
      <c r="AR8" s="45">
        <v>0</v>
      </c>
      <c r="AT8" s="45">
        <v>3</v>
      </c>
      <c r="AU8" s="266"/>
      <c r="AV8" s="45">
        <v>3</v>
      </c>
      <c r="AW8" s="266"/>
      <c r="AY8" s="213"/>
      <c r="AZ8" s="181">
        <v>3</v>
      </c>
      <c r="BA8" s="266"/>
      <c r="BB8" s="181">
        <v>3</v>
      </c>
      <c r="BC8" s="266"/>
      <c r="BD8" s="181">
        <v>3</v>
      </c>
      <c r="BE8" s="266"/>
      <c r="BF8" s="181">
        <v>3</v>
      </c>
      <c r="BG8" s="266"/>
      <c r="BH8" s="105">
        <v>3</v>
      </c>
      <c r="BI8" s="45" t="s">
        <v>134</v>
      </c>
      <c r="BJ8" s="67">
        <v>2</v>
      </c>
      <c r="BO8" s="262" t="s">
        <v>1313</v>
      </c>
      <c r="BP8" s="263"/>
      <c r="BQ8" s="263"/>
      <c r="BR8" s="264"/>
    </row>
    <row r="9" spans="1:70" ht="13.5" thickBot="1">
      <c r="B9" s="105">
        <v>4</v>
      </c>
      <c r="C9" s="45" t="s">
        <v>111</v>
      </c>
      <c r="F9" s="105">
        <v>4</v>
      </c>
      <c r="G9" s="45" t="s">
        <v>111</v>
      </c>
      <c r="H9" s="45">
        <v>0</v>
      </c>
      <c r="J9" s="105">
        <v>4</v>
      </c>
      <c r="K9" s="45" t="s">
        <v>110</v>
      </c>
      <c r="L9" s="45">
        <v>-1</v>
      </c>
      <c r="N9" s="105">
        <v>4</v>
      </c>
      <c r="O9" s="45" t="s">
        <v>108</v>
      </c>
      <c r="P9" s="45">
        <v>2</v>
      </c>
      <c r="R9" s="105">
        <v>4</v>
      </c>
      <c r="S9" s="45" t="s">
        <v>111</v>
      </c>
      <c r="T9" s="45">
        <v>2</v>
      </c>
      <c r="V9" s="105">
        <v>4</v>
      </c>
      <c r="W9" s="45" t="s">
        <v>105</v>
      </c>
      <c r="X9" s="45">
        <v>1</v>
      </c>
      <c r="Z9" s="265"/>
      <c r="AA9" s="265"/>
      <c r="AB9" s="265"/>
      <c r="AD9" s="105">
        <v>4</v>
      </c>
      <c r="AE9" s="45" t="s">
        <v>136</v>
      </c>
      <c r="AF9" s="45">
        <v>-1</v>
      </c>
      <c r="AH9" s="105">
        <v>4</v>
      </c>
      <c r="AI9" s="45" t="s">
        <v>137</v>
      </c>
      <c r="AJ9" s="45">
        <v>-3</v>
      </c>
      <c r="AL9" s="105">
        <v>4</v>
      </c>
      <c r="AM9" s="45" t="s">
        <v>1309</v>
      </c>
      <c r="AN9" s="45">
        <v>-3</v>
      </c>
      <c r="AP9" s="105">
        <v>4</v>
      </c>
      <c r="AQ9" s="45" t="s">
        <v>108</v>
      </c>
      <c r="AR9" s="45">
        <v>-3</v>
      </c>
      <c r="AT9" s="45">
        <v>4</v>
      </c>
      <c r="AU9" s="266"/>
      <c r="AV9" s="45">
        <v>4</v>
      </c>
      <c r="AW9" s="266"/>
      <c r="AY9" s="213"/>
      <c r="AZ9" s="181">
        <v>4</v>
      </c>
      <c r="BA9" s="266"/>
      <c r="BB9" s="181">
        <v>4</v>
      </c>
      <c r="BC9" s="266"/>
      <c r="BD9" s="181">
        <v>4</v>
      </c>
      <c r="BE9" s="266"/>
      <c r="BF9" s="181">
        <v>4</v>
      </c>
      <c r="BG9" s="266"/>
      <c r="BH9" s="105">
        <v>4</v>
      </c>
      <c r="BI9" s="45" t="s">
        <v>111</v>
      </c>
      <c r="BJ9" s="67">
        <v>-2</v>
      </c>
      <c r="BO9" s="182" t="s">
        <v>1310</v>
      </c>
      <c r="BP9" s="183" t="s">
        <v>198</v>
      </c>
      <c r="BQ9" s="183" t="s">
        <v>25</v>
      </c>
      <c r="BR9" s="184" t="s">
        <v>1303</v>
      </c>
    </row>
    <row r="10" spans="1:70">
      <c r="B10" s="105">
        <v>5</v>
      </c>
      <c r="C10" s="45" t="s">
        <v>110</v>
      </c>
      <c r="F10" s="105">
        <v>5</v>
      </c>
      <c r="G10" s="45" t="s">
        <v>133</v>
      </c>
      <c r="H10" s="45">
        <v>-2</v>
      </c>
      <c r="J10" s="105">
        <v>5</v>
      </c>
      <c r="K10" s="45" t="s">
        <v>87</v>
      </c>
      <c r="L10" s="45">
        <v>6</v>
      </c>
      <c r="N10" s="105">
        <v>5</v>
      </c>
      <c r="O10" s="45" t="s">
        <v>137</v>
      </c>
      <c r="P10" s="45">
        <v>2</v>
      </c>
      <c r="R10" s="105">
        <v>5</v>
      </c>
      <c r="S10" s="45" t="s">
        <v>105</v>
      </c>
      <c r="T10" s="45">
        <v>-2</v>
      </c>
      <c r="V10" s="105">
        <v>5</v>
      </c>
      <c r="W10" s="45" t="s">
        <v>110</v>
      </c>
      <c r="X10" s="45">
        <v>3</v>
      </c>
      <c r="Z10" s="265"/>
      <c r="AA10" s="265"/>
      <c r="AB10" s="265"/>
      <c r="AD10" s="105">
        <v>5</v>
      </c>
      <c r="AE10" s="45" t="s">
        <v>111</v>
      </c>
      <c r="AF10" s="45">
        <v>-3</v>
      </c>
      <c r="AH10" s="105">
        <v>5</v>
      </c>
      <c r="AI10" s="45" t="s">
        <v>109</v>
      </c>
      <c r="AJ10" s="45">
        <v>1</v>
      </c>
      <c r="AK10" s="181"/>
      <c r="AL10" s="105">
        <v>5</v>
      </c>
      <c r="AM10" s="45" t="s">
        <v>137</v>
      </c>
      <c r="AN10" s="45">
        <v>-1</v>
      </c>
      <c r="AP10" s="105">
        <v>5</v>
      </c>
      <c r="AQ10" s="45" t="s">
        <v>134</v>
      </c>
      <c r="AR10" s="45">
        <v>2</v>
      </c>
      <c r="AT10" s="45">
        <v>5</v>
      </c>
      <c r="AU10" s="266"/>
      <c r="AV10" s="45">
        <v>5</v>
      </c>
      <c r="AW10" s="266"/>
      <c r="AY10" s="213"/>
      <c r="AZ10" s="181">
        <v>5</v>
      </c>
      <c r="BA10" s="266"/>
      <c r="BB10" s="181">
        <v>5</v>
      </c>
      <c r="BC10" s="266"/>
      <c r="BD10" s="181">
        <v>5</v>
      </c>
      <c r="BE10" s="266"/>
      <c r="BF10" s="181">
        <v>5</v>
      </c>
      <c r="BG10" s="266"/>
      <c r="BH10" s="105">
        <v>5</v>
      </c>
      <c r="BI10" s="45" t="s">
        <v>119</v>
      </c>
      <c r="BJ10" s="67">
        <v>7</v>
      </c>
      <c r="BO10" s="185"/>
      <c r="BP10" s="186"/>
      <c r="BQ10" s="186"/>
      <c r="BR10" s="51"/>
    </row>
    <row r="11" spans="1:70">
      <c r="B11" s="105">
        <v>6</v>
      </c>
      <c r="C11" s="45" t="s">
        <v>105</v>
      </c>
      <c r="F11" s="105">
        <v>6</v>
      </c>
      <c r="G11" s="105" t="s">
        <v>135</v>
      </c>
      <c r="H11" s="45">
        <v>2</v>
      </c>
      <c r="J11" s="105">
        <v>6</v>
      </c>
      <c r="K11" s="45" t="s">
        <v>108</v>
      </c>
      <c r="L11" s="45">
        <v>8</v>
      </c>
      <c r="N11" s="105">
        <v>6</v>
      </c>
      <c r="O11" s="45" t="s">
        <v>111</v>
      </c>
      <c r="P11" s="45">
        <v>-5</v>
      </c>
      <c r="R11" s="105">
        <v>6</v>
      </c>
      <c r="S11" s="45" t="s">
        <v>108</v>
      </c>
      <c r="T11" s="45">
        <v>-2</v>
      </c>
      <c r="V11" s="105">
        <v>6</v>
      </c>
      <c r="W11" s="45" t="s">
        <v>109</v>
      </c>
      <c r="X11" s="45">
        <v>-5</v>
      </c>
      <c r="Z11" s="265"/>
      <c r="AA11" s="265"/>
      <c r="AB11" s="265"/>
      <c r="AD11" s="105">
        <v>6</v>
      </c>
      <c r="AE11" s="45" t="s">
        <v>109</v>
      </c>
      <c r="AF11" s="45">
        <v>0</v>
      </c>
      <c r="AH11" s="105">
        <v>6</v>
      </c>
      <c r="AI11" s="45" t="s">
        <v>111</v>
      </c>
      <c r="AJ11" s="45">
        <v>-1</v>
      </c>
      <c r="AK11" s="181"/>
      <c r="AL11" s="105">
        <v>6</v>
      </c>
      <c r="AM11" s="45" t="s">
        <v>111</v>
      </c>
      <c r="AN11" s="45">
        <v>0</v>
      </c>
      <c r="AP11" s="105">
        <v>6</v>
      </c>
      <c r="AQ11" s="45" t="s">
        <v>86</v>
      </c>
      <c r="AR11" s="45">
        <v>3</v>
      </c>
      <c r="AT11" s="45">
        <v>6</v>
      </c>
      <c r="AU11" s="266"/>
      <c r="AV11" s="45">
        <v>6</v>
      </c>
      <c r="AW11" s="266"/>
      <c r="AY11" s="213" t="s">
        <v>1457</v>
      </c>
      <c r="AZ11" s="181">
        <v>6</v>
      </c>
      <c r="BA11" s="266"/>
      <c r="BB11" s="181">
        <v>6</v>
      </c>
      <c r="BC11" s="266"/>
      <c r="BD11" s="181">
        <v>6</v>
      </c>
      <c r="BE11" s="266"/>
      <c r="BF11" s="181">
        <v>6</v>
      </c>
      <c r="BG11" s="266"/>
      <c r="BH11" s="105">
        <v>6</v>
      </c>
      <c r="BI11" s="45" t="s">
        <v>1294</v>
      </c>
      <c r="BJ11" s="67">
        <v>3</v>
      </c>
      <c r="BO11" s="185">
        <v>13</v>
      </c>
      <c r="BP11" s="187" t="s">
        <v>137</v>
      </c>
      <c r="BQ11" s="188">
        <v>11</v>
      </c>
      <c r="BR11" s="61">
        <v>71</v>
      </c>
    </row>
    <row r="12" spans="1:70">
      <c r="B12" s="105">
        <v>7</v>
      </c>
      <c r="C12" s="45" t="s">
        <v>134</v>
      </c>
      <c r="F12" s="105">
        <v>7</v>
      </c>
      <c r="G12" s="106" t="s">
        <v>86</v>
      </c>
      <c r="H12" s="45">
        <v>4</v>
      </c>
      <c r="I12" s="44"/>
      <c r="J12" s="105">
        <v>7</v>
      </c>
      <c r="K12" s="45" t="s">
        <v>137</v>
      </c>
      <c r="L12" s="45">
        <v>-5</v>
      </c>
      <c r="N12" s="105">
        <v>7</v>
      </c>
      <c r="O12" s="45" t="s">
        <v>110</v>
      </c>
      <c r="P12" s="45">
        <v>-3</v>
      </c>
      <c r="R12" s="105">
        <v>7</v>
      </c>
      <c r="S12" s="45" t="s">
        <v>134</v>
      </c>
      <c r="T12" s="45">
        <v>2</v>
      </c>
      <c r="V12" s="105">
        <v>7</v>
      </c>
      <c r="W12" s="45" t="s">
        <v>87</v>
      </c>
      <c r="X12" s="45">
        <v>2</v>
      </c>
      <c r="Z12" s="265"/>
      <c r="AA12" s="265"/>
      <c r="AB12" s="265"/>
      <c r="AD12" s="105">
        <v>7</v>
      </c>
      <c r="AE12" s="45" t="s">
        <v>1136</v>
      </c>
      <c r="AF12" s="45">
        <v>-3</v>
      </c>
      <c r="AH12" s="105">
        <v>7</v>
      </c>
      <c r="AI12" s="45" t="s">
        <v>1118</v>
      </c>
      <c r="AJ12" s="45">
        <v>6</v>
      </c>
      <c r="AK12" s="181"/>
      <c r="AL12" s="105">
        <v>7</v>
      </c>
      <c r="AM12" s="45" t="s">
        <v>134</v>
      </c>
      <c r="AN12" s="45">
        <v>2</v>
      </c>
      <c r="AP12" s="105">
        <v>7</v>
      </c>
      <c r="AQ12" s="45" t="s">
        <v>1309</v>
      </c>
      <c r="AR12" s="45">
        <v>-3</v>
      </c>
      <c r="AT12" s="45">
        <v>7</v>
      </c>
      <c r="AU12" s="266"/>
      <c r="AV12" s="45">
        <v>7</v>
      </c>
      <c r="AW12" s="266"/>
      <c r="AY12" s="213"/>
      <c r="AZ12" s="181">
        <v>7</v>
      </c>
      <c r="BA12" s="266"/>
      <c r="BB12" s="181">
        <v>7</v>
      </c>
      <c r="BC12" s="266"/>
      <c r="BD12" s="181">
        <v>7</v>
      </c>
      <c r="BE12" s="266"/>
      <c r="BF12" s="181">
        <v>7</v>
      </c>
      <c r="BG12" s="266"/>
      <c r="BH12" s="105">
        <v>7</v>
      </c>
      <c r="BI12" s="45" t="s">
        <v>109</v>
      </c>
      <c r="BJ12" s="67">
        <v>-6</v>
      </c>
      <c r="BO12" s="185">
        <v>14</v>
      </c>
      <c r="BP12" s="189" t="s">
        <v>108</v>
      </c>
      <c r="BQ12" s="188">
        <v>10</v>
      </c>
      <c r="BR12" s="61">
        <v>55</v>
      </c>
    </row>
    <row r="13" spans="1:70">
      <c r="B13" s="107">
        <v>8</v>
      </c>
      <c r="C13" s="45" t="s">
        <v>135</v>
      </c>
      <c r="D13" s="45">
        <v>1</v>
      </c>
      <c r="E13" s="45" t="s">
        <v>79</v>
      </c>
      <c r="F13" s="107">
        <v>8</v>
      </c>
      <c r="G13" s="45" t="s">
        <v>109</v>
      </c>
      <c r="H13" s="45">
        <v>2</v>
      </c>
      <c r="J13" s="105">
        <v>8</v>
      </c>
      <c r="K13" s="45" t="s">
        <v>134</v>
      </c>
      <c r="L13" s="45">
        <v>2</v>
      </c>
      <c r="N13" s="105">
        <v>8</v>
      </c>
      <c r="O13" s="45" t="s">
        <v>86</v>
      </c>
      <c r="P13" s="45">
        <v>-5</v>
      </c>
      <c r="R13" s="105">
        <v>8</v>
      </c>
      <c r="S13" s="45" t="s">
        <v>110</v>
      </c>
      <c r="T13" s="45">
        <v>-1</v>
      </c>
      <c r="V13" s="105">
        <v>8</v>
      </c>
      <c r="W13" s="45" t="s">
        <v>86</v>
      </c>
      <c r="X13" s="45">
        <v>-5</v>
      </c>
      <c r="Z13" s="265"/>
      <c r="AA13" s="265"/>
      <c r="AB13" s="265"/>
      <c r="AD13" s="105">
        <v>8</v>
      </c>
      <c r="AE13" s="45" t="s">
        <v>134</v>
      </c>
      <c r="AF13" s="45">
        <v>1</v>
      </c>
      <c r="AH13" s="105">
        <v>8</v>
      </c>
      <c r="AI13" s="45" t="s">
        <v>112</v>
      </c>
      <c r="AJ13" s="45">
        <v>4</v>
      </c>
      <c r="AK13" s="181"/>
      <c r="AL13" s="105">
        <v>8</v>
      </c>
      <c r="AM13" s="45" t="s">
        <v>112</v>
      </c>
      <c r="AN13" s="45">
        <v>0</v>
      </c>
      <c r="AP13" s="105">
        <v>8</v>
      </c>
      <c r="AQ13" s="45" t="s">
        <v>137</v>
      </c>
      <c r="AR13" s="45">
        <v>-3</v>
      </c>
      <c r="AT13" s="45">
        <v>8</v>
      </c>
      <c r="AU13" s="266"/>
      <c r="AV13" s="45">
        <v>8</v>
      </c>
      <c r="AW13" s="266"/>
      <c r="AY13" s="213"/>
      <c r="AZ13" s="181">
        <v>8</v>
      </c>
      <c r="BA13" s="266"/>
      <c r="BB13" s="181">
        <v>8</v>
      </c>
      <c r="BC13" s="266"/>
      <c r="BD13" s="181">
        <v>8</v>
      </c>
      <c r="BE13" s="266"/>
      <c r="BF13" s="181">
        <v>8</v>
      </c>
      <c r="BG13" s="266"/>
      <c r="BH13" s="105">
        <v>8</v>
      </c>
      <c r="BI13" s="45" t="s">
        <v>1309</v>
      </c>
      <c r="BJ13" s="67">
        <v>-1</v>
      </c>
      <c r="BO13" s="185">
        <v>15</v>
      </c>
      <c r="BP13" s="187" t="s">
        <v>1116</v>
      </c>
      <c r="BQ13" s="188">
        <v>10</v>
      </c>
      <c r="BR13" s="61">
        <v>45</v>
      </c>
    </row>
    <row r="14" spans="1:70">
      <c r="B14" s="107">
        <v>9</v>
      </c>
      <c r="C14" s="45" t="s">
        <v>108</v>
      </c>
      <c r="D14" s="45">
        <v>2</v>
      </c>
      <c r="E14" s="45" t="s">
        <v>80</v>
      </c>
      <c r="F14" s="107">
        <v>9</v>
      </c>
      <c r="G14" s="108" t="s">
        <v>105</v>
      </c>
      <c r="H14" s="45">
        <v>-3</v>
      </c>
      <c r="J14" s="105">
        <v>9</v>
      </c>
      <c r="K14" s="45" t="s">
        <v>109</v>
      </c>
      <c r="L14" s="45">
        <v>-1</v>
      </c>
      <c r="N14" s="105">
        <v>9</v>
      </c>
      <c r="O14" s="45" t="s">
        <v>134</v>
      </c>
      <c r="P14" s="45">
        <v>-1</v>
      </c>
      <c r="R14" s="105">
        <v>9</v>
      </c>
      <c r="S14" s="45" t="s">
        <v>87</v>
      </c>
      <c r="T14" s="45">
        <v>1</v>
      </c>
      <c r="V14" s="105">
        <v>9</v>
      </c>
      <c r="W14" s="45" t="s">
        <v>134</v>
      </c>
      <c r="X14" s="45">
        <v>-2</v>
      </c>
      <c r="Z14" s="265"/>
      <c r="AA14" s="265"/>
      <c r="AB14" s="265"/>
      <c r="AD14" s="105">
        <v>9</v>
      </c>
      <c r="AE14" s="45" t="s">
        <v>87</v>
      </c>
      <c r="AF14" s="45">
        <v>-2</v>
      </c>
      <c r="AH14" s="105">
        <v>9</v>
      </c>
      <c r="AI14" s="45" t="s">
        <v>134</v>
      </c>
      <c r="AJ14" s="45">
        <v>-1</v>
      </c>
      <c r="AK14" s="181"/>
      <c r="AL14" s="105">
        <v>9</v>
      </c>
      <c r="AM14" s="45" t="s">
        <v>86</v>
      </c>
      <c r="AN14" s="45">
        <v>1</v>
      </c>
      <c r="AP14" s="105">
        <v>9</v>
      </c>
      <c r="AQ14" s="45" t="s">
        <v>1294</v>
      </c>
      <c r="AR14" s="45">
        <v>2</v>
      </c>
      <c r="AT14" s="45">
        <v>9</v>
      </c>
      <c r="AU14" s="266"/>
      <c r="AV14" s="45">
        <v>9</v>
      </c>
      <c r="AW14" s="266"/>
      <c r="AY14" s="213"/>
      <c r="AZ14" s="181">
        <v>9</v>
      </c>
      <c r="BA14" s="266"/>
      <c r="BB14" s="181">
        <v>9</v>
      </c>
      <c r="BC14" s="266"/>
      <c r="BD14" s="181">
        <v>9</v>
      </c>
      <c r="BE14" s="266"/>
      <c r="BF14" s="181">
        <v>9</v>
      </c>
      <c r="BG14" s="266"/>
      <c r="BH14" s="105">
        <v>9</v>
      </c>
      <c r="BI14" s="45" t="s">
        <v>137</v>
      </c>
      <c r="BJ14" s="67">
        <v>-1</v>
      </c>
      <c r="BO14" s="185">
        <v>16</v>
      </c>
      <c r="BP14" s="186" t="s">
        <v>119</v>
      </c>
      <c r="BQ14" s="188">
        <v>9</v>
      </c>
      <c r="BR14" s="61">
        <v>29</v>
      </c>
    </row>
    <row r="15" spans="1:70" ht="15">
      <c r="B15" s="107">
        <v>10</v>
      </c>
      <c r="C15" s="45" t="s">
        <v>109</v>
      </c>
      <c r="D15" s="45">
        <v>3</v>
      </c>
      <c r="E15" s="45" t="s">
        <v>80</v>
      </c>
      <c r="F15" s="107">
        <v>10</v>
      </c>
      <c r="G15" s="108" t="s">
        <v>134</v>
      </c>
      <c r="H15" s="45">
        <v>-3</v>
      </c>
      <c r="J15" s="105">
        <v>10</v>
      </c>
      <c r="K15" s="45" t="s">
        <v>133</v>
      </c>
      <c r="L15" s="45">
        <v>-5</v>
      </c>
      <c r="N15" s="105">
        <v>10</v>
      </c>
      <c r="O15" s="45" t="s">
        <v>87</v>
      </c>
      <c r="P15" s="45">
        <v>-5</v>
      </c>
      <c r="R15" s="105">
        <v>10</v>
      </c>
      <c r="S15" s="45" t="s">
        <v>137</v>
      </c>
      <c r="T15" s="45">
        <v>-5</v>
      </c>
      <c r="V15" s="105">
        <v>10</v>
      </c>
      <c r="W15" s="45" t="s">
        <v>137</v>
      </c>
      <c r="X15" s="45">
        <v>0</v>
      </c>
      <c r="Z15" s="265"/>
      <c r="AA15" s="265"/>
      <c r="AB15" s="265"/>
      <c r="AD15" s="105">
        <v>10</v>
      </c>
      <c r="AE15" s="45" t="s">
        <v>119</v>
      </c>
      <c r="AF15" s="45">
        <v>1</v>
      </c>
      <c r="AH15" s="105">
        <v>10</v>
      </c>
      <c r="AI15" s="45" t="s">
        <v>86</v>
      </c>
      <c r="AJ15" s="45">
        <v>1</v>
      </c>
      <c r="AK15" s="181"/>
      <c r="AL15" s="105">
        <v>10</v>
      </c>
      <c r="AM15" s="45" t="s">
        <v>1118</v>
      </c>
      <c r="AN15" s="45">
        <v>-3</v>
      </c>
      <c r="AP15" s="105">
        <v>10</v>
      </c>
      <c r="AQ15" s="45" t="s">
        <v>112</v>
      </c>
      <c r="AR15" s="45">
        <v>-2</v>
      </c>
      <c r="AT15" s="45">
        <v>10</v>
      </c>
      <c r="AU15" s="266"/>
      <c r="AV15" s="45">
        <v>10</v>
      </c>
      <c r="AW15" s="266"/>
      <c r="AY15" s="213"/>
      <c r="AZ15" s="181">
        <v>10</v>
      </c>
      <c r="BA15" s="266"/>
      <c r="BB15" s="181">
        <v>10</v>
      </c>
      <c r="BC15" s="266"/>
      <c r="BD15" s="181">
        <v>10</v>
      </c>
      <c r="BE15" s="266"/>
      <c r="BF15" s="181">
        <v>10</v>
      </c>
      <c r="BG15" s="266"/>
      <c r="BH15" s="105">
        <v>10</v>
      </c>
      <c r="BI15" s="45" t="s">
        <v>133</v>
      </c>
      <c r="BJ15" s="67">
        <v>1</v>
      </c>
      <c r="BO15" s="190">
        <v>17</v>
      </c>
      <c r="BP15" s="191" t="s">
        <v>1</v>
      </c>
      <c r="BQ15" s="192">
        <v>9</v>
      </c>
      <c r="BR15" s="193">
        <v>24</v>
      </c>
    </row>
    <row r="16" spans="1:70">
      <c r="B16" s="107">
        <v>11</v>
      </c>
      <c r="C16" s="45" t="s">
        <v>86</v>
      </c>
      <c r="D16" s="45">
        <v>4</v>
      </c>
      <c r="E16" s="45" t="s">
        <v>79</v>
      </c>
      <c r="F16" s="107">
        <v>11</v>
      </c>
      <c r="G16" s="45" t="s">
        <v>87</v>
      </c>
      <c r="H16" s="45">
        <v>1</v>
      </c>
      <c r="J16" s="105">
        <v>11</v>
      </c>
      <c r="K16" s="45" t="s">
        <v>105</v>
      </c>
      <c r="L16" s="45">
        <v>-2</v>
      </c>
      <c r="N16" s="105">
        <v>11</v>
      </c>
      <c r="O16" s="45" t="s">
        <v>88</v>
      </c>
      <c r="P16" s="45">
        <v>4</v>
      </c>
      <c r="R16" s="105">
        <v>11</v>
      </c>
      <c r="S16" s="45" t="s">
        <v>133</v>
      </c>
      <c r="T16" s="45">
        <v>2</v>
      </c>
      <c r="V16" s="105">
        <v>11</v>
      </c>
      <c r="W16" s="105" t="s">
        <v>119</v>
      </c>
      <c r="X16" s="45">
        <v>4</v>
      </c>
      <c r="Z16" s="265"/>
      <c r="AA16" s="265"/>
      <c r="AB16" s="265"/>
      <c r="AD16" s="105">
        <v>11</v>
      </c>
      <c r="AE16" s="45" t="s">
        <v>86</v>
      </c>
      <c r="AF16" s="45">
        <v>-3</v>
      </c>
      <c r="AH16" s="105">
        <v>11</v>
      </c>
      <c r="AI16" s="45" t="s">
        <v>1136</v>
      </c>
      <c r="AJ16" s="45">
        <v>-4</v>
      </c>
      <c r="AK16" s="181"/>
      <c r="AL16" s="105">
        <v>11</v>
      </c>
      <c r="AM16" s="105" t="s">
        <v>1294</v>
      </c>
      <c r="AN16" s="45">
        <v>2</v>
      </c>
      <c r="AP16" s="105">
        <v>11</v>
      </c>
      <c r="AQ16" s="105" t="s">
        <v>133</v>
      </c>
      <c r="AR16" s="45">
        <v>2</v>
      </c>
      <c r="AT16" s="45">
        <v>11</v>
      </c>
      <c r="AU16" s="266"/>
      <c r="AV16" s="45">
        <v>11</v>
      </c>
      <c r="AW16" s="266"/>
      <c r="AY16" s="213"/>
      <c r="AZ16" s="181">
        <v>11</v>
      </c>
      <c r="BA16" s="266"/>
      <c r="BB16" s="181">
        <v>11</v>
      </c>
      <c r="BC16" s="266"/>
      <c r="BD16" s="181">
        <v>11</v>
      </c>
      <c r="BE16" s="266"/>
      <c r="BF16" s="181">
        <v>11</v>
      </c>
      <c r="BG16" s="266"/>
      <c r="BH16" s="105">
        <v>11</v>
      </c>
      <c r="BI16" s="45" t="s">
        <v>112</v>
      </c>
      <c r="BJ16" s="67">
        <v>-1</v>
      </c>
      <c r="BO16" s="185">
        <v>18</v>
      </c>
      <c r="BP16" s="186" t="s">
        <v>133</v>
      </c>
      <c r="BQ16" s="188">
        <v>9</v>
      </c>
      <c r="BR16" s="61">
        <v>22</v>
      </c>
    </row>
    <row r="17" spans="1:73" ht="13.5" thickBot="1">
      <c r="B17" s="107">
        <v>12</v>
      </c>
      <c r="C17" s="45" t="s">
        <v>87</v>
      </c>
      <c r="D17" s="45">
        <v>5</v>
      </c>
      <c r="E17" s="45" t="s">
        <v>79</v>
      </c>
      <c r="F17" s="107">
        <v>12</v>
      </c>
      <c r="G17" s="45" t="s">
        <v>88</v>
      </c>
      <c r="H17" s="45">
        <v>1</v>
      </c>
      <c r="J17" s="105">
        <v>12</v>
      </c>
      <c r="K17" s="45" t="s">
        <v>135</v>
      </c>
      <c r="L17" s="45">
        <v>-6</v>
      </c>
      <c r="N17" s="105">
        <v>12</v>
      </c>
      <c r="O17" s="45" t="s">
        <v>113</v>
      </c>
      <c r="P17" s="45">
        <v>12</v>
      </c>
      <c r="R17" s="105">
        <v>12</v>
      </c>
      <c r="S17" s="45" t="s">
        <v>135</v>
      </c>
      <c r="T17" s="45">
        <v>2</v>
      </c>
      <c r="V17" s="105">
        <v>12</v>
      </c>
      <c r="W17" s="105" t="s">
        <v>112</v>
      </c>
      <c r="X17" s="45">
        <v>10</v>
      </c>
      <c r="Z17" s="265"/>
      <c r="AA17" s="265"/>
      <c r="AB17" s="265"/>
      <c r="AD17" s="105">
        <v>12</v>
      </c>
      <c r="AE17" s="45" t="s">
        <v>112</v>
      </c>
      <c r="AF17" s="45">
        <v>0</v>
      </c>
      <c r="AH17" s="105">
        <v>12</v>
      </c>
      <c r="AI17" s="105" t="s">
        <v>133</v>
      </c>
      <c r="AJ17" s="45">
        <v>2</v>
      </c>
      <c r="AK17" s="181"/>
      <c r="AL17" s="105">
        <v>12</v>
      </c>
      <c r="AM17" s="105" t="s">
        <v>96</v>
      </c>
      <c r="AN17" s="45">
        <v>3</v>
      </c>
      <c r="AP17" s="105">
        <v>12</v>
      </c>
      <c r="AQ17" s="105" t="s">
        <v>119</v>
      </c>
      <c r="AR17" s="45">
        <v>4</v>
      </c>
      <c r="AT17" s="45">
        <v>12</v>
      </c>
      <c r="AU17" s="266"/>
      <c r="AV17" s="45">
        <v>12</v>
      </c>
      <c r="AW17" s="266"/>
      <c r="AY17" s="214"/>
      <c r="AZ17" s="181">
        <v>12</v>
      </c>
      <c r="BA17" s="266"/>
      <c r="BB17" s="181">
        <v>12</v>
      </c>
      <c r="BC17" s="266"/>
      <c r="BD17" s="181">
        <v>12</v>
      </c>
      <c r="BE17" s="266"/>
      <c r="BF17" s="181">
        <v>12</v>
      </c>
      <c r="BG17" s="266"/>
      <c r="BH17" s="105">
        <v>12</v>
      </c>
      <c r="BI17" s="105" t="s">
        <v>28</v>
      </c>
      <c r="BJ17" s="67">
        <v>4</v>
      </c>
      <c r="BO17" s="185">
        <v>19</v>
      </c>
      <c r="BP17" s="187" t="s">
        <v>1156</v>
      </c>
      <c r="BQ17" s="188">
        <v>9</v>
      </c>
      <c r="BR17" s="61">
        <v>21</v>
      </c>
    </row>
    <row r="18" spans="1:73">
      <c r="B18" s="107">
        <v>13</v>
      </c>
      <c r="C18" s="45" t="s">
        <v>88</v>
      </c>
      <c r="D18" s="45">
        <v>6</v>
      </c>
      <c r="E18" s="45" t="s">
        <v>80</v>
      </c>
      <c r="F18" s="107">
        <v>13</v>
      </c>
      <c r="G18" s="45" t="s">
        <v>89</v>
      </c>
      <c r="H18" s="45">
        <v>1</v>
      </c>
      <c r="J18" s="107">
        <v>13</v>
      </c>
      <c r="K18" s="45" t="s">
        <v>119</v>
      </c>
      <c r="L18" s="45">
        <v>2</v>
      </c>
      <c r="N18" s="107">
        <v>13</v>
      </c>
      <c r="O18" s="45" t="s">
        <v>133</v>
      </c>
      <c r="P18" s="45">
        <v>-3</v>
      </c>
      <c r="R18" s="107">
        <v>13</v>
      </c>
      <c r="S18" s="45" t="s">
        <v>113</v>
      </c>
      <c r="T18" s="45">
        <v>-1</v>
      </c>
      <c r="V18" s="107">
        <v>13</v>
      </c>
      <c r="W18" s="108" t="s">
        <v>133</v>
      </c>
      <c r="X18" s="45">
        <v>-2</v>
      </c>
      <c r="Z18" s="265"/>
      <c r="AA18" s="265"/>
      <c r="AB18" s="265"/>
      <c r="AD18" s="105">
        <v>13</v>
      </c>
      <c r="AE18" s="105" t="s">
        <v>1118</v>
      </c>
      <c r="AF18" s="45">
        <v>1</v>
      </c>
      <c r="AH18" s="107">
        <v>13</v>
      </c>
      <c r="AI18" s="108" t="s">
        <v>1294</v>
      </c>
      <c r="AJ18" s="45">
        <v>-4</v>
      </c>
      <c r="AK18" s="181"/>
      <c r="AL18" s="107">
        <v>13</v>
      </c>
      <c r="AM18" s="108" t="s">
        <v>133</v>
      </c>
      <c r="AN18" s="45">
        <v>-1</v>
      </c>
      <c r="AP18" s="107">
        <v>13</v>
      </c>
      <c r="AQ18" s="108" t="s">
        <v>96</v>
      </c>
      <c r="AR18" s="45">
        <v>-1</v>
      </c>
      <c r="AU18" s="267"/>
      <c r="AW18" s="267"/>
      <c r="AY18" s="212"/>
      <c r="BA18" s="267"/>
      <c r="BB18" s="181"/>
      <c r="BC18" s="267"/>
      <c r="BD18" s="181"/>
      <c r="BE18" s="267"/>
      <c r="BF18" s="181"/>
      <c r="BG18" s="267"/>
      <c r="BH18" s="105">
        <v>13</v>
      </c>
      <c r="BI18" s="105" t="s">
        <v>1118</v>
      </c>
      <c r="BJ18" s="67">
        <v>1</v>
      </c>
      <c r="BO18" s="185">
        <v>20</v>
      </c>
      <c r="BP18" s="187" t="s">
        <v>96</v>
      </c>
      <c r="BQ18" s="188">
        <v>9</v>
      </c>
      <c r="BR18" s="61">
        <v>3</v>
      </c>
    </row>
    <row r="19" spans="1:73" ht="13.5" thickBot="1">
      <c r="B19" s="107">
        <v>14</v>
      </c>
      <c r="C19" s="45" t="s">
        <v>89</v>
      </c>
      <c r="D19" s="45">
        <v>7</v>
      </c>
      <c r="E19" s="45" t="s">
        <v>80</v>
      </c>
      <c r="F19" s="107">
        <v>14</v>
      </c>
      <c r="G19" s="45" t="s">
        <v>108</v>
      </c>
      <c r="H19" s="45">
        <v>-5</v>
      </c>
      <c r="J19" s="107">
        <v>14</v>
      </c>
      <c r="K19" s="45" t="s">
        <v>106</v>
      </c>
      <c r="L19" s="45">
        <v>8</v>
      </c>
      <c r="N19" s="107">
        <v>14</v>
      </c>
      <c r="O19" s="45" t="s">
        <v>135</v>
      </c>
      <c r="P19" s="45">
        <v>-2</v>
      </c>
      <c r="R19" s="107">
        <v>14</v>
      </c>
      <c r="S19" s="45" t="s">
        <v>88</v>
      </c>
      <c r="T19" s="45">
        <v>-3</v>
      </c>
      <c r="V19" s="107">
        <v>14</v>
      </c>
      <c r="W19" s="108" t="s">
        <v>135</v>
      </c>
      <c r="X19" s="45">
        <v>-2</v>
      </c>
      <c r="Z19" s="265"/>
      <c r="AA19" s="265"/>
      <c r="AB19" s="265"/>
      <c r="AD19" s="107">
        <v>14</v>
      </c>
      <c r="AE19" s="45" t="s">
        <v>133</v>
      </c>
      <c r="AF19" s="45">
        <v>-1</v>
      </c>
      <c r="AH19" s="107">
        <v>14</v>
      </c>
      <c r="AI19" s="108" t="s">
        <v>119</v>
      </c>
      <c r="AJ19" s="45">
        <v>-4</v>
      </c>
      <c r="AK19" s="181"/>
      <c r="AL19" s="107">
        <v>14</v>
      </c>
      <c r="AM19" s="108" t="s">
        <v>1136</v>
      </c>
      <c r="AN19" s="45">
        <v>-3</v>
      </c>
      <c r="AP19" s="107">
        <v>14</v>
      </c>
      <c r="AQ19" s="108" t="s">
        <v>1118</v>
      </c>
      <c r="AR19" s="45">
        <v>-4</v>
      </c>
      <c r="AU19" s="267"/>
      <c r="AW19" s="267"/>
      <c r="AY19" s="213"/>
      <c r="BA19" s="267"/>
      <c r="BB19" s="181"/>
      <c r="BC19" s="267"/>
      <c r="BD19" s="181"/>
      <c r="BE19" s="267"/>
      <c r="BF19" s="181"/>
      <c r="BG19" s="267"/>
      <c r="BH19" s="105">
        <v>14</v>
      </c>
      <c r="BI19" s="105" t="s">
        <v>96</v>
      </c>
      <c r="BJ19" s="67">
        <v>-1</v>
      </c>
      <c r="BO19" s="185">
        <v>21</v>
      </c>
      <c r="BP19" s="187" t="s">
        <v>114</v>
      </c>
      <c r="BQ19" s="188">
        <v>9</v>
      </c>
      <c r="BR19" s="61">
        <v>-16</v>
      </c>
    </row>
    <row r="20" spans="1:73" ht="13.5" thickBot="1">
      <c r="B20" s="107">
        <v>15</v>
      </c>
      <c r="C20" s="105" t="s">
        <v>106</v>
      </c>
      <c r="D20" s="45">
        <v>8</v>
      </c>
      <c r="E20" s="45" t="s">
        <v>79</v>
      </c>
      <c r="F20" s="107">
        <v>15</v>
      </c>
      <c r="G20" s="45" t="s">
        <v>119</v>
      </c>
      <c r="H20" s="45">
        <v>2</v>
      </c>
      <c r="J20" s="107">
        <v>15</v>
      </c>
      <c r="K20" s="45" t="s">
        <v>88</v>
      </c>
      <c r="L20" s="45">
        <v>-3</v>
      </c>
      <c r="N20" s="107">
        <v>15</v>
      </c>
      <c r="O20" s="45" t="s">
        <v>120</v>
      </c>
      <c r="P20" s="45">
        <v>1</v>
      </c>
      <c r="R20" s="107">
        <v>15</v>
      </c>
      <c r="S20" s="45" t="s">
        <v>119</v>
      </c>
      <c r="T20" s="45">
        <v>1</v>
      </c>
      <c r="V20" s="107">
        <v>15</v>
      </c>
      <c r="W20" s="45" t="s">
        <v>122</v>
      </c>
      <c r="X20" s="45">
        <v>1</v>
      </c>
      <c r="Z20" s="265"/>
      <c r="AA20" s="265"/>
      <c r="AB20" s="265"/>
      <c r="AD20" s="107">
        <v>15</v>
      </c>
      <c r="AE20" s="45" t="s">
        <v>96</v>
      </c>
      <c r="AF20" s="45">
        <v>1</v>
      </c>
      <c r="AH20" s="107">
        <v>15</v>
      </c>
      <c r="AI20" s="45" t="s">
        <v>96</v>
      </c>
      <c r="AJ20" s="45">
        <v>0</v>
      </c>
      <c r="AK20" s="181"/>
      <c r="AL20" s="107">
        <v>15</v>
      </c>
      <c r="AM20" s="45" t="s">
        <v>28</v>
      </c>
      <c r="AN20" s="45">
        <v>1</v>
      </c>
      <c r="AP20" s="107">
        <v>15</v>
      </c>
      <c r="AQ20" s="45" t="s">
        <v>124</v>
      </c>
      <c r="AR20" s="45">
        <v>4</v>
      </c>
      <c r="AU20" s="267"/>
      <c r="AW20" s="267"/>
      <c r="AY20" s="213"/>
      <c r="BA20" s="267"/>
      <c r="BB20" s="181"/>
      <c r="BC20" s="267"/>
      <c r="BD20" s="181"/>
      <c r="BE20" s="267"/>
      <c r="BF20" s="181"/>
      <c r="BG20" s="267"/>
      <c r="BH20" s="107">
        <v>15</v>
      </c>
      <c r="BI20" s="108" t="s">
        <v>86</v>
      </c>
      <c r="BJ20" s="67">
        <v>-9</v>
      </c>
      <c r="BO20" s="185">
        <v>22</v>
      </c>
      <c r="BP20" s="187" t="s">
        <v>117</v>
      </c>
      <c r="BQ20" s="188">
        <v>8</v>
      </c>
      <c r="BR20" s="61">
        <v>-11</v>
      </c>
      <c r="BT20" s="156"/>
      <c r="BU20" s="156"/>
    </row>
    <row r="21" spans="1:73" ht="13.5" thickBot="1">
      <c r="B21" s="107">
        <v>16</v>
      </c>
      <c r="C21" s="45" t="s">
        <v>112</v>
      </c>
      <c r="D21" s="45">
        <v>9</v>
      </c>
      <c r="E21" s="45" t="s">
        <v>79</v>
      </c>
      <c r="F21" s="107">
        <v>16</v>
      </c>
      <c r="G21" s="45" t="s">
        <v>114</v>
      </c>
      <c r="H21" s="45">
        <v>8</v>
      </c>
      <c r="J21" s="107">
        <v>16</v>
      </c>
      <c r="K21" s="45" t="s">
        <v>120</v>
      </c>
      <c r="L21" s="45">
        <v>5</v>
      </c>
      <c r="N21" s="107">
        <v>16</v>
      </c>
      <c r="O21" s="45" t="s">
        <v>119</v>
      </c>
      <c r="P21" s="45">
        <v>-3</v>
      </c>
      <c r="R21" s="107">
        <v>16</v>
      </c>
      <c r="S21" s="45" t="s">
        <v>122</v>
      </c>
      <c r="T21" s="45">
        <v>10</v>
      </c>
      <c r="V21" s="107">
        <v>16</v>
      </c>
      <c r="W21" s="45" t="s">
        <v>96</v>
      </c>
      <c r="X21" s="45">
        <v>8</v>
      </c>
      <c r="Z21" s="265"/>
      <c r="AA21" s="265"/>
      <c r="AB21" s="265"/>
      <c r="AD21" s="107">
        <v>16</v>
      </c>
      <c r="AE21" s="45" t="s">
        <v>28</v>
      </c>
      <c r="AF21" s="45">
        <v>8</v>
      </c>
      <c r="AH21" s="107">
        <v>16</v>
      </c>
      <c r="AI21" s="45" t="s">
        <v>28</v>
      </c>
      <c r="AJ21" s="45">
        <v>0</v>
      </c>
      <c r="AK21" s="181"/>
      <c r="AL21" s="107">
        <v>16</v>
      </c>
      <c r="AM21" s="45" t="s">
        <v>119</v>
      </c>
      <c r="AN21" s="45">
        <v>-2</v>
      </c>
      <c r="AP21" s="107">
        <v>16</v>
      </c>
      <c r="AQ21" s="45" t="s">
        <v>28</v>
      </c>
      <c r="AR21" s="45">
        <v>-1</v>
      </c>
      <c r="AU21" s="267"/>
      <c r="AW21" s="267"/>
      <c r="AY21" s="213"/>
      <c r="BA21" s="267"/>
      <c r="BB21" s="181"/>
      <c r="BC21" s="267"/>
      <c r="BD21" s="181"/>
      <c r="BE21" s="267"/>
      <c r="BF21" s="181"/>
      <c r="BG21" s="267"/>
      <c r="BH21" s="107">
        <v>16</v>
      </c>
      <c r="BI21" s="45" t="s">
        <v>1115</v>
      </c>
      <c r="BJ21" s="67">
        <v>7</v>
      </c>
      <c r="BO21" s="185">
        <v>23</v>
      </c>
      <c r="BP21" s="187" t="s">
        <v>69</v>
      </c>
      <c r="BQ21" s="188">
        <v>6</v>
      </c>
      <c r="BR21" s="61">
        <v>-17</v>
      </c>
      <c r="BT21" s="156"/>
      <c r="BU21" s="156"/>
    </row>
    <row r="22" spans="1:73" ht="13.5" thickBot="1">
      <c r="A22" s="45" t="s">
        <v>82</v>
      </c>
      <c r="B22" s="107">
        <v>17</v>
      </c>
      <c r="C22" s="105" t="s">
        <v>119</v>
      </c>
      <c r="D22" s="45">
        <v>10</v>
      </c>
      <c r="E22" s="45" t="s">
        <v>80</v>
      </c>
      <c r="F22" s="107">
        <v>17</v>
      </c>
      <c r="G22" s="45" t="s">
        <v>112</v>
      </c>
      <c r="H22" s="45">
        <v>-1</v>
      </c>
      <c r="J22" s="107">
        <v>17</v>
      </c>
      <c r="K22" s="45" t="s">
        <v>89</v>
      </c>
      <c r="L22" s="45">
        <v>-4</v>
      </c>
      <c r="N22" s="107">
        <v>17</v>
      </c>
      <c r="O22" s="45" t="s">
        <v>106</v>
      </c>
      <c r="P22" s="45">
        <v>-3</v>
      </c>
      <c r="R22" s="107">
        <v>17</v>
      </c>
      <c r="S22" s="45" t="s">
        <v>89</v>
      </c>
      <c r="T22" s="45">
        <v>6</v>
      </c>
      <c r="V22" s="107">
        <v>17</v>
      </c>
      <c r="W22" s="45" t="s">
        <v>88</v>
      </c>
      <c r="X22" s="45">
        <v>-3</v>
      </c>
      <c r="Z22" s="265"/>
      <c r="AA22" s="265"/>
      <c r="AB22" s="265"/>
      <c r="AD22" s="107">
        <v>17</v>
      </c>
      <c r="AE22" s="45" t="s">
        <v>106</v>
      </c>
      <c r="AF22" s="45">
        <v>2</v>
      </c>
      <c r="AH22" s="107">
        <v>17</v>
      </c>
      <c r="AI22" s="45" t="s">
        <v>117</v>
      </c>
      <c r="AJ22" s="45">
        <v>10</v>
      </c>
      <c r="AK22" s="181"/>
      <c r="AL22" s="107">
        <v>17</v>
      </c>
      <c r="AM22" s="45" t="s">
        <v>132</v>
      </c>
      <c r="AN22" s="45">
        <v>5</v>
      </c>
      <c r="AP22" s="107">
        <v>17</v>
      </c>
      <c r="AQ22" s="45" t="s">
        <v>122</v>
      </c>
      <c r="AR22" s="45">
        <v>3</v>
      </c>
      <c r="AU22" s="267"/>
      <c r="AW22" s="267"/>
      <c r="AY22" s="213"/>
      <c r="BA22" s="267"/>
      <c r="BB22" s="181"/>
      <c r="BC22" s="267"/>
      <c r="BD22" s="181"/>
      <c r="BE22" s="267"/>
      <c r="BF22" s="181"/>
      <c r="BG22" s="267"/>
      <c r="BH22" s="107">
        <v>17</v>
      </c>
      <c r="BI22" s="45" t="s">
        <v>117</v>
      </c>
      <c r="BJ22" s="67">
        <v>2</v>
      </c>
      <c r="BO22" s="194">
        <v>24</v>
      </c>
      <c r="BP22" s="195" t="s">
        <v>61</v>
      </c>
      <c r="BQ22" s="196">
        <v>6</v>
      </c>
      <c r="BR22" s="65">
        <v>-22</v>
      </c>
      <c r="BT22" s="156"/>
      <c r="BU22" s="156"/>
    </row>
    <row r="23" spans="1:73" ht="13.5" thickBot="1">
      <c r="B23" s="107">
        <v>18</v>
      </c>
      <c r="C23" s="45" t="s">
        <v>120</v>
      </c>
      <c r="D23" s="45">
        <v>11</v>
      </c>
      <c r="E23" s="45" t="s">
        <v>80</v>
      </c>
      <c r="F23" s="107">
        <v>18</v>
      </c>
      <c r="G23" s="105" t="s">
        <v>117</v>
      </c>
      <c r="H23" s="45">
        <v>11</v>
      </c>
      <c r="J23" s="107">
        <v>18</v>
      </c>
      <c r="K23" s="45" t="s">
        <v>132</v>
      </c>
      <c r="L23" s="45">
        <v>5</v>
      </c>
      <c r="N23" s="107">
        <v>18</v>
      </c>
      <c r="O23" s="45" t="s">
        <v>128</v>
      </c>
      <c r="P23" s="45">
        <v>8</v>
      </c>
      <c r="R23" s="107">
        <v>18</v>
      </c>
      <c r="S23" s="45" t="s">
        <v>120</v>
      </c>
      <c r="T23" s="45">
        <v>-3</v>
      </c>
      <c r="V23" s="107">
        <v>18</v>
      </c>
      <c r="W23" s="45" t="s">
        <v>89</v>
      </c>
      <c r="X23" s="45">
        <v>-1</v>
      </c>
      <c r="Z23" s="265"/>
      <c r="AA23" s="265"/>
      <c r="AB23" s="265"/>
      <c r="AD23" s="107">
        <v>18</v>
      </c>
      <c r="AE23" s="45" t="s">
        <v>1114</v>
      </c>
      <c r="AF23" s="45">
        <v>4</v>
      </c>
      <c r="AH23" s="107">
        <v>18</v>
      </c>
      <c r="AI23" s="45" t="s">
        <v>89</v>
      </c>
      <c r="AJ23" s="45">
        <v>2</v>
      </c>
      <c r="AK23" s="181"/>
      <c r="AL23" s="107">
        <v>18</v>
      </c>
      <c r="AM23" s="45" t="s">
        <v>88</v>
      </c>
      <c r="AN23" s="45">
        <v>6</v>
      </c>
      <c r="AP23" s="107">
        <v>18</v>
      </c>
      <c r="AQ23" s="45" t="s">
        <v>132</v>
      </c>
      <c r="AR23" s="45">
        <v>-1</v>
      </c>
      <c r="AU23" s="267"/>
      <c r="AW23" s="267"/>
      <c r="AY23" s="213"/>
      <c r="BA23" s="267"/>
      <c r="BB23" s="181"/>
      <c r="BC23" s="267"/>
      <c r="BD23" s="181"/>
      <c r="BE23" s="267"/>
      <c r="BF23" s="181"/>
      <c r="BG23" s="267"/>
      <c r="BH23" s="107">
        <v>18</v>
      </c>
      <c r="BI23" s="45" t="s">
        <v>1136</v>
      </c>
      <c r="BJ23" s="67">
        <v>2</v>
      </c>
      <c r="BT23" s="156"/>
      <c r="BU23" s="156"/>
    </row>
    <row r="24" spans="1:73" ht="13.5" thickBot="1">
      <c r="B24" s="107">
        <v>19</v>
      </c>
      <c r="C24" s="105" t="s">
        <v>121</v>
      </c>
      <c r="D24" s="45">
        <v>12</v>
      </c>
      <c r="E24" s="45" t="s">
        <v>79</v>
      </c>
      <c r="F24" s="107">
        <v>19</v>
      </c>
      <c r="G24" s="45" t="s">
        <v>121</v>
      </c>
      <c r="H24" s="45">
        <v>0</v>
      </c>
      <c r="J24" s="107">
        <v>19</v>
      </c>
      <c r="K24" s="45" t="s">
        <v>112</v>
      </c>
      <c r="L24" s="45">
        <v>-2</v>
      </c>
      <c r="N24" s="107">
        <v>19</v>
      </c>
      <c r="O24" s="45" t="s">
        <v>132</v>
      </c>
      <c r="P24" s="45">
        <v>-1</v>
      </c>
      <c r="R24" s="107">
        <v>19</v>
      </c>
      <c r="S24" s="45" t="s">
        <v>106</v>
      </c>
      <c r="T24" s="45">
        <v>-2</v>
      </c>
      <c r="V24" s="107">
        <v>19</v>
      </c>
      <c r="W24" s="45" t="s">
        <v>106</v>
      </c>
      <c r="X24" s="45">
        <v>0</v>
      </c>
      <c r="Z24" s="265"/>
      <c r="AA24" s="265"/>
      <c r="AB24" s="265"/>
      <c r="AD24" s="107">
        <v>19</v>
      </c>
      <c r="AE24" s="45" t="s">
        <v>122</v>
      </c>
      <c r="AF24" s="45">
        <v>-4</v>
      </c>
      <c r="AH24" s="107">
        <v>19</v>
      </c>
      <c r="AI24" s="45" t="s">
        <v>124</v>
      </c>
      <c r="AJ24" s="45">
        <v>2</v>
      </c>
      <c r="AK24" s="181"/>
      <c r="AL24" s="107">
        <v>19</v>
      </c>
      <c r="AM24" s="45" t="s">
        <v>124</v>
      </c>
      <c r="AN24" s="45">
        <v>0</v>
      </c>
      <c r="AP24" s="107">
        <v>19</v>
      </c>
      <c r="AQ24" s="45" t="s">
        <v>117</v>
      </c>
      <c r="AR24" s="45">
        <v>2</v>
      </c>
      <c r="AU24" s="267"/>
      <c r="AW24" s="267"/>
      <c r="AY24" s="213"/>
      <c r="BA24" s="267"/>
      <c r="BB24" s="181"/>
      <c r="BC24" s="267"/>
      <c r="BD24" s="181"/>
      <c r="BE24" s="267"/>
      <c r="BF24" s="181"/>
      <c r="BG24" s="267"/>
      <c r="BH24" s="107">
        <v>19</v>
      </c>
      <c r="BI24" s="45" t="s">
        <v>115</v>
      </c>
      <c r="BJ24" s="67">
        <v>3</v>
      </c>
      <c r="BP24" s="156"/>
      <c r="BQ24" s="156"/>
      <c r="BT24" s="156"/>
      <c r="BU24" s="156"/>
    </row>
    <row r="25" spans="1:73" ht="13.5" thickBot="1">
      <c r="B25" s="107">
        <v>20</v>
      </c>
      <c r="C25" s="45" t="s">
        <v>122</v>
      </c>
      <c r="D25" s="45">
        <v>13</v>
      </c>
      <c r="E25" s="45" t="s">
        <v>79</v>
      </c>
      <c r="F25" s="107">
        <v>20</v>
      </c>
      <c r="G25" s="45" t="s">
        <v>113</v>
      </c>
      <c r="H25" s="45">
        <v>3</v>
      </c>
      <c r="J25" s="107">
        <v>20</v>
      </c>
      <c r="K25" s="45" t="s">
        <v>123</v>
      </c>
      <c r="L25" s="45">
        <v>6</v>
      </c>
      <c r="N25" s="107">
        <v>20</v>
      </c>
      <c r="O25" s="45" t="s">
        <v>116</v>
      </c>
      <c r="P25" s="45">
        <v>1</v>
      </c>
      <c r="R25" s="107">
        <v>20</v>
      </c>
      <c r="S25" s="45" t="s">
        <v>128</v>
      </c>
      <c r="T25" s="45">
        <v>-2</v>
      </c>
      <c r="V25" s="107">
        <v>20</v>
      </c>
      <c r="W25" s="45" t="s">
        <v>120</v>
      </c>
      <c r="X25" s="45">
        <v>-2</v>
      </c>
      <c r="Z25" s="265"/>
      <c r="AA25" s="265"/>
      <c r="AB25" s="265"/>
      <c r="AD25" s="107">
        <v>20</v>
      </c>
      <c r="AE25" s="45" t="s">
        <v>1115</v>
      </c>
      <c r="AF25" s="45">
        <v>-2</v>
      </c>
      <c r="AH25" s="107">
        <v>20</v>
      </c>
      <c r="AI25" s="45" t="s">
        <v>120</v>
      </c>
      <c r="AJ25" s="45">
        <v>2</v>
      </c>
      <c r="AK25" s="181"/>
      <c r="AL25" s="107">
        <v>20</v>
      </c>
      <c r="AM25" s="45" t="s">
        <v>122</v>
      </c>
      <c r="AN25" s="45">
        <v>5</v>
      </c>
      <c r="AP25" s="107">
        <v>20</v>
      </c>
      <c r="AQ25" s="45" t="s">
        <v>1136</v>
      </c>
      <c r="AR25" s="45">
        <v>-6</v>
      </c>
      <c r="AU25" s="267"/>
      <c r="AW25" s="267"/>
      <c r="AY25" s="213"/>
      <c r="BA25" s="267"/>
      <c r="BB25" s="181"/>
      <c r="BC25" s="267"/>
      <c r="BD25" s="181"/>
      <c r="BE25" s="267"/>
      <c r="BF25" s="181"/>
      <c r="BG25" s="267"/>
      <c r="BH25" s="107">
        <v>20</v>
      </c>
      <c r="BI25" s="45" t="s">
        <v>1509</v>
      </c>
      <c r="BJ25" s="67">
        <v>-2</v>
      </c>
      <c r="BP25" s="156"/>
      <c r="BQ25" s="156"/>
      <c r="BT25" s="156"/>
      <c r="BU25" s="156"/>
    </row>
    <row r="26" spans="1:73" ht="13.5" thickBot="1">
      <c r="B26" s="107">
        <v>21</v>
      </c>
      <c r="C26" s="105" t="s">
        <v>123</v>
      </c>
      <c r="D26" s="45">
        <v>14</v>
      </c>
      <c r="E26" s="45" t="s">
        <v>80</v>
      </c>
      <c r="F26" s="107">
        <v>21</v>
      </c>
      <c r="G26" s="45" t="s">
        <v>120</v>
      </c>
      <c r="H26" s="45">
        <v>-3</v>
      </c>
      <c r="J26" s="107">
        <v>21</v>
      </c>
      <c r="K26" s="45" t="s">
        <v>116</v>
      </c>
      <c r="L26" s="45">
        <v>8</v>
      </c>
      <c r="N26" s="107">
        <v>21</v>
      </c>
      <c r="O26" s="45" t="s">
        <v>121</v>
      </c>
      <c r="P26" s="45">
        <v>2</v>
      </c>
      <c r="R26" s="107">
        <v>21</v>
      </c>
      <c r="S26" s="45" t="s">
        <v>124</v>
      </c>
      <c r="T26" s="45">
        <v>4</v>
      </c>
      <c r="V26" s="107">
        <v>21</v>
      </c>
      <c r="W26" s="45" t="s">
        <v>124</v>
      </c>
      <c r="X26" s="45">
        <v>0</v>
      </c>
      <c r="Z26" s="265"/>
      <c r="AA26" s="265"/>
      <c r="AB26" s="265"/>
      <c r="AD26" s="107">
        <v>21</v>
      </c>
      <c r="AE26" s="45" t="s">
        <v>124</v>
      </c>
      <c r="AF26" s="45">
        <v>0</v>
      </c>
      <c r="AH26" s="107">
        <v>21</v>
      </c>
      <c r="AI26" s="45" t="s">
        <v>106</v>
      </c>
      <c r="AJ26" s="45">
        <v>-4</v>
      </c>
      <c r="AK26" s="181"/>
      <c r="AL26" s="107">
        <v>21</v>
      </c>
      <c r="AM26" s="45" t="s">
        <v>117</v>
      </c>
      <c r="AN26" s="45">
        <v>-4</v>
      </c>
      <c r="AP26" s="107">
        <v>21</v>
      </c>
      <c r="AQ26" s="45" t="s">
        <v>1489</v>
      </c>
      <c r="AR26" s="45">
        <v>-3</v>
      </c>
      <c r="AU26" s="267"/>
      <c r="AW26" s="267"/>
      <c r="AY26" s="213"/>
      <c r="BA26" s="267"/>
      <c r="BB26" s="181"/>
      <c r="BC26" s="267"/>
      <c r="BD26" s="181"/>
      <c r="BE26" s="267"/>
      <c r="BF26" s="181"/>
      <c r="BG26" s="267"/>
      <c r="BH26" s="107">
        <v>21</v>
      </c>
      <c r="BI26" s="45" t="s">
        <v>1116</v>
      </c>
      <c r="BJ26" s="67">
        <v>4</v>
      </c>
      <c r="BP26" s="156"/>
      <c r="BQ26" s="156"/>
      <c r="BT26" s="156"/>
      <c r="BU26" s="156"/>
    </row>
    <row r="27" spans="1:73">
      <c r="B27" s="107">
        <v>22</v>
      </c>
      <c r="C27" s="105" t="s">
        <v>124</v>
      </c>
      <c r="D27" s="45">
        <v>15</v>
      </c>
      <c r="E27" s="45" t="s">
        <v>80</v>
      </c>
      <c r="F27" s="107">
        <v>22</v>
      </c>
      <c r="G27" s="45" t="s">
        <v>106</v>
      </c>
      <c r="H27" s="45">
        <v>-7</v>
      </c>
      <c r="J27" s="107">
        <v>22</v>
      </c>
      <c r="K27" s="45" t="s">
        <v>103</v>
      </c>
      <c r="L27" s="45">
        <v>15</v>
      </c>
      <c r="N27" s="107">
        <v>22</v>
      </c>
      <c r="O27" s="45" t="s">
        <v>112</v>
      </c>
      <c r="P27" s="45">
        <v>-3</v>
      </c>
      <c r="R27" s="107">
        <v>22</v>
      </c>
      <c r="S27" s="45" t="s">
        <v>112</v>
      </c>
      <c r="T27" s="45">
        <v>0</v>
      </c>
      <c r="V27" s="107">
        <v>22</v>
      </c>
      <c r="W27" s="45" t="s">
        <v>121</v>
      </c>
      <c r="X27" s="45">
        <v>1</v>
      </c>
      <c r="Z27" s="265"/>
      <c r="AA27" s="265"/>
      <c r="AB27" s="265"/>
      <c r="AD27" s="107">
        <v>22</v>
      </c>
      <c r="AE27" s="45" t="s">
        <v>120</v>
      </c>
      <c r="AF27" s="45">
        <v>-2</v>
      </c>
      <c r="AH27" s="107">
        <v>22</v>
      </c>
      <c r="AI27" s="45" t="s">
        <v>132</v>
      </c>
      <c r="AJ27" s="45">
        <v>4</v>
      </c>
      <c r="AK27" s="181"/>
      <c r="AL27" s="107">
        <v>22</v>
      </c>
      <c r="AM27" s="45" t="s">
        <v>120</v>
      </c>
      <c r="AN27" s="45">
        <v>-2</v>
      </c>
      <c r="AP27" s="107">
        <v>22</v>
      </c>
      <c r="AQ27" s="45" t="s">
        <v>115</v>
      </c>
      <c r="AR27" s="45">
        <v>3</v>
      </c>
      <c r="AU27" s="267"/>
      <c r="AW27" s="267"/>
      <c r="AY27" s="213"/>
      <c r="BA27" s="267"/>
      <c r="BB27" s="181"/>
      <c r="BC27" s="267"/>
      <c r="BD27" s="181"/>
      <c r="BE27" s="267"/>
      <c r="BF27" s="181"/>
      <c r="BG27" s="267"/>
      <c r="BH27" s="107">
        <v>22</v>
      </c>
      <c r="BI27" s="45" t="s">
        <v>88</v>
      </c>
      <c r="BJ27" s="67">
        <v>-1</v>
      </c>
    </row>
    <row r="28" spans="1:73">
      <c r="B28" s="107">
        <v>23</v>
      </c>
      <c r="C28" s="45" t="s">
        <v>113</v>
      </c>
      <c r="D28" s="45">
        <v>16</v>
      </c>
      <c r="E28" s="45" t="s">
        <v>79</v>
      </c>
      <c r="F28" s="107">
        <v>23</v>
      </c>
      <c r="G28" s="105" t="s">
        <v>132</v>
      </c>
      <c r="H28" s="45">
        <v>8</v>
      </c>
      <c r="J28" s="107">
        <v>23</v>
      </c>
      <c r="K28" s="45" t="s">
        <v>121</v>
      </c>
      <c r="L28" s="45">
        <v>-4</v>
      </c>
      <c r="N28" s="107">
        <v>23</v>
      </c>
      <c r="O28" s="45" t="s">
        <v>89</v>
      </c>
      <c r="P28" s="45">
        <v>-6</v>
      </c>
      <c r="R28" s="107">
        <v>23</v>
      </c>
      <c r="S28" s="45" t="s">
        <v>121</v>
      </c>
      <c r="T28" s="45">
        <v>1</v>
      </c>
      <c r="V28" s="107">
        <v>23</v>
      </c>
      <c r="W28" s="45" t="s">
        <v>128</v>
      </c>
      <c r="X28" s="45">
        <v>-3</v>
      </c>
      <c r="Z28" s="265"/>
      <c r="AA28" s="265"/>
      <c r="AB28" s="265"/>
      <c r="AD28" s="107">
        <v>23</v>
      </c>
      <c r="AE28" s="45" t="s">
        <v>88</v>
      </c>
      <c r="AF28" s="45">
        <v>-6</v>
      </c>
      <c r="AH28" s="107">
        <v>23</v>
      </c>
      <c r="AI28" s="45" t="s">
        <v>1114</v>
      </c>
      <c r="AJ28" s="45">
        <v>-5</v>
      </c>
      <c r="AK28" s="181"/>
      <c r="AL28" s="107">
        <v>23</v>
      </c>
      <c r="AM28" s="45" t="s">
        <v>1154</v>
      </c>
      <c r="AN28" s="45">
        <v>3</v>
      </c>
      <c r="AP28" s="107">
        <v>23</v>
      </c>
      <c r="AQ28" s="45" t="s">
        <v>1115</v>
      </c>
      <c r="AR28" s="45">
        <v>1</v>
      </c>
      <c r="AU28" s="267"/>
      <c r="AW28" s="267"/>
      <c r="AY28" s="213"/>
      <c r="BA28" s="267"/>
      <c r="BB28" s="181"/>
      <c r="BC28" s="267"/>
      <c r="BD28" s="181"/>
      <c r="BE28" s="267"/>
      <c r="BF28" s="181"/>
      <c r="BG28" s="267"/>
      <c r="BH28" s="107">
        <v>23</v>
      </c>
      <c r="BI28" s="45" t="s">
        <v>124</v>
      </c>
      <c r="BJ28" s="67">
        <v>-8</v>
      </c>
    </row>
    <row r="29" spans="1:73" ht="13.5" thickBot="1">
      <c r="B29" s="107">
        <v>24</v>
      </c>
      <c r="C29" s="45" t="s">
        <v>114</v>
      </c>
      <c r="D29" s="45">
        <v>17</v>
      </c>
      <c r="E29" s="45" t="s">
        <v>79</v>
      </c>
      <c r="F29" s="107">
        <v>24</v>
      </c>
      <c r="G29" s="105" t="s">
        <v>28</v>
      </c>
      <c r="H29" s="45">
        <v>8</v>
      </c>
      <c r="J29" s="107">
        <v>24</v>
      </c>
      <c r="K29" s="45" t="s">
        <v>113</v>
      </c>
      <c r="L29" s="45">
        <v>-4</v>
      </c>
      <c r="N29" s="107">
        <v>24</v>
      </c>
      <c r="O29" s="45" t="s">
        <v>114</v>
      </c>
      <c r="P29" s="45">
        <v>5</v>
      </c>
      <c r="R29" s="107">
        <v>24</v>
      </c>
      <c r="S29" s="45" t="s">
        <v>96</v>
      </c>
      <c r="T29" s="45">
        <v>-3</v>
      </c>
      <c r="V29" s="107">
        <v>24</v>
      </c>
      <c r="W29" s="105" t="s">
        <v>28</v>
      </c>
      <c r="X29" s="45">
        <v>6</v>
      </c>
      <c r="Z29" s="265"/>
      <c r="AA29" s="265"/>
      <c r="AB29" s="265"/>
      <c r="AD29" s="107">
        <v>24</v>
      </c>
      <c r="AE29" s="45" t="s">
        <v>127</v>
      </c>
      <c r="AF29" s="45">
        <v>2</v>
      </c>
      <c r="AH29" s="107">
        <v>24</v>
      </c>
      <c r="AI29" s="45" t="s">
        <v>88</v>
      </c>
      <c r="AJ29" s="45">
        <v>-1</v>
      </c>
      <c r="AK29" s="181"/>
      <c r="AL29" s="107">
        <v>24</v>
      </c>
      <c r="AM29" s="45" t="s">
        <v>1115</v>
      </c>
      <c r="AN29" s="45">
        <v>-6</v>
      </c>
      <c r="AP29" s="107">
        <v>24</v>
      </c>
      <c r="AQ29" s="45" t="s">
        <v>120</v>
      </c>
      <c r="AR29" s="45">
        <v>-2</v>
      </c>
      <c r="AU29" s="267"/>
      <c r="AW29" s="267"/>
      <c r="AY29" s="214"/>
      <c r="BA29" s="267"/>
      <c r="BB29" s="181"/>
      <c r="BC29" s="267"/>
      <c r="BD29" s="181"/>
      <c r="BE29" s="267"/>
      <c r="BF29" s="181"/>
      <c r="BG29" s="267"/>
      <c r="BH29" s="107">
        <v>24</v>
      </c>
      <c r="BI29" s="45" t="s">
        <v>122</v>
      </c>
      <c r="BJ29" s="67">
        <v>-7</v>
      </c>
    </row>
    <row r="30" spans="1:73">
      <c r="B30" s="107">
        <v>25</v>
      </c>
      <c r="C30" s="105" t="s">
        <v>115</v>
      </c>
      <c r="D30" s="45">
        <v>18</v>
      </c>
      <c r="E30" s="45" t="s">
        <v>80</v>
      </c>
      <c r="F30" s="107">
        <v>25</v>
      </c>
      <c r="G30" s="45" t="s">
        <v>122</v>
      </c>
      <c r="H30" s="45">
        <v>-5</v>
      </c>
      <c r="J30" s="107">
        <v>25</v>
      </c>
      <c r="K30" s="45" t="s">
        <v>96</v>
      </c>
      <c r="L30" s="45">
        <v>6</v>
      </c>
      <c r="N30" s="107">
        <v>25</v>
      </c>
      <c r="O30" s="45" t="s">
        <v>124</v>
      </c>
      <c r="P30" s="45">
        <v>10</v>
      </c>
      <c r="R30" s="107">
        <v>25</v>
      </c>
      <c r="S30" s="45" t="s">
        <v>103</v>
      </c>
      <c r="T30" s="45">
        <v>4</v>
      </c>
      <c r="V30" s="107">
        <v>25</v>
      </c>
      <c r="W30" s="105" t="s">
        <v>132</v>
      </c>
      <c r="X30" s="45">
        <v>3</v>
      </c>
      <c r="Z30" s="265"/>
      <c r="AA30" s="265"/>
      <c r="AB30" s="265"/>
      <c r="AD30" s="107">
        <v>25</v>
      </c>
      <c r="AE30" s="45" t="s">
        <v>128</v>
      </c>
      <c r="AF30" s="45">
        <v>-2</v>
      </c>
      <c r="AH30" s="107">
        <v>25</v>
      </c>
      <c r="AI30" s="45" t="s">
        <v>122</v>
      </c>
      <c r="AJ30" s="45">
        <v>-6</v>
      </c>
      <c r="AK30" s="181"/>
      <c r="AL30" s="107">
        <v>25</v>
      </c>
      <c r="AM30" s="105" t="s">
        <v>115</v>
      </c>
      <c r="AN30" s="45">
        <v>4</v>
      </c>
      <c r="AP30" s="107">
        <v>25</v>
      </c>
      <c r="AQ30" s="105" t="s">
        <v>1116</v>
      </c>
      <c r="AR30" s="45">
        <v>10</v>
      </c>
      <c r="AU30" s="267"/>
      <c r="AW30" s="268"/>
      <c r="AY30" s="212"/>
      <c r="BA30" s="268"/>
      <c r="BB30" s="181"/>
      <c r="BC30" s="268"/>
      <c r="BD30" s="181"/>
      <c r="BE30" s="268"/>
      <c r="BF30" s="181"/>
      <c r="BG30" s="268"/>
      <c r="BH30" s="107">
        <v>25</v>
      </c>
      <c r="BI30" s="45" t="s">
        <v>116</v>
      </c>
      <c r="BJ30" s="67">
        <v>1</v>
      </c>
    </row>
    <row r="31" spans="1:73">
      <c r="B31" s="107">
        <v>26</v>
      </c>
      <c r="C31" s="45" t="s">
        <v>116</v>
      </c>
      <c r="D31" s="45">
        <v>19</v>
      </c>
      <c r="E31" s="45" t="s">
        <v>80</v>
      </c>
      <c r="F31" s="107">
        <v>26</v>
      </c>
      <c r="G31" s="45" t="s">
        <v>123</v>
      </c>
      <c r="H31" s="45">
        <v>-5</v>
      </c>
      <c r="J31" s="107">
        <v>26</v>
      </c>
      <c r="K31" s="45" t="s">
        <v>128</v>
      </c>
      <c r="L31" s="45">
        <v>7</v>
      </c>
      <c r="N31" s="107">
        <v>26</v>
      </c>
      <c r="O31" s="45" t="s">
        <v>122</v>
      </c>
      <c r="P31" s="45">
        <v>2</v>
      </c>
      <c r="R31" s="107">
        <v>26</v>
      </c>
      <c r="S31" s="45" t="s">
        <v>61</v>
      </c>
      <c r="T31" s="45">
        <v>1</v>
      </c>
      <c r="V31" s="107">
        <v>26</v>
      </c>
      <c r="W31" s="105" t="s">
        <v>127</v>
      </c>
      <c r="X31" s="45">
        <v>11</v>
      </c>
      <c r="Z31" s="265"/>
      <c r="AA31" s="265"/>
      <c r="AB31" s="265"/>
      <c r="AD31" s="107">
        <v>26</v>
      </c>
      <c r="AE31" s="45" t="s">
        <v>132</v>
      </c>
      <c r="AF31" s="45">
        <v>-1</v>
      </c>
      <c r="AH31" s="107">
        <v>26</v>
      </c>
      <c r="AI31" s="105" t="s">
        <v>1154</v>
      </c>
      <c r="AJ31" s="45">
        <v>2</v>
      </c>
      <c r="AK31" s="181"/>
      <c r="AL31" s="107">
        <v>26</v>
      </c>
      <c r="AM31" s="105" t="s">
        <v>127</v>
      </c>
      <c r="AN31" s="45">
        <v>2</v>
      </c>
      <c r="AP31" s="107">
        <v>26</v>
      </c>
      <c r="AQ31" s="105" t="s">
        <v>131</v>
      </c>
      <c r="AR31" s="45">
        <v>4</v>
      </c>
      <c r="AU31" s="267"/>
      <c r="AW31" s="268"/>
      <c r="AY31" s="213"/>
      <c r="BA31" s="268"/>
      <c r="BB31" s="181"/>
      <c r="BC31" s="268"/>
      <c r="BD31" s="181"/>
      <c r="BE31" s="268"/>
      <c r="BF31" s="181"/>
      <c r="BG31" s="268"/>
      <c r="BH31" s="107">
        <v>26</v>
      </c>
      <c r="BI31" s="45" t="s">
        <v>120</v>
      </c>
      <c r="BJ31" s="67">
        <v>-2</v>
      </c>
    </row>
    <row r="32" spans="1:73">
      <c r="B32" s="107">
        <v>27</v>
      </c>
      <c r="C32" s="45" t="s">
        <v>125</v>
      </c>
      <c r="D32" s="45">
        <v>20</v>
      </c>
      <c r="E32" s="45" t="s">
        <v>79</v>
      </c>
      <c r="F32" s="107">
        <v>27</v>
      </c>
      <c r="G32" s="45" t="s">
        <v>115</v>
      </c>
      <c r="H32" s="45">
        <v>-2</v>
      </c>
      <c r="J32" s="109">
        <v>27</v>
      </c>
      <c r="K32" s="45" t="s">
        <v>117</v>
      </c>
      <c r="L32" s="45">
        <v>-9</v>
      </c>
      <c r="N32" s="109">
        <v>27</v>
      </c>
      <c r="O32" s="45" t="s">
        <v>103</v>
      </c>
      <c r="P32" s="45">
        <v>-5</v>
      </c>
      <c r="R32" s="109">
        <v>27</v>
      </c>
      <c r="S32" s="45" t="s">
        <v>114</v>
      </c>
      <c r="T32" s="45">
        <v>-8</v>
      </c>
      <c r="V32" s="109">
        <v>27</v>
      </c>
      <c r="W32" s="108" t="s">
        <v>103</v>
      </c>
      <c r="X32" s="45">
        <v>-2</v>
      </c>
      <c r="Z32" s="265"/>
      <c r="AA32" s="265"/>
      <c r="AB32" s="265"/>
      <c r="AD32" s="107">
        <v>27</v>
      </c>
      <c r="AE32" s="105" t="s">
        <v>117</v>
      </c>
      <c r="AF32" s="45">
        <v>4</v>
      </c>
      <c r="AH32" s="109">
        <v>27</v>
      </c>
      <c r="AI32" s="108" t="s">
        <v>128</v>
      </c>
      <c r="AJ32" s="45">
        <v>-2</v>
      </c>
      <c r="AK32" s="181"/>
      <c r="AL32" s="109">
        <v>27</v>
      </c>
      <c r="AM32" s="108" t="s">
        <v>106</v>
      </c>
      <c r="AN32" s="45">
        <v>-6</v>
      </c>
      <c r="AP32" s="109">
        <v>27</v>
      </c>
      <c r="AQ32" s="108" t="s">
        <v>127</v>
      </c>
      <c r="AR32" s="45">
        <v>-1</v>
      </c>
      <c r="AU32" s="268"/>
      <c r="AW32" s="268"/>
      <c r="AY32" s="213"/>
      <c r="BA32" s="268"/>
      <c r="BB32" s="181"/>
      <c r="BC32" s="268"/>
      <c r="BD32" s="181"/>
      <c r="BE32" s="268"/>
      <c r="BF32" s="181"/>
      <c r="BG32" s="268"/>
      <c r="BH32" s="107">
        <v>27</v>
      </c>
      <c r="BI32" s="105" t="s">
        <v>123</v>
      </c>
      <c r="BJ32" s="67">
        <v>4</v>
      </c>
    </row>
    <row r="33" spans="1:62">
      <c r="B33" s="109">
        <v>28</v>
      </c>
      <c r="C33" s="108" t="s">
        <v>126</v>
      </c>
      <c r="D33" s="45">
        <v>1</v>
      </c>
      <c r="E33" s="45" t="s">
        <v>79</v>
      </c>
      <c r="F33" s="109">
        <v>28</v>
      </c>
      <c r="G33" s="110" t="s">
        <v>124</v>
      </c>
      <c r="H33" s="45">
        <v>-6</v>
      </c>
      <c r="J33" s="109">
        <v>28</v>
      </c>
      <c r="K33" s="45" t="s">
        <v>122</v>
      </c>
      <c r="L33" s="45">
        <v>-3</v>
      </c>
      <c r="N33" s="109">
        <v>28</v>
      </c>
      <c r="O33" s="45" t="s">
        <v>123</v>
      </c>
      <c r="P33" s="45">
        <v>-8</v>
      </c>
      <c r="R33" s="109">
        <v>28</v>
      </c>
      <c r="S33" s="45" t="s">
        <v>132</v>
      </c>
      <c r="T33" s="45">
        <v>-8</v>
      </c>
      <c r="V33" s="109">
        <v>28</v>
      </c>
      <c r="W33" s="108" t="s">
        <v>113</v>
      </c>
      <c r="X33" s="45">
        <v>-15</v>
      </c>
      <c r="Z33" s="265"/>
      <c r="AA33" s="265"/>
      <c r="AB33" s="265"/>
      <c r="AD33" s="109">
        <v>28</v>
      </c>
      <c r="AE33" s="45" t="s">
        <v>113</v>
      </c>
      <c r="AF33" s="45">
        <v>0</v>
      </c>
      <c r="AH33" s="109">
        <v>28</v>
      </c>
      <c r="AI33" s="108" t="s">
        <v>127</v>
      </c>
      <c r="AJ33" s="45">
        <v>-4</v>
      </c>
      <c r="AK33" s="181"/>
      <c r="AL33" s="109">
        <v>28</v>
      </c>
      <c r="AM33" s="108" t="s">
        <v>1114</v>
      </c>
      <c r="AN33" s="45">
        <v>-5</v>
      </c>
      <c r="AP33" s="109">
        <v>28</v>
      </c>
      <c r="AQ33" s="108" t="s">
        <v>1154</v>
      </c>
      <c r="AR33" s="45">
        <v>-5</v>
      </c>
      <c r="AU33" s="268"/>
      <c r="AW33" s="268"/>
      <c r="AY33" s="213"/>
      <c r="BA33" s="268"/>
      <c r="BB33" s="181"/>
      <c r="BC33" s="268"/>
      <c r="BD33" s="181"/>
      <c r="BE33" s="268"/>
      <c r="BF33" s="181"/>
      <c r="BG33" s="268"/>
      <c r="BH33" s="107">
        <v>28</v>
      </c>
      <c r="BI33" s="105" t="s">
        <v>61</v>
      </c>
      <c r="BJ33" s="67">
        <v>7</v>
      </c>
    </row>
    <row r="34" spans="1:62">
      <c r="B34" s="109">
        <v>29</v>
      </c>
      <c r="C34" s="108" t="s">
        <v>117</v>
      </c>
      <c r="D34" s="45">
        <v>2</v>
      </c>
      <c r="E34" s="45" t="s">
        <v>80</v>
      </c>
      <c r="F34" s="109">
        <v>29</v>
      </c>
      <c r="G34" s="108" t="s">
        <v>131</v>
      </c>
      <c r="H34" s="45">
        <v>-3</v>
      </c>
      <c r="J34" s="109">
        <v>29</v>
      </c>
      <c r="K34" s="45" t="s">
        <v>114</v>
      </c>
      <c r="L34" s="45">
        <v>-13</v>
      </c>
      <c r="N34" s="109">
        <v>29</v>
      </c>
      <c r="O34" s="45" t="s">
        <v>96</v>
      </c>
      <c r="P34" s="45">
        <v>-4</v>
      </c>
      <c r="R34" s="109">
        <v>29</v>
      </c>
      <c r="S34" s="45" t="s">
        <v>116</v>
      </c>
      <c r="T34" s="45">
        <v>3</v>
      </c>
      <c r="V34" s="109">
        <v>29</v>
      </c>
      <c r="W34" s="108" t="s">
        <v>61</v>
      </c>
      <c r="X34" s="45">
        <v>-3</v>
      </c>
      <c r="Z34" s="265"/>
      <c r="AA34" s="265"/>
      <c r="AB34" s="265"/>
      <c r="AD34" s="109">
        <v>29</v>
      </c>
      <c r="AE34" s="45" t="s">
        <v>115</v>
      </c>
      <c r="AF34" s="45">
        <v>5</v>
      </c>
      <c r="AH34" s="109">
        <v>29</v>
      </c>
      <c r="AI34" s="45" t="s">
        <v>115</v>
      </c>
      <c r="AJ34" s="45">
        <v>0</v>
      </c>
      <c r="AK34" s="181"/>
      <c r="AL34" s="109">
        <v>29</v>
      </c>
      <c r="AM34" s="45" t="s">
        <v>123</v>
      </c>
      <c r="AN34" s="45">
        <v>2</v>
      </c>
      <c r="AP34" s="109">
        <v>29</v>
      </c>
      <c r="AQ34" s="45" t="s">
        <v>1114</v>
      </c>
      <c r="AR34" s="45">
        <v>-1</v>
      </c>
      <c r="AU34" s="268"/>
      <c r="AW34" s="268"/>
      <c r="AY34" s="213"/>
      <c r="BA34" s="268"/>
      <c r="BB34" s="181"/>
      <c r="BC34" s="268"/>
      <c r="BD34" s="181"/>
      <c r="BE34" s="268"/>
      <c r="BF34" s="181"/>
      <c r="BG34" s="268"/>
      <c r="BH34" s="109">
        <v>29</v>
      </c>
      <c r="BI34" s="45" t="s">
        <v>95</v>
      </c>
      <c r="BJ34" s="67">
        <v>5</v>
      </c>
    </row>
    <row r="35" spans="1:62">
      <c r="B35" s="109">
        <v>30</v>
      </c>
      <c r="C35" s="108" t="s">
        <v>118</v>
      </c>
      <c r="D35" s="45">
        <v>3</v>
      </c>
      <c r="E35" s="45" t="s">
        <v>80</v>
      </c>
      <c r="F35" s="109">
        <v>30</v>
      </c>
      <c r="G35" s="45" t="s">
        <v>127</v>
      </c>
      <c r="H35" s="45">
        <v>3</v>
      </c>
      <c r="J35" s="109">
        <v>30</v>
      </c>
      <c r="K35" s="45" t="s">
        <v>115</v>
      </c>
      <c r="L35" s="45">
        <v>-3</v>
      </c>
      <c r="N35" s="109">
        <v>30</v>
      </c>
      <c r="O35" s="45" t="s">
        <v>117</v>
      </c>
      <c r="P35" s="45">
        <v>-3</v>
      </c>
      <c r="R35" s="109">
        <v>30</v>
      </c>
      <c r="S35" s="45" t="s">
        <v>28</v>
      </c>
      <c r="T35" s="45">
        <v>3</v>
      </c>
      <c r="V35" s="109">
        <v>30</v>
      </c>
      <c r="W35" s="45" t="s">
        <v>125</v>
      </c>
      <c r="X35" s="45">
        <v>1</v>
      </c>
      <c r="Z35" s="265"/>
      <c r="AA35" s="265"/>
      <c r="AB35" s="265"/>
      <c r="AD35" s="109">
        <v>30</v>
      </c>
      <c r="AE35" s="45" t="s">
        <v>114</v>
      </c>
      <c r="AF35" s="45">
        <v>3</v>
      </c>
      <c r="AH35" s="109">
        <v>30</v>
      </c>
      <c r="AI35" s="45" t="s">
        <v>131</v>
      </c>
      <c r="AJ35" s="45">
        <v>3</v>
      </c>
      <c r="AK35" s="181"/>
      <c r="AL35" s="109">
        <v>30</v>
      </c>
      <c r="AM35" s="45" t="s">
        <v>131</v>
      </c>
      <c r="AN35" s="45">
        <v>0</v>
      </c>
      <c r="AP35" s="109">
        <v>30</v>
      </c>
      <c r="AQ35" s="45" t="s">
        <v>125</v>
      </c>
      <c r="AR35" s="45">
        <v>1</v>
      </c>
      <c r="AU35" s="268"/>
      <c r="AW35" s="268"/>
      <c r="AY35" s="213"/>
      <c r="BA35" s="268"/>
      <c r="BB35" s="181"/>
      <c r="BC35" s="268"/>
      <c r="BD35" s="181"/>
      <c r="BE35" s="268"/>
      <c r="BF35" s="181"/>
      <c r="BG35" s="268"/>
      <c r="BH35" s="109">
        <v>30</v>
      </c>
      <c r="BI35" s="45" t="s">
        <v>114</v>
      </c>
      <c r="BJ35" s="67">
        <v>6</v>
      </c>
    </row>
    <row r="36" spans="1:62">
      <c r="B36" s="109">
        <v>31</v>
      </c>
      <c r="C36" s="45" t="s">
        <v>132</v>
      </c>
      <c r="D36" s="45">
        <v>4</v>
      </c>
      <c r="E36" s="45" t="s">
        <v>79</v>
      </c>
      <c r="F36" s="109">
        <v>31</v>
      </c>
      <c r="G36" s="45" t="s">
        <v>96</v>
      </c>
      <c r="H36" s="45">
        <v>12</v>
      </c>
      <c r="J36" s="109">
        <v>31</v>
      </c>
      <c r="K36" s="45" t="s">
        <v>127</v>
      </c>
      <c r="L36" s="45">
        <v>-1</v>
      </c>
      <c r="N36" s="109">
        <v>31</v>
      </c>
      <c r="O36" s="45" t="s">
        <v>125</v>
      </c>
      <c r="P36" s="45">
        <v>6</v>
      </c>
      <c r="R36" s="109">
        <v>31</v>
      </c>
      <c r="S36" s="45" t="s">
        <v>125</v>
      </c>
      <c r="T36" s="45">
        <v>0</v>
      </c>
      <c r="V36" s="109">
        <v>31</v>
      </c>
      <c r="W36" s="45" t="s">
        <v>117</v>
      </c>
      <c r="X36" s="45">
        <v>1</v>
      </c>
      <c r="Z36" s="265"/>
      <c r="AA36" s="265"/>
      <c r="AB36" s="265"/>
      <c r="AD36" s="109">
        <v>31</v>
      </c>
      <c r="AE36" s="45" t="s">
        <v>125</v>
      </c>
      <c r="AF36" s="45">
        <v>-1</v>
      </c>
      <c r="AH36" s="109">
        <v>31</v>
      </c>
      <c r="AI36" s="45" t="s">
        <v>123</v>
      </c>
      <c r="AJ36" s="45">
        <v>4</v>
      </c>
      <c r="AK36" s="181"/>
      <c r="AL36" s="109">
        <v>31</v>
      </c>
      <c r="AM36" s="45" t="s">
        <v>125</v>
      </c>
      <c r="AN36" s="45">
        <v>1</v>
      </c>
      <c r="AP36" s="109">
        <v>31</v>
      </c>
      <c r="AQ36" s="45" t="s">
        <v>123</v>
      </c>
      <c r="AR36" s="45">
        <v>-2</v>
      </c>
      <c r="AU36" s="268"/>
      <c r="AW36" s="268"/>
      <c r="AY36" s="213"/>
      <c r="BA36" s="268"/>
      <c r="BB36" s="181"/>
      <c r="BC36" s="268"/>
      <c r="BD36" s="181"/>
      <c r="BE36" s="268"/>
      <c r="BF36" s="181"/>
      <c r="BG36" s="268"/>
      <c r="BH36" s="109">
        <v>31</v>
      </c>
      <c r="BI36" s="45" t="s">
        <v>1154</v>
      </c>
      <c r="BJ36" s="67">
        <v>-3</v>
      </c>
    </row>
    <row r="37" spans="1:62">
      <c r="B37" s="109">
        <v>32</v>
      </c>
      <c r="C37" s="45" t="s">
        <v>28</v>
      </c>
      <c r="D37" s="45">
        <v>5</v>
      </c>
      <c r="E37" s="45" t="s">
        <v>79</v>
      </c>
      <c r="F37" s="109">
        <v>32</v>
      </c>
      <c r="G37" s="45" t="s">
        <v>95</v>
      </c>
      <c r="H37" s="45">
        <v>10</v>
      </c>
      <c r="J37" s="109">
        <v>32</v>
      </c>
      <c r="K37" s="45" t="s">
        <v>28</v>
      </c>
      <c r="L37" s="45">
        <v>-8</v>
      </c>
      <c r="N37" s="109">
        <v>32</v>
      </c>
      <c r="O37" s="45" t="s">
        <v>28</v>
      </c>
      <c r="P37" s="45">
        <v>0</v>
      </c>
      <c r="R37" s="109">
        <v>32</v>
      </c>
      <c r="S37" s="45" t="s">
        <v>117</v>
      </c>
      <c r="T37" s="45">
        <v>-2</v>
      </c>
      <c r="V37" s="109">
        <v>32</v>
      </c>
      <c r="W37" s="45" t="s">
        <v>265</v>
      </c>
      <c r="X37" s="45">
        <v>-3</v>
      </c>
      <c r="Z37" s="265"/>
      <c r="AA37" s="265"/>
      <c r="AB37" s="265"/>
      <c r="AD37" s="109">
        <v>32</v>
      </c>
      <c r="AE37" s="45" t="s">
        <v>126</v>
      </c>
      <c r="AF37" s="45">
        <v>6</v>
      </c>
      <c r="AH37" s="109">
        <v>32</v>
      </c>
      <c r="AI37" s="45" t="s">
        <v>125</v>
      </c>
      <c r="AJ37" s="45">
        <v>-1</v>
      </c>
      <c r="AK37" s="181"/>
      <c r="AL37" s="109">
        <v>32</v>
      </c>
      <c r="AM37" s="45" t="s">
        <v>126</v>
      </c>
      <c r="AN37" s="45">
        <v>3</v>
      </c>
      <c r="AP37" s="109">
        <v>32</v>
      </c>
      <c r="AQ37" s="45" t="s">
        <v>126</v>
      </c>
      <c r="AR37" s="45">
        <v>0</v>
      </c>
      <c r="AU37" s="268"/>
      <c r="AW37" s="268"/>
      <c r="AY37" s="213"/>
      <c r="BA37" s="268"/>
      <c r="BB37" s="181"/>
      <c r="BC37" s="268"/>
      <c r="BD37" s="181"/>
      <c r="BE37" s="268"/>
      <c r="BF37" s="181"/>
      <c r="BG37" s="268"/>
      <c r="BH37" s="109">
        <v>32</v>
      </c>
      <c r="BI37" s="45" t="s">
        <v>127</v>
      </c>
      <c r="BJ37" s="67">
        <v>-5</v>
      </c>
    </row>
    <row r="38" spans="1:62">
      <c r="B38" s="109">
        <v>33</v>
      </c>
      <c r="C38" s="45" t="s">
        <v>127</v>
      </c>
      <c r="D38" s="45">
        <v>6</v>
      </c>
      <c r="E38" s="45" t="s">
        <v>80</v>
      </c>
      <c r="F38" s="109">
        <v>33</v>
      </c>
      <c r="G38" s="45" t="s">
        <v>128</v>
      </c>
      <c r="H38" s="45">
        <v>1</v>
      </c>
      <c r="J38" s="109">
        <v>33</v>
      </c>
      <c r="K38" s="45" t="s">
        <v>126</v>
      </c>
      <c r="L38" s="45">
        <v>8</v>
      </c>
      <c r="N38" s="109">
        <v>33</v>
      </c>
      <c r="O38" s="45" t="s">
        <v>61</v>
      </c>
      <c r="P38" s="45">
        <v>7</v>
      </c>
      <c r="R38" s="109">
        <v>33</v>
      </c>
      <c r="S38" s="45" t="s">
        <v>115</v>
      </c>
      <c r="T38" s="45">
        <v>1</v>
      </c>
      <c r="V38" s="109">
        <v>33</v>
      </c>
      <c r="W38" s="45" t="s">
        <v>114</v>
      </c>
      <c r="X38" s="45">
        <v>-6</v>
      </c>
      <c r="Z38" s="265"/>
      <c r="AA38" s="265"/>
      <c r="AB38" s="265"/>
      <c r="AD38" s="109">
        <v>33</v>
      </c>
      <c r="AE38" s="45" t="s">
        <v>131</v>
      </c>
      <c r="AF38" s="45">
        <v>-1</v>
      </c>
      <c r="AH38" s="109">
        <v>33</v>
      </c>
      <c r="AI38" s="45" t="s">
        <v>61</v>
      </c>
      <c r="AJ38" s="45">
        <v>3</v>
      </c>
      <c r="AK38" s="181"/>
      <c r="AL38" s="109">
        <v>33</v>
      </c>
      <c r="AM38" s="45" t="s">
        <v>61</v>
      </c>
      <c r="AN38" s="45">
        <v>0</v>
      </c>
      <c r="AP38" s="109">
        <v>33</v>
      </c>
      <c r="AQ38" s="45" t="s">
        <v>91</v>
      </c>
      <c r="AR38" s="45">
        <v>3</v>
      </c>
      <c r="AU38" s="268"/>
      <c r="AW38" s="268"/>
      <c r="AY38" s="213"/>
      <c r="BA38" s="268"/>
      <c r="BB38" s="181"/>
      <c r="BC38" s="268"/>
      <c r="BD38" s="181"/>
      <c r="BE38" s="268"/>
      <c r="BF38" s="181"/>
      <c r="BG38" s="268"/>
      <c r="BH38" s="109">
        <v>33</v>
      </c>
      <c r="BI38" s="45" t="s">
        <v>106</v>
      </c>
      <c r="BJ38" s="67">
        <v>4</v>
      </c>
    </row>
    <row r="39" spans="1:62">
      <c r="B39" s="109">
        <v>34</v>
      </c>
      <c r="C39" s="45" t="s">
        <v>128</v>
      </c>
      <c r="D39" s="45">
        <v>7</v>
      </c>
      <c r="E39" s="45" t="s">
        <v>80</v>
      </c>
      <c r="F39" s="109">
        <v>34</v>
      </c>
      <c r="G39" s="45" t="s">
        <v>107</v>
      </c>
      <c r="H39" s="45">
        <v>11</v>
      </c>
      <c r="J39" s="109">
        <v>34</v>
      </c>
      <c r="K39" s="45" t="s">
        <v>62</v>
      </c>
      <c r="L39" s="45">
        <v>9</v>
      </c>
      <c r="N39" s="109">
        <v>34</v>
      </c>
      <c r="O39" s="45" t="s">
        <v>115</v>
      </c>
      <c r="P39" s="45">
        <v>-4</v>
      </c>
      <c r="R39" s="109">
        <v>34</v>
      </c>
      <c r="S39" s="45" t="s">
        <v>107</v>
      </c>
      <c r="T39" s="45">
        <v>2</v>
      </c>
      <c r="V39" s="109">
        <v>34</v>
      </c>
      <c r="W39" s="45" t="s">
        <v>115</v>
      </c>
      <c r="X39" s="45">
        <v>-1</v>
      </c>
      <c r="Z39" s="265"/>
      <c r="AA39" s="265"/>
      <c r="AB39" s="265"/>
      <c r="AD39" s="109">
        <v>34</v>
      </c>
      <c r="AE39" s="45" t="s">
        <v>103</v>
      </c>
      <c r="AF39" s="45">
        <v>-7</v>
      </c>
      <c r="AH39" s="109">
        <v>34</v>
      </c>
      <c r="AI39" s="45" t="s">
        <v>114</v>
      </c>
      <c r="AJ39" s="45">
        <v>-4</v>
      </c>
      <c r="AK39" s="181"/>
      <c r="AL39" s="109">
        <v>34</v>
      </c>
      <c r="AM39" s="45" t="s">
        <v>128</v>
      </c>
      <c r="AN39" s="45">
        <v>-7</v>
      </c>
      <c r="AP39" s="109">
        <v>34</v>
      </c>
      <c r="AQ39" s="45" t="s">
        <v>95</v>
      </c>
      <c r="AR39" s="45">
        <v>4</v>
      </c>
      <c r="AU39" s="268"/>
      <c r="AW39" s="268"/>
      <c r="AY39" s="213"/>
      <c r="BA39" s="268"/>
      <c r="BB39" s="181"/>
      <c r="BC39" s="268"/>
      <c r="BD39" s="181"/>
      <c r="BE39" s="268"/>
      <c r="BF39" s="181"/>
      <c r="BG39" s="268"/>
      <c r="BH39" s="109">
        <v>34</v>
      </c>
      <c r="BI39" s="45" t="s">
        <v>126</v>
      </c>
      <c r="BJ39" s="67">
        <v>-2</v>
      </c>
    </row>
    <row r="40" spans="1:62">
      <c r="A40" s="45" t="s">
        <v>83</v>
      </c>
      <c r="B40" s="109">
        <v>35</v>
      </c>
      <c r="C40" s="45" t="s">
        <v>103</v>
      </c>
      <c r="D40" s="45">
        <v>8</v>
      </c>
      <c r="E40" s="45" t="s">
        <v>79</v>
      </c>
      <c r="F40" s="109">
        <v>35</v>
      </c>
      <c r="G40" s="108" t="s">
        <v>125</v>
      </c>
      <c r="H40" s="45">
        <v>-8</v>
      </c>
      <c r="J40" s="109">
        <v>35</v>
      </c>
      <c r="K40" s="45" t="s">
        <v>124</v>
      </c>
      <c r="L40" s="45">
        <v>-7</v>
      </c>
      <c r="N40" s="109">
        <v>35</v>
      </c>
      <c r="O40" s="45" t="s">
        <v>127</v>
      </c>
      <c r="P40" s="45">
        <v>-4</v>
      </c>
      <c r="R40" s="109">
        <v>35</v>
      </c>
      <c r="S40" s="45" t="s">
        <v>118</v>
      </c>
      <c r="T40" s="45">
        <v>4</v>
      </c>
      <c r="V40" s="109">
        <v>35</v>
      </c>
      <c r="W40" s="45" t="s">
        <v>90</v>
      </c>
      <c r="X40" s="45">
        <v>4</v>
      </c>
      <c r="Z40" s="265"/>
      <c r="AA40" s="265"/>
      <c r="AB40" s="265"/>
      <c r="AD40" s="109">
        <v>35</v>
      </c>
      <c r="AE40" s="45" t="s">
        <v>123</v>
      </c>
      <c r="AF40" s="45">
        <v>5</v>
      </c>
      <c r="AH40" s="109">
        <v>35</v>
      </c>
      <c r="AI40" s="45" t="s">
        <v>126</v>
      </c>
      <c r="AJ40" s="45">
        <v>-3</v>
      </c>
      <c r="AK40" s="181"/>
      <c r="AL40" s="109">
        <v>35</v>
      </c>
      <c r="AM40" s="45" t="s">
        <v>1116</v>
      </c>
      <c r="AN40" s="45">
        <v>3</v>
      </c>
      <c r="AP40" s="109">
        <v>35</v>
      </c>
      <c r="AQ40" s="45" t="s">
        <v>61</v>
      </c>
      <c r="AR40" s="45">
        <v>-2</v>
      </c>
      <c r="AU40" s="268"/>
      <c r="AW40" s="268"/>
      <c r="AY40" s="213"/>
      <c r="BA40" s="268"/>
      <c r="BB40" s="181"/>
      <c r="BC40" s="268"/>
      <c r="BD40" s="181"/>
      <c r="BE40" s="268"/>
      <c r="BF40" s="181"/>
      <c r="BG40" s="268"/>
      <c r="BH40" s="109">
        <v>35</v>
      </c>
      <c r="BI40" s="45" t="s">
        <v>185</v>
      </c>
      <c r="BJ40" s="67">
        <v>4</v>
      </c>
    </row>
    <row r="41" spans="1:62" ht="13.5" thickBot="1">
      <c r="B41" s="109">
        <v>36</v>
      </c>
      <c r="C41" s="45" t="s">
        <v>102</v>
      </c>
      <c r="D41" s="45">
        <v>9</v>
      </c>
      <c r="E41" s="45" t="s">
        <v>79</v>
      </c>
      <c r="F41" s="109">
        <v>36</v>
      </c>
      <c r="G41" s="45" t="s">
        <v>61</v>
      </c>
      <c r="H41" s="45">
        <v>12</v>
      </c>
      <c r="J41" s="109">
        <v>36</v>
      </c>
      <c r="K41" s="45" t="s">
        <v>107</v>
      </c>
      <c r="L41" s="45">
        <v>-2</v>
      </c>
      <c r="N41" s="109">
        <v>36</v>
      </c>
      <c r="O41" s="45" t="s">
        <v>107</v>
      </c>
      <c r="P41" s="45">
        <v>0</v>
      </c>
      <c r="R41" s="109">
        <v>36</v>
      </c>
      <c r="S41" s="45" t="s">
        <v>95</v>
      </c>
      <c r="T41" s="45">
        <v>2</v>
      </c>
      <c r="V41" s="109">
        <v>36</v>
      </c>
      <c r="W41" s="45" t="s">
        <v>91</v>
      </c>
      <c r="X41" s="45">
        <v>2</v>
      </c>
      <c r="Z41" s="265"/>
      <c r="AA41" s="265"/>
      <c r="AB41" s="265"/>
      <c r="AD41" s="109">
        <v>36</v>
      </c>
      <c r="AE41" s="45" t="s">
        <v>61</v>
      </c>
      <c r="AF41" s="45">
        <v>-7</v>
      </c>
      <c r="AH41" s="109">
        <v>36</v>
      </c>
      <c r="AI41" s="45" t="s">
        <v>103</v>
      </c>
      <c r="AJ41" s="45">
        <v>-2</v>
      </c>
      <c r="AK41" s="181"/>
      <c r="AL41" s="109">
        <v>36</v>
      </c>
      <c r="AM41" s="45" t="s">
        <v>91</v>
      </c>
      <c r="AN41" s="45">
        <v>1</v>
      </c>
      <c r="AP41" s="109">
        <v>36</v>
      </c>
      <c r="AQ41" s="45" t="s">
        <v>114</v>
      </c>
      <c r="AR41" s="45">
        <v>1</v>
      </c>
      <c r="AU41" s="268"/>
      <c r="AW41" s="268"/>
      <c r="AY41" s="214"/>
      <c r="BA41" s="268"/>
      <c r="BB41" s="181"/>
      <c r="BC41" s="268"/>
      <c r="BD41" s="181"/>
      <c r="BE41" s="268"/>
      <c r="BF41" s="181"/>
      <c r="BG41" s="268"/>
      <c r="BH41" s="109">
        <v>36</v>
      </c>
      <c r="BI41" s="45" t="s">
        <v>91</v>
      </c>
      <c r="BJ41" s="67">
        <v>-3</v>
      </c>
    </row>
    <row r="42" spans="1:62">
      <c r="B42" s="109">
        <v>37</v>
      </c>
      <c r="C42" s="45" t="s">
        <v>104</v>
      </c>
      <c r="D42" s="45">
        <v>10</v>
      </c>
      <c r="E42" s="45" t="s">
        <v>80</v>
      </c>
      <c r="F42" s="109">
        <v>37</v>
      </c>
      <c r="G42" s="45" t="s">
        <v>103</v>
      </c>
      <c r="H42" s="45">
        <v>-2</v>
      </c>
      <c r="J42" s="109">
        <v>37</v>
      </c>
      <c r="K42" s="45" t="s">
        <v>125</v>
      </c>
      <c r="L42" s="45">
        <v>-2</v>
      </c>
      <c r="N42" s="109">
        <v>37</v>
      </c>
      <c r="O42" s="45" t="s">
        <v>126</v>
      </c>
      <c r="P42" s="45">
        <v>-4</v>
      </c>
      <c r="R42" s="109">
        <v>37</v>
      </c>
      <c r="S42" s="45" t="s">
        <v>127</v>
      </c>
      <c r="T42" s="45">
        <v>-2</v>
      </c>
      <c r="V42" s="109">
        <v>37</v>
      </c>
      <c r="W42" s="45" t="s">
        <v>107</v>
      </c>
      <c r="X42" s="45">
        <v>-3</v>
      </c>
      <c r="Z42" s="265"/>
      <c r="AA42" s="265"/>
      <c r="AB42" s="265"/>
      <c r="AD42" s="109">
        <v>37</v>
      </c>
      <c r="AE42" s="45" t="s">
        <v>1116</v>
      </c>
      <c r="AF42" s="45">
        <v>-2</v>
      </c>
      <c r="AH42" s="109">
        <v>37</v>
      </c>
      <c r="AI42" s="45" t="s">
        <v>91</v>
      </c>
      <c r="AJ42" s="45">
        <v>2</v>
      </c>
      <c r="AK42" s="181"/>
      <c r="AL42" s="109">
        <v>37</v>
      </c>
      <c r="AM42" s="45" t="s">
        <v>114</v>
      </c>
      <c r="AN42" s="45">
        <v>-3</v>
      </c>
      <c r="AP42" s="109">
        <v>37</v>
      </c>
      <c r="AQ42" s="45" t="s">
        <v>106</v>
      </c>
      <c r="AR42" s="45">
        <v>-10</v>
      </c>
      <c r="AU42" s="268"/>
      <c r="AW42" s="269"/>
      <c r="AY42" s="213"/>
      <c r="BA42" s="268"/>
      <c r="BB42" s="181"/>
      <c r="BC42" s="269"/>
      <c r="BD42" s="181"/>
      <c r="BE42" s="269"/>
      <c r="BF42" s="181"/>
      <c r="BG42" s="269"/>
      <c r="BH42" s="109">
        <v>37</v>
      </c>
      <c r="BI42" s="45" t="s">
        <v>1114</v>
      </c>
      <c r="BJ42" s="67">
        <v>-8</v>
      </c>
    </row>
    <row r="43" spans="1:62">
      <c r="B43" s="109">
        <v>38</v>
      </c>
      <c r="C43" s="45" t="s">
        <v>51</v>
      </c>
      <c r="D43" s="45">
        <v>11</v>
      </c>
      <c r="E43" s="45" t="s">
        <v>80</v>
      </c>
      <c r="F43" s="109">
        <v>38</v>
      </c>
      <c r="G43" s="45" t="s">
        <v>92</v>
      </c>
      <c r="H43" s="45">
        <v>6</v>
      </c>
      <c r="J43" s="109">
        <v>38</v>
      </c>
      <c r="K43" s="45" t="s">
        <v>95</v>
      </c>
      <c r="L43" s="45">
        <v>-6</v>
      </c>
      <c r="N43" s="109">
        <v>38</v>
      </c>
      <c r="O43" s="45" t="s">
        <v>95</v>
      </c>
      <c r="P43" s="45">
        <v>0</v>
      </c>
      <c r="R43" s="109">
        <v>38</v>
      </c>
      <c r="S43" s="45" t="s">
        <v>91</v>
      </c>
      <c r="T43" s="45">
        <v>2</v>
      </c>
      <c r="V43" s="109">
        <v>38</v>
      </c>
      <c r="W43" s="105" t="s">
        <v>126</v>
      </c>
      <c r="X43" s="45">
        <v>4</v>
      </c>
      <c r="Z43" s="265"/>
      <c r="AA43" s="265"/>
      <c r="AB43" s="265"/>
      <c r="AD43" s="109">
        <v>38</v>
      </c>
      <c r="AE43" s="45" t="s">
        <v>92</v>
      </c>
      <c r="AF43" s="45">
        <v>1</v>
      </c>
      <c r="AH43" s="109">
        <v>38</v>
      </c>
      <c r="AI43" s="45" t="s">
        <v>1116</v>
      </c>
      <c r="AJ43" s="45">
        <v>-1</v>
      </c>
      <c r="AK43" s="181"/>
      <c r="AL43" s="109">
        <v>38</v>
      </c>
      <c r="AM43" s="45" t="s">
        <v>95</v>
      </c>
      <c r="AN43" s="45">
        <v>2</v>
      </c>
      <c r="AP43" s="109">
        <v>38</v>
      </c>
      <c r="AQ43" s="45" t="s">
        <v>170</v>
      </c>
      <c r="AR43" s="45">
        <v>1</v>
      </c>
      <c r="AU43" s="268"/>
      <c r="AW43" s="269"/>
      <c r="AY43" s="213"/>
      <c r="BA43" s="268"/>
      <c r="BB43" s="181"/>
      <c r="BC43" s="269"/>
      <c r="BD43" s="181"/>
      <c r="BE43" s="269"/>
      <c r="BF43" s="181"/>
      <c r="BG43" s="269"/>
      <c r="BH43" s="109">
        <v>38</v>
      </c>
      <c r="BI43" s="45" t="s">
        <v>125</v>
      </c>
      <c r="BJ43" s="67">
        <v>-8</v>
      </c>
    </row>
    <row r="44" spans="1:62">
      <c r="B44" s="109">
        <v>39</v>
      </c>
      <c r="C44" s="45" t="s">
        <v>90</v>
      </c>
      <c r="D44" s="45">
        <v>12</v>
      </c>
      <c r="E44" s="45" t="s">
        <v>79</v>
      </c>
      <c r="F44" s="109">
        <v>39</v>
      </c>
      <c r="G44" s="45" t="s">
        <v>118</v>
      </c>
      <c r="H44" s="45">
        <v>-9</v>
      </c>
      <c r="J44" s="109">
        <v>39</v>
      </c>
      <c r="K44" s="45" t="s">
        <v>102</v>
      </c>
      <c r="L44" s="45">
        <v>10</v>
      </c>
      <c r="N44" s="109">
        <v>39</v>
      </c>
      <c r="O44" s="45" t="s">
        <v>118</v>
      </c>
      <c r="P44" s="45">
        <v>4</v>
      </c>
      <c r="R44" s="109">
        <v>39</v>
      </c>
      <c r="S44" s="45" t="s">
        <v>90</v>
      </c>
      <c r="T44" s="45">
        <v>14</v>
      </c>
      <c r="V44" s="109">
        <v>39</v>
      </c>
      <c r="W44" s="105" t="s">
        <v>92</v>
      </c>
      <c r="X44" s="45">
        <v>4</v>
      </c>
      <c r="Z44" s="265"/>
      <c r="AA44" s="265"/>
      <c r="AB44" s="265"/>
      <c r="AD44" s="109">
        <v>39</v>
      </c>
      <c r="AE44" s="45" t="s">
        <v>91</v>
      </c>
      <c r="AF44" s="45">
        <v>-3</v>
      </c>
      <c r="AH44" s="109">
        <v>39</v>
      </c>
      <c r="AI44" s="45" t="s">
        <v>107</v>
      </c>
      <c r="AJ44" s="45">
        <v>1</v>
      </c>
      <c r="AK44" s="181"/>
      <c r="AL44" s="109">
        <v>39</v>
      </c>
      <c r="AM44" s="105" t="s">
        <v>170</v>
      </c>
      <c r="AN44" s="45">
        <v>4</v>
      </c>
      <c r="AP44" s="109">
        <v>39</v>
      </c>
      <c r="AQ44" s="105" t="s">
        <v>185</v>
      </c>
      <c r="AR44" s="45">
        <v>8</v>
      </c>
      <c r="AU44" s="268"/>
      <c r="AW44" s="269"/>
      <c r="AY44" s="213"/>
      <c r="BA44" s="269"/>
      <c r="BB44" s="181"/>
      <c r="BC44" s="269"/>
      <c r="BD44" s="181"/>
      <c r="BE44" s="269"/>
      <c r="BF44" s="181"/>
      <c r="BG44" s="269"/>
      <c r="BH44" s="109">
        <v>39</v>
      </c>
      <c r="BI44" s="45" t="s">
        <v>170</v>
      </c>
      <c r="BJ44" s="67">
        <v>-1</v>
      </c>
    </row>
    <row r="45" spans="1:62">
      <c r="B45" s="109">
        <v>40</v>
      </c>
      <c r="C45" s="105" t="s">
        <v>94</v>
      </c>
      <c r="D45" s="45">
        <v>13</v>
      </c>
      <c r="E45" s="45" t="s">
        <v>79</v>
      </c>
      <c r="F45" s="109">
        <v>40</v>
      </c>
      <c r="G45" s="45" t="s">
        <v>90</v>
      </c>
      <c r="H45" s="45">
        <v>-1</v>
      </c>
      <c r="J45" s="109">
        <v>40</v>
      </c>
      <c r="K45" s="45" t="s">
        <v>61</v>
      </c>
      <c r="L45" s="45">
        <v>-4</v>
      </c>
      <c r="N45" s="109">
        <v>40</v>
      </c>
      <c r="O45" s="45" t="s">
        <v>91</v>
      </c>
      <c r="P45" s="45">
        <v>2</v>
      </c>
      <c r="R45" s="109">
        <v>40</v>
      </c>
      <c r="S45" s="45" t="s">
        <v>62</v>
      </c>
      <c r="T45" s="45">
        <v>1</v>
      </c>
      <c r="V45" s="109">
        <v>40</v>
      </c>
      <c r="W45" s="105" t="s">
        <v>123</v>
      </c>
      <c r="X45" s="45">
        <v>1</v>
      </c>
      <c r="Z45" s="265"/>
      <c r="AA45" s="265"/>
      <c r="AB45" s="265"/>
      <c r="AD45" s="109">
        <v>40</v>
      </c>
      <c r="AE45" s="45" t="s">
        <v>107</v>
      </c>
      <c r="AF45" s="45">
        <v>-3</v>
      </c>
      <c r="AH45" s="109">
        <v>40</v>
      </c>
      <c r="AI45" s="105" t="s">
        <v>95</v>
      </c>
      <c r="AJ45" s="45">
        <v>2</v>
      </c>
      <c r="AK45" s="181"/>
      <c r="AL45" s="109">
        <v>40</v>
      </c>
      <c r="AM45" s="105" t="s">
        <v>118</v>
      </c>
      <c r="AN45" s="45">
        <v>5</v>
      </c>
      <c r="AP45" s="109">
        <v>40</v>
      </c>
      <c r="AQ45" s="105" t="s">
        <v>1301</v>
      </c>
      <c r="AR45" s="45">
        <v>4</v>
      </c>
      <c r="AU45" s="268"/>
      <c r="AW45" s="269"/>
      <c r="AY45" s="213"/>
      <c r="BA45" s="269"/>
      <c r="BB45" s="181"/>
      <c r="BC45" s="269"/>
      <c r="BD45" s="181"/>
      <c r="BE45" s="269"/>
      <c r="BF45" s="181"/>
      <c r="BG45" s="269"/>
      <c r="BH45" s="109">
        <v>40</v>
      </c>
      <c r="BI45" s="105" t="s">
        <v>1</v>
      </c>
      <c r="BJ45" s="67">
        <v>9</v>
      </c>
    </row>
    <row r="46" spans="1:62">
      <c r="B46" s="109">
        <v>41</v>
      </c>
      <c r="C46" s="45" t="s">
        <v>91</v>
      </c>
      <c r="D46" s="45">
        <v>14</v>
      </c>
      <c r="E46" s="45" t="s">
        <v>80</v>
      </c>
      <c r="F46" s="109">
        <v>41</v>
      </c>
      <c r="G46" s="45" t="s">
        <v>126</v>
      </c>
      <c r="H46" s="45">
        <v>-13</v>
      </c>
      <c r="J46" s="111">
        <v>41</v>
      </c>
      <c r="K46" s="45" t="s">
        <v>51</v>
      </c>
      <c r="L46" s="45">
        <v>5</v>
      </c>
      <c r="N46" s="111">
        <v>41</v>
      </c>
      <c r="O46" s="45" t="s">
        <v>62</v>
      </c>
      <c r="P46" s="45">
        <v>-7</v>
      </c>
      <c r="R46" s="111">
        <v>41</v>
      </c>
      <c r="S46" s="45" t="s">
        <v>123</v>
      </c>
      <c r="T46" s="45">
        <v>-13</v>
      </c>
      <c r="V46" s="111">
        <v>41</v>
      </c>
      <c r="W46" s="108" t="s">
        <v>95</v>
      </c>
      <c r="X46" s="45">
        <v>-5</v>
      </c>
      <c r="Z46" s="265"/>
      <c r="AA46" s="265"/>
      <c r="AB46" s="265"/>
      <c r="AD46" s="109">
        <v>41</v>
      </c>
      <c r="AE46" s="105" t="s">
        <v>1</v>
      </c>
      <c r="AF46" s="45">
        <v>8</v>
      </c>
      <c r="AH46" s="111">
        <v>41</v>
      </c>
      <c r="AI46" s="108" t="s">
        <v>1</v>
      </c>
      <c r="AJ46" s="45">
        <v>0</v>
      </c>
      <c r="AK46" s="181"/>
      <c r="AL46" s="111">
        <v>41</v>
      </c>
      <c r="AM46" s="108" t="s">
        <v>107</v>
      </c>
      <c r="AN46" s="45">
        <v>-2</v>
      </c>
      <c r="AP46" s="111">
        <v>41</v>
      </c>
      <c r="AQ46" s="108" t="s">
        <v>118</v>
      </c>
      <c r="AR46" s="45">
        <v>-1</v>
      </c>
      <c r="AU46" s="269"/>
      <c r="AW46" s="269"/>
      <c r="AY46" s="213"/>
      <c r="BA46" s="269"/>
      <c r="BB46" s="181"/>
      <c r="BC46" s="269"/>
      <c r="BD46" s="181"/>
      <c r="BE46" s="269"/>
      <c r="BF46" s="181"/>
      <c r="BG46" s="269"/>
      <c r="BH46" s="109">
        <v>41</v>
      </c>
      <c r="BI46" s="105" t="s">
        <v>62</v>
      </c>
      <c r="BJ46" s="67">
        <v>2</v>
      </c>
    </row>
    <row r="47" spans="1:62">
      <c r="B47" s="109">
        <v>42</v>
      </c>
      <c r="C47" s="45" t="s">
        <v>95</v>
      </c>
      <c r="D47" s="45">
        <v>15</v>
      </c>
      <c r="E47" s="45" t="s">
        <v>80</v>
      </c>
      <c r="F47" s="109">
        <v>42</v>
      </c>
      <c r="G47" s="45" t="s">
        <v>74</v>
      </c>
      <c r="H47" s="45">
        <v>7</v>
      </c>
      <c r="J47" s="111">
        <v>42</v>
      </c>
      <c r="K47" s="45" t="s">
        <v>91</v>
      </c>
      <c r="L47" s="45">
        <v>3</v>
      </c>
      <c r="N47" s="111">
        <v>42</v>
      </c>
      <c r="O47" s="45" t="s">
        <v>102</v>
      </c>
      <c r="P47" s="45">
        <v>-3</v>
      </c>
      <c r="R47" s="111">
        <v>42</v>
      </c>
      <c r="S47" s="45" t="s">
        <v>126</v>
      </c>
      <c r="T47" s="45">
        <v>-5</v>
      </c>
      <c r="V47" s="111">
        <v>42</v>
      </c>
      <c r="W47" s="108" t="s">
        <v>62</v>
      </c>
      <c r="X47" s="45">
        <v>-2</v>
      </c>
      <c r="Z47" s="265"/>
      <c r="AA47" s="265"/>
      <c r="AB47" s="265"/>
      <c r="AD47" s="111">
        <v>42</v>
      </c>
      <c r="AE47" s="45" t="s">
        <v>95</v>
      </c>
      <c r="AF47" s="45">
        <v>-1</v>
      </c>
      <c r="AH47" s="111">
        <v>42</v>
      </c>
      <c r="AI47" s="108" t="s">
        <v>92</v>
      </c>
      <c r="AJ47" s="45">
        <v>-4</v>
      </c>
      <c r="AL47" s="111">
        <v>42</v>
      </c>
      <c r="AM47" s="108" t="s">
        <v>103</v>
      </c>
      <c r="AN47" s="45">
        <v>-6</v>
      </c>
      <c r="AP47" s="111">
        <v>42</v>
      </c>
      <c r="AQ47" s="108" t="s">
        <v>128</v>
      </c>
      <c r="AR47" s="45">
        <v>-8</v>
      </c>
      <c r="AU47" s="269"/>
      <c r="AW47" s="269"/>
      <c r="AY47" s="213"/>
      <c r="BA47" s="269"/>
      <c r="BB47" s="181"/>
      <c r="BC47" s="269"/>
      <c r="BD47" s="181"/>
      <c r="BE47" s="269"/>
      <c r="BF47" s="181"/>
      <c r="BG47" s="269"/>
      <c r="BH47" s="109">
        <v>42</v>
      </c>
      <c r="BI47" s="105" t="s">
        <v>118</v>
      </c>
      <c r="BJ47" s="67">
        <v>-1</v>
      </c>
    </row>
    <row r="48" spans="1:62">
      <c r="B48" s="109">
        <v>43</v>
      </c>
      <c r="C48" s="45" t="s">
        <v>96</v>
      </c>
      <c r="D48" s="45">
        <v>16</v>
      </c>
      <c r="E48" s="45" t="s">
        <v>79</v>
      </c>
      <c r="F48" s="109">
        <v>43</v>
      </c>
      <c r="G48" s="105" t="s">
        <v>62</v>
      </c>
      <c r="H48" s="45">
        <v>12</v>
      </c>
      <c r="J48" s="111">
        <v>43</v>
      </c>
      <c r="K48" s="45" t="s">
        <v>118</v>
      </c>
      <c r="L48" s="45">
        <v>-4</v>
      </c>
      <c r="N48" s="111">
        <v>43</v>
      </c>
      <c r="O48" s="45" t="s">
        <v>74</v>
      </c>
      <c r="P48" s="45">
        <v>1</v>
      </c>
      <c r="R48" s="111">
        <v>43</v>
      </c>
      <c r="S48" s="45" t="s">
        <v>92</v>
      </c>
      <c r="T48" s="45">
        <v>2</v>
      </c>
      <c r="V48" s="111">
        <v>43</v>
      </c>
      <c r="W48" s="108" t="s">
        <v>118</v>
      </c>
      <c r="X48" s="45">
        <v>-8</v>
      </c>
      <c r="Z48" s="265"/>
      <c r="AA48" s="265"/>
      <c r="AB48" s="265"/>
      <c r="AD48" s="111">
        <v>43</v>
      </c>
      <c r="AE48" s="45" t="s">
        <v>170</v>
      </c>
      <c r="AF48" s="45">
        <v>1</v>
      </c>
      <c r="AH48" s="111">
        <v>43</v>
      </c>
      <c r="AI48" s="45" t="s">
        <v>170</v>
      </c>
      <c r="AJ48" s="45">
        <v>0</v>
      </c>
      <c r="AL48" s="111">
        <v>43</v>
      </c>
      <c r="AM48" s="45" t="s">
        <v>62</v>
      </c>
      <c r="AN48" s="45">
        <v>1</v>
      </c>
      <c r="AP48" s="111">
        <v>43</v>
      </c>
      <c r="AQ48" s="45" t="s">
        <v>62</v>
      </c>
      <c r="AR48" s="45">
        <v>0</v>
      </c>
      <c r="AU48" s="269"/>
      <c r="AW48" s="269"/>
      <c r="AY48" s="213"/>
      <c r="BA48" s="269"/>
      <c r="BB48" s="181"/>
      <c r="BC48" s="269"/>
      <c r="BD48" s="181"/>
      <c r="BE48" s="269"/>
      <c r="BF48" s="181"/>
      <c r="BG48" s="269"/>
      <c r="BH48" s="111">
        <v>43</v>
      </c>
      <c r="BI48" s="108" t="s">
        <v>1301</v>
      </c>
      <c r="BJ48" s="67">
        <v>-3</v>
      </c>
    </row>
    <row r="49" spans="1:66">
      <c r="B49" s="109">
        <v>44</v>
      </c>
      <c r="C49" s="105" t="s">
        <v>92</v>
      </c>
      <c r="D49" s="45">
        <v>17</v>
      </c>
      <c r="E49" s="45" t="s">
        <v>79</v>
      </c>
      <c r="F49" s="109">
        <v>44</v>
      </c>
      <c r="G49" s="45" t="s">
        <v>161</v>
      </c>
      <c r="H49" s="45">
        <v>3</v>
      </c>
      <c r="J49" s="111">
        <v>44</v>
      </c>
      <c r="K49" s="45" t="s">
        <v>74</v>
      </c>
      <c r="L49" s="45">
        <v>-2</v>
      </c>
      <c r="N49" s="111">
        <v>44</v>
      </c>
      <c r="O49" s="45" t="s">
        <v>104</v>
      </c>
      <c r="P49" s="45">
        <v>6</v>
      </c>
      <c r="R49" s="111">
        <v>44</v>
      </c>
      <c r="S49" s="45" t="s">
        <v>170</v>
      </c>
      <c r="T49" s="45">
        <v>3</v>
      </c>
      <c r="V49" s="111">
        <v>44</v>
      </c>
      <c r="W49" s="45" t="s">
        <v>170</v>
      </c>
      <c r="X49" s="45">
        <v>0</v>
      </c>
      <c r="Z49" s="265"/>
      <c r="AA49" s="265"/>
      <c r="AB49" s="265"/>
      <c r="AD49" s="111">
        <v>44</v>
      </c>
      <c r="AE49" s="45" t="s">
        <v>118</v>
      </c>
      <c r="AF49" s="45">
        <v>-1</v>
      </c>
      <c r="AH49" s="111">
        <v>44</v>
      </c>
      <c r="AI49" s="45" t="s">
        <v>62</v>
      </c>
      <c r="AJ49" s="45">
        <v>6</v>
      </c>
      <c r="AL49" s="111">
        <v>44</v>
      </c>
      <c r="AM49" s="45" t="s">
        <v>1301</v>
      </c>
      <c r="AN49" s="45">
        <v>2</v>
      </c>
      <c r="AP49" s="111">
        <v>44</v>
      </c>
      <c r="AQ49" s="45" t="s">
        <v>92</v>
      </c>
      <c r="AR49" s="45">
        <v>4</v>
      </c>
      <c r="AU49" s="269"/>
      <c r="AW49" s="269"/>
      <c r="AY49" s="213"/>
      <c r="BA49" s="269"/>
      <c r="BB49" s="181"/>
      <c r="BC49" s="269"/>
      <c r="BD49" s="181"/>
      <c r="BE49" s="269"/>
      <c r="BF49" s="181"/>
      <c r="BG49" s="269"/>
      <c r="BH49" s="111">
        <v>44</v>
      </c>
      <c r="BI49" s="45" t="s">
        <v>128</v>
      </c>
      <c r="BJ49" s="67">
        <v>-2</v>
      </c>
    </row>
    <row r="50" spans="1:66">
      <c r="B50" s="109">
        <v>45</v>
      </c>
      <c r="C50" s="45" t="s">
        <v>97</v>
      </c>
      <c r="D50" s="45">
        <v>18</v>
      </c>
      <c r="E50" s="45" t="s">
        <v>80</v>
      </c>
      <c r="F50" s="109">
        <v>45</v>
      </c>
      <c r="G50" s="45" t="s">
        <v>91</v>
      </c>
      <c r="H50" s="45">
        <v>-4</v>
      </c>
      <c r="J50" s="111">
        <v>45</v>
      </c>
      <c r="K50" s="45" t="s">
        <v>92</v>
      </c>
      <c r="L50" s="45">
        <v>-7</v>
      </c>
      <c r="N50" s="111">
        <v>45</v>
      </c>
      <c r="O50" s="45" t="s">
        <v>92</v>
      </c>
      <c r="P50" s="45">
        <v>0</v>
      </c>
      <c r="R50" s="111">
        <v>45</v>
      </c>
      <c r="S50" s="45" t="s">
        <v>102</v>
      </c>
      <c r="T50" s="45">
        <v>-3</v>
      </c>
      <c r="V50" s="111">
        <v>45</v>
      </c>
      <c r="W50" s="45" t="s">
        <v>138</v>
      </c>
      <c r="X50" s="45">
        <v>7</v>
      </c>
      <c r="Z50" s="265"/>
      <c r="AA50" s="265"/>
      <c r="AB50" s="265"/>
      <c r="AD50" s="111">
        <v>45</v>
      </c>
      <c r="AE50" s="45" t="s">
        <v>1103</v>
      </c>
      <c r="AF50" s="45">
        <v>1</v>
      </c>
      <c r="AH50" s="111">
        <v>45</v>
      </c>
      <c r="AI50" s="45" t="s">
        <v>118</v>
      </c>
      <c r="AJ50" s="45">
        <v>-1</v>
      </c>
      <c r="AL50" s="111">
        <v>45</v>
      </c>
      <c r="AM50" s="45" t="s">
        <v>1</v>
      </c>
      <c r="AN50" s="45">
        <v>-4</v>
      </c>
      <c r="AP50" s="111">
        <v>45</v>
      </c>
      <c r="AQ50" s="45" t="s">
        <v>74</v>
      </c>
      <c r="AR50" s="45">
        <v>1</v>
      </c>
      <c r="AU50" s="269"/>
      <c r="AW50" s="269"/>
      <c r="AY50" s="213"/>
      <c r="BA50" s="269"/>
      <c r="BB50" s="181"/>
      <c r="BC50" s="269"/>
      <c r="BD50" s="181"/>
      <c r="BE50" s="269"/>
      <c r="BF50" s="181"/>
      <c r="BG50" s="269"/>
      <c r="BH50" s="111">
        <v>45</v>
      </c>
      <c r="BI50" s="45" t="s">
        <v>74</v>
      </c>
      <c r="BJ50" s="67">
        <v>0</v>
      </c>
    </row>
    <row r="51" spans="1:66">
      <c r="B51" s="109">
        <v>46</v>
      </c>
      <c r="C51" s="45" t="s">
        <v>93</v>
      </c>
      <c r="D51" s="45">
        <v>19</v>
      </c>
      <c r="E51" s="45" t="s">
        <v>80</v>
      </c>
      <c r="F51" s="109">
        <v>46</v>
      </c>
      <c r="G51" s="45" t="s">
        <v>51</v>
      </c>
      <c r="H51" s="45">
        <v>-8</v>
      </c>
      <c r="J51" s="111">
        <v>46</v>
      </c>
      <c r="K51" s="45" t="s">
        <v>64</v>
      </c>
      <c r="L51" s="45">
        <v>14</v>
      </c>
      <c r="N51" s="111">
        <v>46</v>
      </c>
      <c r="O51" s="45" t="s">
        <v>187</v>
      </c>
      <c r="P51" s="45">
        <v>5</v>
      </c>
      <c r="R51" s="111">
        <v>46</v>
      </c>
      <c r="S51" s="45" t="s">
        <v>1</v>
      </c>
      <c r="T51" s="45">
        <v>3</v>
      </c>
      <c r="V51" s="111">
        <v>46</v>
      </c>
      <c r="W51" s="45" t="s">
        <v>102</v>
      </c>
      <c r="X51" s="45">
        <v>-1</v>
      </c>
      <c r="Z51" s="265"/>
      <c r="AA51" s="265"/>
      <c r="AB51" s="265"/>
      <c r="AD51" s="111">
        <v>46</v>
      </c>
      <c r="AE51" s="45" t="s">
        <v>68</v>
      </c>
      <c r="AF51" s="45">
        <v>8</v>
      </c>
      <c r="AH51" s="111">
        <v>46</v>
      </c>
      <c r="AI51" s="45" t="s">
        <v>1301</v>
      </c>
      <c r="AJ51" s="45">
        <v>1</v>
      </c>
      <c r="AL51" s="111">
        <v>46</v>
      </c>
      <c r="AM51" s="45" t="s">
        <v>74</v>
      </c>
      <c r="AN51" s="45">
        <v>5</v>
      </c>
      <c r="AP51" s="111">
        <v>46</v>
      </c>
      <c r="AQ51" s="45" t="s">
        <v>103</v>
      </c>
      <c r="AR51" s="45">
        <v>-4</v>
      </c>
      <c r="AU51" s="269"/>
      <c r="AW51" s="269"/>
      <c r="AY51" s="213"/>
      <c r="BA51" s="269"/>
      <c r="BB51" s="181"/>
      <c r="BC51" s="269"/>
      <c r="BD51" s="181"/>
      <c r="BE51" s="269"/>
      <c r="BF51" s="181"/>
      <c r="BG51" s="269"/>
      <c r="BH51" s="111">
        <v>46</v>
      </c>
      <c r="BI51" s="45" t="s">
        <v>103</v>
      </c>
      <c r="BJ51" s="67">
        <v>0</v>
      </c>
    </row>
    <row r="52" spans="1:66">
      <c r="B52" s="109">
        <v>47</v>
      </c>
      <c r="C52" s="45" t="s">
        <v>76</v>
      </c>
      <c r="D52" s="45">
        <v>20</v>
      </c>
      <c r="E52" s="45" t="s">
        <v>79</v>
      </c>
      <c r="F52" s="109">
        <v>47</v>
      </c>
      <c r="G52" s="105" t="s">
        <v>58</v>
      </c>
      <c r="H52" s="45">
        <v>10</v>
      </c>
      <c r="J52" s="111">
        <v>47</v>
      </c>
      <c r="K52" s="45" t="s">
        <v>93</v>
      </c>
      <c r="L52" s="45">
        <v>4</v>
      </c>
      <c r="N52" s="111">
        <v>47</v>
      </c>
      <c r="O52" s="45" t="s">
        <v>51</v>
      </c>
      <c r="P52" s="45">
        <v>-6</v>
      </c>
      <c r="R52" s="111">
        <v>47</v>
      </c>
      <c r="S52" s="45" t="s">
        <v>74</v>
      </c>
      <c r="T52" s="45">
        <v>-4</v>
      </c>
      <c r="V52" s="111">
        <v>47</v>
      </c>
      <c r="W52" s="45" t="s">
        <v>74</v>
      </c>
      <c r="X52" s="45">
        <v>0</v>
      </c>
      <c r="Z52" s="265"/>
      <c r="AA52" s="265"/>
      <c r="AB52" s="265"/>
      <c r="AD52" s="111">
        <v>47</v>
      </c>
      <c r="AE52" s="45" t="s">
        <v>58</v>
      </c>
      <c r="AF52" s="45">
        <v>4</v>
      </c>
      <c r="AH52" s="111">
        <v>47</v>
      </c>
      <c r="AI52" s="45" t="s">
        <v>1103</v>
      </c>
      <c r="AJ52" s="45">
        <v>-2</v>
      </c>
      <c r="AL52" s="111">
        <v>47</v>
      </c>
      <c r="AM52" s="45" t="s">
        <v>185</v>
      </c>
      <c r="AN52" s="45">
        <v>7</v>
      </c>
      <c r="AP52" s="111">
        <v>47</v>
      </c>
      <c r="AQ52" s="45" t="s">
        <v>1103</v>
      </c>
      <c r="AR52" s="45">
        <v>3</v>
      </c>
      <c r="AU52" s="269"/>
      <c r="AW52" s="269"/>
      <c r="AY52" s="213"/>
      <c r="BA52" s="269"/>
      <c r="BB52" s="181"/>
      <c r="BC52" s="269"/>
      <c r="BD52" s="181"/>
      <c r="BE52" s="269"/>
      <c r="BF52" s="181"/>
      <c r="BG52" s="269"/>
      <c r="BH52" s="111">
        <v>47</v>
      </c>
      <c r="BI52" s="45" t="s">
        <v>1103</v>
      </c>
      <c r="BJ52" s="67">
        <v>0</v>
      </c>
    </row>
    <row r="53" spans="1:66">
      <c r="B53" s="109">
        <v>48</v>
      </c>
      <c r="C53" s="45" t="s">
        <v>61</v>
      </c>
      <c r="D53" s="45">
        <v>21</v>
      </c>
      <c r="E53" s="45" t="s">
        <v>79</v>
      </c>
      <c r="F53" s="109">
        <v>48</v>
      </c>
      <c r="G53" s="45" t="s">
        <v>94</v>
      </c>
      <c r="H53" s="45">
        <v>-8</v>
      </c>
      <c r="J53" s="111">
        <v>48</v>
      </c>
      <c r="K53" s="45" t="s">
        <v>1</v>
      </c>
      <c r="L53" s="45">
        <v>10</v>
      </c>
      <c r="N53" s="111">
        <v>48</v>
      </c>
      <c r="O53" s="45" t="s">
        <v>73</v>
      </c>
      <c r="P53" s="45">
        <v>1</v>
      </c>
      <c r="R53" s="111">
        <v>48</v>
      </c>
      <c r="S53" s="45" t="s">
        <v>58</v>
      </c>
      <c r="T53" s="45">
        <v>4</v>
      </c>
      <c r="V53" s="111">
        <v>48</v>
      </c>
      <c r="W53" s="45" t="s">
        <v>49</v>
      </c>
      <c r="X53" s="45">
        <v>6</v>
      </c>
      <c r="Z53" s="265"/>
      <c r="AA53" s="265"/>
      <c r="AB53" s="265"/>
      <c r="AD53" s="111">
        <v>48</v>
      </c>
      <c r="AE53" s="45" t="s">
        <v>138</v>
      </c>
      <c r="AF53" s="45">
        <v>-3</v>
      </c>
      <c r="AH53" s="111">
        <v>48</v>
      </c>
      <c r="AI53" s="45" t="s">
        <v>104</v>
      </c>
      <c r="AJ53" s="45">
        <v>5</v>
      </c>
      <c r="AL53" s="111">
        <v>48</v>
      </c>
      <c r="AM53" s="45" t="s">
        <v>92</v>
      </c>
      <c r="AN53" s="45">
        <v>-6</v>
      </c>
      <c r="AP53" s="111">
        <v>48</v>
      </c>
      <c r="AQ53" s="45" t="s">
        <v>107</v>
      </c>
      <c r="AR53" s="45">
        <v>-7</v>
      </c>
      <c r="AU53" s="269"/>
      <c r="AW53" s="269"/>
      <c r="AY53" s="213"/>
      <c r="BA53" s="269"/>
      <c r="BB53" s="181"/>
      <c r="BC53" s="269"/>
      <c r="BD53" s="181"/>
      <c r="BE53" s="269"/>
      <c r="BF53" s="181"/>
      <c r="BG53" s="269"/>
      <c r="BH53" s="111">
        <v>48</v>
      </c>
      <c r="BI53" s="45" t="s">
        <v>92</v>
      </c>
      <c r="BJ53" s="67">
        <v>-4</v>
      </c>
    </row>
    <row r="54" spans="1:66">
      <c r="B54" s="109">
        <v>49</v>
      </c>
      <c r="C54" s="45" t="s">
        <v>74</v>
      </c>
      <c r="D54" s="45">
        <v>22</v>
      </c>
      <c r="E54" s="45" t="s">
        <v>80</v>
      </c>
      <c r="F54" s="109">
        <v>49</v>
      </c>
      <c r="G54" s="45" t="s">
        <v>102</v>
      </c>
      <c r="H54" s="45">
        <v>-13</v>
      </c>
      <c r="J54" s="111">
        <v>49</v>
      </c>
      <c r="K54" s="45" t="s">
        <v>73</v>
      </c>
      <c r="L54" s="45">
        <v>1</v>
      </c>
      <c r="N54" s="111">
        <v>49</v>
      </c>
      <c r="O54" s="45" t="s">
        <v>1</v>
      </c>
      <c r="P54" s="45">
        <v>-1</v>
      </c>
      <c r="R54" s="111">
        <v>49</v>
      </c>
      <c r="S54" s="45" t="s">
        <v>104</v>
      </c>
      <c r="T54" s="45">
        <v>-5</v>
      </c>
      <c r="V54" s="111">
        <v>49</v>
      </c>
      <c r="W54" s="45" t="s">
        <v>1</v>
      </c>
      <c r="X54" s="45">
        <v>-3</v>
      </c>
      <c r="Z54" s="265"/>
      <c r="AA54" s="265"/>
      <c r="AB54" s="265"/>
      <c r="AD54" s="111">
        <v>49</v>
      </c>
      <c r="AE54" s="45" t="s">
        <v>184</v>
      </c>
      <c r="AF54" s="45">
        <v>1</v>
      </c>
      <c r="AH54" s="111">
        <v>49</v>
      </c>
      <c r="AI54" s="45" t="s">
        <v>138</v>
      </c>
      <c r="AJ54" s="45">
        <v>-1</v>
      </c>
      <c r="AL54" s="111">
        <v>49</v>
      </c>
      <c r="AM54" s="45" t="s">
        <v>49</v>
      </c>
      <c r="AN54" s="45">
        <v>3</v>
      </c>
      <c r="AP54" s="111">
        <v>49</v>
      </c>
      <c r="AQ54" s="45" t="s">
        <v>1</v>
      </c>
      <c r="AR54" s="45">
        <v>-4</v>
      </c>
      <c r="AU54" s="269"/>
      <c r="AW54" s="270"/>
      <c r="AY54" s="213"/>
      <c r="BA54" s="269"/>
      <c r="BB54" s="181"/>
      <c r="BC54" s="269"/>
      <c r="BD54" s="181"/>
      <c r="BE54" s="270"/>
      <c r="BF54" s="181"/>
      <c r="BG54" s="270"/>
      <c r="BH54" s="111">
        <v>49</v>
      </c>
      <c r="BI54" s="45" t="s">
        <v>49</v>
      </c>
      <c r="BJ54" s="67">
        <v>1</v>
      </c>
    </row>
    <row r="55" spans="1:66">
      <c r="B55" s="109">
        <v>50</v>
      </c>
      <c r="C55" s="105" t="s">
        <v>73</v>
      </c>
      <c r="D55" s="45">
        <v>23</v>
      </c>
      <c r="E55" s="45" t="s">
        <v>80</v>
      </c>
      <c r="F55" s="109">
        <v>50</v>
      </c>
      <c r="G55" s="112" t="s">
        <v>73</v>
      </c>
      <c r="H55" s="45">
        <v>0</v>
      </c>
      <c r="J55" s="111">
        <v>50</v>
      </c>
      <c r="K55" s="45" t="s">
        <v>104</v>
      </c>
      <c r="L55" s="45">
        <v>2</v>
      </c>
      <c r="N55" s="111">
        <v>50</v>
      </c>
      <c r="O55" s="45" t="s">
        <v>93</v>
      </c>
      <c r="P55" s="45">
        <v>-3</v>
      </c>
      <c r="R55" s="111">
        <v>50</v>
      </c>
      <c r="S55" s="45" t="s">
        <v>76</v>
      </c>
      <c r="T55" s="45">
        <v>-4</v>
      </c>
      <c r="V55" s="111">
        <v>50</v>
      </c>
      <c r="W55" s="45" t="s">
        <v>184</v>
      </c>
      <c r="X55" s="45">
        <v>3</v>
      </c>
      <c r="Z55" s="265"/>
      <c r="AA55" s="265"/>
      <c r="AB55" s="265"/>
      <c r="AD55" s="111">
        <v>50</v>
      </c>
      <c r="AE55" s="45" t="s">
        <v>62</v>
      </c>
      <c r="AF55" s="45">
        <v>-8</v>
      </c>
      <c r="AH55" s="111">
        <v>50</v>
      </c>
      <c r="AI55" s="45" t="s">
        <v>187</v>
      </c>
      <c r="AJ55" s="45">
        <v>5</v>
      </c>
      <c r="AL55" s="111">
        <v>50</v>
      </c>
      <c r="AM55" s="45" t="s">
        <v>1103</v>
      </c>
      <c r="AN55" s="45">
        <v>-3</v>
      </c>
      <c r="AP55" s="111">
        <v>50</v>
      </c>
      <c r="AQ55" s="45" t="s">
        <v>49</v>
      </c>
      <c r="AR55" s="45">
        <v>-1</v>
      </c>
      <c r="AU55" s="269"/>
      <c r="AW55" s="270"/>
      <c r="AY55" s="213"/>
      <c r="BA55" s="269"/>
      <c r="BB55" s="181"/>
      <c r="BC55" s="269"/>
      <c r="BD55" s="181"/>
      <c r="BE55" s="270"/>
      <c r="BF55" s="181"/>
      <c r="BG55" s="270"/>
      <c r="BH55" s="111">
        <v>50</v>
      </c>
      <c r="BI55" s="45" t="s">
        <v>107</v>
      </c>
      <c r="BJ55" s="67">
        <v>-2</v>
      </c>
    </row>
    <row r="56" spans="1:66">
      <c r="B56" s="109">
        <v>51</v>
      </c>
      <c r="C56" s="105" t="s">
        <v>138</v>
      </c>
      <c r="D56" s="45">
        <v>24</v>
      </c>
      <c r="E56" s="45" t="s">
        <v>79</v>
      </c>
      <c r="F56" s="109">
        <v>51</v>
      </c>
      <c r="G56" s="45" t="s">
        <v>93</v>
      </c>
      <c r="H56" s="45">
        <v>-5</v>
      </c>
      <c r="J56" s="111">
        <v>51</v>
      </c>
      <c r="K56" s="45" t="s">
        <v>187</v>
      </c>
      <c r="L56" s="45">
        <v>-7</v>
      </c>
      <c r="N56" s="111">
        <v>51</v>
      </c>
      <c r="O56" s="45" t="s">
        <v>37</v>
      </c>
      <c r="P56" s="45">
        <v>2</v>
      </c>
      <c r="R56" s="111">
        <v>51</v>
      </c>
      <c r="S56" s="45" t="s">
        <v>73</v>
      </c>
      <c r="T56" s="45">
        <v>-3</v>
      </c>
      <c r="V56" s="111">
        <v>51</v>
      </c>
      <c r="W56" s="45" t="s">
        <v>58</v>
      </c>
      <c r="X56" s="45">
        <v>-3</v>
      </c>
      <c r="Z56" s="265"/>
      <c r="AA56" s="265"/>
      <c r="AB56" s="265"/>
      <c r="AD56" s="111">
        <v>51</v>
      </c>
      <c r="AE56" s="45" t="s">
        <v>49</v>
      </c>
      <c r="AF56" s="45">
        <v>-3</v>
      </c>
      <c r="AH56" s="111">
        <v>51</v>
      </c>
      <c r="AI56" s="45" t="s">
        <v>74</v>
      </c>
      <c r="AJ56" s="45">
        <v>1</v>
      </c>
      <c r="AL56" s="111">
        <v>51</v>
      </c>
      <c r="AM56" s="45" t="s">
        <v>104</v>
      </c>
      <c r="AN56" s="45">
        <v>-3</v>
      </c>
      <c r="AP56" s="111">
        <v>51</v>
      </c>
      <c r="AQ56" s="45" t="s">
        <v>47</v>
      </c>
      <c r="AR56" s="45">
        <v>1</v>
      </c>
      <c r="AU56" s="269"/>
      <c r="AW56" s="270"/>
      <c r="AY56" s="213"/>
      <c r="BA56" s="269"/>
      <c r="BB56" s="181"/>
      <c r="BC56" s="270"/>
      <c r="BD56" s="181"/>
      <c r="BE56" s="270"/>
      <c r="BF56" s="181"/>
      <c r="BG56" s="270"/>
      <c r="BH56" s="111">
        <v>51</v>
      </c>
      <c r="BI56" s="45" t="s">
        <v>68</v>
      </c>
      <c r="BJ56" s="67">
        <v>2</v>
      </c>
    </row>
    <row r="57" spans="1:66">
      <c r="B57" s="111">
        <v>52</v>
      </c>
      <c r="C57" s="45" t="s">
        <v>65</v>
      </c>
      <c r="D57" s="45">
        <v>1</v>
      </c>
      <c r="E57" s="45" t="s">
        <v>79</v>
      </c>
      <c r="F57" s="111">
        <v>52</v>
      </c>
      <c r="G57" s="108" t="s">
        <v>104</v>
      </c>
      <c r="H57" s="45">
        <v>-15</v>
      </c>
      <c r="J57" s="111">
        <v>52</v>
      </c>
      <c r="K57" s="45" t="s">
        <v>94</v>
      </c>
      <c r="L57" s="45">
        <v>-4</v>
      </c>
      <c r="N57" s="111">
        <v>52</v>
      </c>
      <c r="O57" s="45" t="s">
        <v>58</v>
      </c>
      <c r="P57" s="45">
        <v>2</v>
      </c>
      <c r="R57" s="111">
        <v>52</v>
      </c>
      <c r="S57" s="45" t="s">
        <v>138</v>
      </c>
      <c r="T57" s="45">
        <v>9</v>
      </c>
      <c r="V57" s="111">
        <v>52</v>
      </c>
      <c r="W57" s="45" t="s">
        <v>104</v>
      </c>
      <c r="X57" s="45">
        <v>-3</v>
      </c>
      <c r="Z57" s="265"/>
      <c r="AA57" s="265"/>
      <c r="AB57" s="265"/>
      <c r="AD57" s="111">
        <v>52</v>
      </c>
      <c r="AE57" s="45" t="s">
        <v>74</v>
      </c>
      <c r="AF57" s="45">
        <v>-5</v>
      </c>
      <c r="AH57" s="111">
        <v>52</v>
      </c>
      <c r="AI57" s="45" t="s">
        <v>49</v>
      </c>
      <c r="AJ57" s="45">
        <v>-1</v>
      </c>
      <c r="AL57" s="111">
        <v>52</v>
      </c>
      <c r="AM57" s="45" t="s">
        <v>47</v>
      </c>
      <c r="AN57" s="45">
        <v>1</v>
      </c>
      <c r="AP57" s="111">
        <v>52</v>
      </c>
      <c r="AQ57" s="45" t="s">
        <v>104</v>
      </c>
      <c r="AR57" s="45">
        <v>-1</v>
      </c>
      <c r="AU57" s="269"/>
      <c r="AW57" s="270"/>
      <c r="AY57" s="213"/>
      <c r="BA57" s="269"/>
      <c r="BB57" s="181"/>
      <c r="BC57" s="270"/>
      <c r="BD57" s="181"/>
      <c r="BE57" s="270"/>
      <c r="BF57" s="181"/>
      <c r="BG57" s="270"/>
      <c r="BH57" s="111">
        <v>52</v>
      </c>
      <c r="BI57" s="45" t="s">
        <v>187</v>
      </c>
      <c r="BJ57" s="67">
        <v>2</v>
      </c>
    </row>
    <row r="58" spans="1:66">
      <c r="B58" s="111">
        <v>53</v>
      </c>
      <c r="C58" s="45" t="s">
        <v>63</v>
      </c>
      <c r="D58" s="45">
        <v>2</v>
      </c>
      <c r="E58" s="45" t="s">
        <v>80</v>
      </c>
      <c r="F58" s="111">
        <v>53</v>
      </c>
      <c r="G58" s="45" t="s">
        <v>49</v>
      </c>
      <c r="H58" s="45">
        <v>7</v>
      </c>
      <c r="J58" s="111">
        <v>53</v>
      </c>
      <c r="K58" s="45" t="s">
        <v>37</v>
      </c>
      <c r="L58" s="45">
        <v>4</v>
      </c>
      <c r="N58" s="111">
        <v>53</v>
      </c>
      <c r="O58" s="45" t="s">
        <v>90</v>
      </c>
      <c r="P58" s="45">
        <v>2</v>
      </c>
      <c r="R58" s="111">
        <v>53</v>
      </c>
      <c r="S58" s="45" t="s">
        <v>184</v>
      </c>
      <c r="T58" s="45">
        <v>12</v>
      </c>
      <c r="V58" s="111">
        <v>53</v>
      </c>
      <c r="W58" s="105" t="s">
        <v>47</v>
      </c>
      <c r="X58" s="45">
        <v>5</v>
      </c>
      <c r="Z58" s="265"/>
      <c r="AA58" s="265"/>
      <c r="AB58" s="265"/>
      <c r="AD58" s="111">
        <v>53</v>
      </c>
      <c r="AE58" s="45" t="s">
        <v>104</v>
      </c>
      <c r="AF58" s="45">
        <v>-1</v>
      </c>
      <c r="AH58" s="111">
        <v>53</v>
      </c>
      <c r="AI58" s="45" t="s">
        <v>47</v>
      </c>
      <c r="AJ58" s="45">
        <v>1</v>
      </c>
      <c r="AL58" s="111">
        <v>53</v>
      </c>
      <c r="AM58" s="105" t="s">
        <v>229</v>
      </c>
      <c r="AN58" s="45">
        <v>9</v>
      </c>
      <c r="AP58" s="111">
        <v>53</v>
      </c>
      <c r="AQ58" s="105" t="s">
        <v>68</v>
      </c>
      <c r="AR58" s="45">
        <v>4</v>
      </c>
      <c r="AU58" s="269"/>
      <c r="AW58" s="270"/>
      <c r="AY58" s="213"/>
      <c r="BA58" s="270"/>
      <c r="BB58" s="181"/>
      <c r="BC58" s="270"/>
      <c r="BD58" s="181"/>
      <c r="BE58" s="270"/>
      <c r="BF58" s="181"/>
      <c r="BG58" s="270"/>
      <c r="BH58" s="111">
        <v>53</v>
      </c>
      <c r="BI58" s="45" t="s">
        <v>104</v>
      </c>
      <c r="BJ58" s="67">
        <v>-1</v>
      </c>
    </row>
    <row r="59" spans="1:66">
      <c r="B59" s="111">
        <v>54</v>
      </c>
      <c r="C59" s="45" t="s">
        <v>130</v>
      </c>
      <c r="D59" s="45">
        <v>3</v>
      </c>
      <c r="E59" s="45" t="s">
        <v>80</v>
      </c>
      <c r="F59" s="111">
        <v>54</v>
      </c>
      <c r="G59" s="108" t="s">
        <v>138</v>
      </c>
      <c r="H59" s="45">
        <v>-3</v>
      </c>
      <c r="J59" s="111">
        <v>54</v>
      </c>
      <c r="K59" s="45" t="s">
        <v>58</v>
      </c>
      <c r="L59" s="45">
        <v>-7</v>
      </c>
      <c r="N59" s="111">
        <v>54</v>
      </c>
      <c r="O59" s="45" t="s">
        <v>67</v>
      </c>
      <c r="P59" s="45">
        <v>6</v>
      </c>
      <c r="R59" s="111">
        <v>54</v>
      </c>
      <c r="S59" s="45" t="s">
        <v>49</v>
      </c>
      <c r="T59" s="45">
        <v>4</v>
      </c>
      <c r="V59" s="111">
        <v>54</v>
      </c>
      <c r="W59" s="105" t="s">
        <v>68</v>
      </c>
      <c r="X59" s="45">
        <v>14</v>
      </c>
      <c r="Z59" s="265"/>
      <c r="AA59" s="265"/>
      <c r="AB59" s="265"/>
      <c r="AD59" s="111">
        <v>54</v>
      </c>
      <c r="AE59" s="45" t="s">
        <v>47</v>
      </c>
      <c r="AF59" s="45">
        <v>-1</v>
      </c>
      <c r="AH59" s="111">
        <v>54</v>
      </c>
      <c r="AI59" s="105" t="s">
        <v>185</v>
      </c>
      <c r="AJ59" s="45">
        <v>2</v>
      </c>
      <c r="AL59" s="111">
        <v>54</v>
      </c>
      <c r="AM59" s="105" t="s">
        <v>40</v>
      </c>
      <c r="AN59" s="45">
        <v>3</v>
      </c>
      <c r="AP59" s="111">
        <v>54</v>
      </c>
      <c r="AQ59" s="105" t="s">
        <v>187</v>
      </c>
      <c r="AR59" s="45">
        <v>1</v>
      </c>
      <c r="AU59" s="269"/>
      <c r="AW59" s="270"/>
      <c r="AY59" s="213"/>
      <c r="BA59" s="270"/>
      <c r="BB59" s="181"/>
      <c r="BC59" s="270"/>
      <c r="BD59" s="181"/>
      <c r="BE59" s="270"/>
      <c r="BF59" s="181"/>
      <c r="BG59" s="270"/>
      <c r="BH59" s="111">
        <v>54</v>
      </c>
      <c r="BI59" s="105" t="s">
        <v>229</v>
      </c>
      <c r="BJ59" s="67">
        <v>1</v>
      </c>
    </row>
    <row r="60" spans="1:66">
      <c r="B60" s="111">
        <v>55</v>
      </c>
      <c r="C60" s="45" t="s">
        <v>62</v>
      </c>
      <c r="D60" s="45">
        <v>4</v>
      </c>
      <c r="E60" s="45" t="s">
        <v>79</v>
      </c>
      <c r="F60" s="111">
        <v>55</v>
      </c>
      <c r="G60" s="45" t="s">
        <v>130</v>
      </c>
      <c r="H60" s="45">
        <v>-1</v>
      </c>
      <c r="J60" s="113">
        <v>55</v>
      </c>
      <c r="K60" s="45" t="s">
        <v>90</v>
      </c>
      <c r="L60" s="45">
        <v>-15</v>
      </c>
      <c r="N60" s="113">
        <v>55</v>
      </c>
      <c r="O60" s="45" t="s">
        <v>94</v>
      </c>
      <c r="P60" s="45">
        <v>-3</v>
      </c>
      <c r="R60" s="113">
        <v>55</v>
      </c>
      <c r="S60" s="45" t="s">
        <v>67</v>
      </c>
      <c r="T60" s="45">
        <v>-1</v>
      </c>
      <c r="V60" s="113">
        <v>55</v>
      </c>
      <c r="W60" s="108" t="s">
        <v>76</v>
      </c>
      <c r="X60" s="45">
        <v>-5</v>
      </c>
      <c r="Z60" s="265"/>
      <c r="AA60" s="265"/>
      <c r="AB60" s="265"/>
      <c r="AD60" s="111">
        <v>55</v>
      </c>
      <c r="AE60" s="105" t="s">
        <v>187</v>
      </c>
      <c r="AF60" s="45">
        <v>0</v>
      </c>
      <c r="AH60" s="113">
        <v>55</v>
      </c>
      <c r="AI60" s="108" t="s">
        <v>68</v>
      </c>
      <c r="AJ60" s="45">
        <v>-9</v>
      </c>
      <c r="AL60" s="113">
        <v>55</v>
      </c>
      <c r="AM60" s="108" t="s">
        <v>187</v>
      </c>
      <c r="AN60" s="45">
        <v>-5</v>
      </c>
      <c r="AP60" s="113">
        <v>55</v>
      </c>
      <c r="AQ60" s="108" t="s">
        <v>229</v>
      </c>
      <c r="AR60" s="45">
        <v>-2</v>
      </c>
      <c r="AU60" s="270"/>
      <c r="AW60" s="270"/>
      <c r="AY60" s="213"/>
      <c r="BA60" s="270"/>
      <c r="BB60" s="181"/>
      <c r="BC60" s="270"/>
      <c r="BD60" s="181"/>
      <c r="BE60" s="270"/>
      <c r="BF60" s="181"/>
      <c r="BG60" s="270"/>
      <c r="BH60" s="111">
        <v>55</v>
      </c>
      <c r="BI60" s="105" t="s">
        <v>264</v>
      </c>
      <c r="BJ60" s="67">
        <v>3</v>
      </c>
    </row>
    <row r="61" spans="1:66">
      <c r="B61" s="111">
        <v>56</v>
      </c>
      <c r="C61" s="114" t="s">
        <v>64</v>
      </c>
      <c r="D61" s="45">
        <v>5</v>
      </c>
      <c r="E61" s="45" t="s">
        <v>79</v>
      </c>
      <c r="F61" s="111">
        <v>56</v>
      </c>
      <c r="G61" s="45" t="s">
        <v>63</v>
      </c>
      <c r="H61" s="45">
        <v>-3</v>
      </c>
      <c r="J61" s="113">
        <v>56</v>
      </c>
      <c r="K61" s="45" t="s">
        <v>185</v>
      </c>
      <c r="L61" s="45">
        <v>-1</v>
      </c>
      <c r="N61" s="113">
        <v>56</v>
      </c>
      <c r="O61" s="45" t="s">
        <v>64</v>
      </c>
      <c r="P61" s="45">
        <v>-10</v>
      </c>
      <c r="R61" s="113">
        <v>56</v>
      </c>
      <c r="S61" s="45" t="s">
        <v>37</v>
      </c>
      <c r="T61" s="45">
        <v>-5</v>
      </c>
      <c r="V61" s="113">
        <v>56</v>
      </c>
      <c r="W61" s="108" t="s">
        <v>73</v>
      </c>
      <c r="X61" s="45">
        <v>-5</v>
      </c>
      <c r="Z61" s="265"/>
      <c r="AA61" s="265"/>
      <c r="AB61" s="265"/>
      <c r="AD61" s="113">
        <v>56</v>
      </c>
      <c r="AE61" s="45" t="s">
        <v>185</v>
      </c>
      <c r="AF61" s="45">
        <v>5</v>
      </c>
      <c r="AH61" s="113">
        <v>56</v>
      </c>
      <c r="AI61" s="108" t="s">
        <v>184</v>
      </c>
      <c r="AJ61" s="45">
        <v>-7</v>
      </c>
      <c r="AL61" s="113">
        <v>56</v>
      </c>
      <c r="AM61" s="108" t="s">
        <v>138</v>
      </c>
      <c r="AN61" s="45">
        <v>-7</v>
      </c>
      <c r="AP61" s="113">
        <v>56</v>
      </c>
      <c r="AQ61" s="108" t="s">
        <v>40</v>
      </c>
      <c r="AR61" s="45">
        <v>-2</v>
      </c>
      <c r="AU61" s="270"/>
      <c r="AW61" s="270"/>
      <c r="AY61" s="213"/>
      <c r="BA61" s="270"/>
      <c r="BB61" s="181"/>
      <c r="BC61" s="270"/>
      <c r="BD61" s="181"/>
      <c r="BE61" s="270"/>
      <c r="BF61" s="181"/>
      <c r="BG61" s="270"/>
      <c r="BH61" s="111">
        <v>56</v>
      </c>
      <c r="BI61" s="105" t="s">
        <v>71</v>
      </c>
      <c r="BJ61" s="67">
        <v>5</v>
      </c>
    </row>
    <row r="62" spans="1:66">
      <c r="B62" s="111">
        <v>57</v>
      </c>
      <c r="C62" s="45" t="s">
        <v>58</v>
      </c>
      <c r="D62" s="45">
        <v>6</v>
      </c>
      <c r="E62" s="45" t="s">
        <v>80</v>
      </c>
      <c r="F62" s="111">
        <v>57</v>
      </c>
      <c r="G62" s="45" t="s">
        <v>37</v>
      </c>
      <c r="H62" s="45">
        <v>1</v>
      </c>
      <c r="J62" s="113">
        <v>57</v>
      </c>
      <c r="K62" s="45" t="s">
        <v>49</v>
      </c>
      <c r="L62" s="45">
        <v>-4</v>
      </c>
      <c r="N62" s="113">
        <v>57</v>
      </c>
      <c r="O62" s="45" t="s">
        <v>63</v>
      </c>
      <c r="P62" s="45">
        <v>2</v>
      </c>
      <c r="R62" s="113">
        <v>57</v>
      </c>
      <c r="S62" s="45" t="s">
        <v>93</v>
      </c>
      <c r="T62" s="45">
        <v>-7</v>
      </c>
      <c r="V62" s="113">
        <v>57</v>
      </c>
      <c r="W62" s="45" t="s">
        <v>66</v>
      </c>
      <c r="X62" s="45">
        <v>2</v>
      </c>
      <c r="Z62" s="265"/>
      <c r="AA62" s="265"/>
      <c r="AB62" s="265"/>
      <c r="AD62" s="113">
        <v>57</v>
      </c>
      <c r="AE62" s="45" t="s">
        <v>40</v>
      </c>
      <c r="AF62" s="45">
        <v>1</v>
      </c>
      <c r="AH62" s="113">
        <v>57</v>
      </c>
      <c r="AI62" s="45" t="s">
        <v>40</v>
      </c>
      <c r="AJ62" s="45">
        <v>0</v>
      </c>
      <c r="AL62" s="113">
        <v>57</v>
      </c>
      <c r="AM62" s="45" t="s">
        <v>68</v>
      </c>
      <c r="AN62" s="45">
        <v>-2</v>
      </c>
      <c r="AP62" s="113">
        <v>57</v>
      </c>
      <c r="AQ62" s="45" t="s">
        <v>138</v>
      </c>
      <c r="AR62" s="45">
        <v>-1</v>
      </c>
      <c r="AU62" s="270"/>
      <c r="AW62" s="270"/>
      <c r="AY62" s="213"/>
      <c r="BA62" s="270"/>
      <c r="BB62" s="181"/>
      <c r="BC62" s="270"/>
      <c r="BD62" s="181"/>
      <c r="BE62" s="270"/>
      <c r="BF62" s="181"/>
      <c r="BG62" s="270"/>
      <c r="BH62" s="113">
        <v>57</v>
      </c>
      <c r="BI62" s="108" t="s">
        <v>47</v>
      </c>
      <c r="BJ62" s="67">
        <v>-6</v>
      </c>
      <c r="BN62" s="45"/>
    </row>
    <row r="63" spans="1:66">
      <c r="B63" s="111">
        <v>58</v>
      </c>
      <c r="C63" s="105" t="s">
        <v>37</v>
      </c>
      <c r="D63" s="45">
        <v>7</v>
      </c>
      <c r="E63" s="45" t="s">
        <v>80</v>
      </c>
      <c r="F63" s="111">
        <v>58</v>
      </c>
      <c r="G63" s="45" t="s">
        <v>1</v>
      </c>
      <c r="H63" s="45">
        <v>1</v>
      </c>
      <c r="J63" s="113">
        <v>58</v>
      </c>
      <c r="K63" s="45" t="s">
        <v>188</v>
      </c>
      <c r="L63" s="45">
        <v>-4</v>
      </c>
      <c r="N63" s="113">
        <v>58</v>
      </c>
      <c r="O63" s="45" t="s">
        <v>49</v>
      </c>
      <c r="P63" s="45">
        <v>-1</v>
      </c>
      <c r="R63" s="113">
        <v>58</v>
      </c>
      <c r="S63" s="45" t="s">
        <v>47</v>
      </c>
      <c r="T63" s="45">
        <v>1</v>
      </c>
      <c r="V63" s="113">
        <v>58</v>
      </c>
      <c r="W63" s="45" t="s">
        <v>40</v>
      </c>
      <c r="X63" s="45">
        <v>9</v>
      </c>
      <c r="Z63" s="265"/>
      <c r="AA63" s="265"/>
      <c r="AB63" s="265"/>
      <c r="AD63" s="113">
        <v>58</v>
      </c>
      <c r="AE63" s="45" t="s">
        <v>229</v>
      </c>
      <c r="AF63" s="45">
        <v>1</v>
      </c>
      <c r="AH63" s="113">
        <v>58</v>
      </c>
      <c r="AI63" s="45" t="s">
        <v>73</v>
      </c>
      <c r="AJ63" s="45">
        <v>1</v>
      </c>
      <c r="AL63" s="113">
        <v>58</v>
      </c>
      <c r="AM63" s="45" t="s">
        <v>264</v>
      </c>
      <c r="AN63" s="45">
        <v>10</v>
      </c>
      <c r="AP63" s="113">
        <v>58</v>
      </c>
      <c r="AQ63" s="45" t="s">
        <v>264</v>
      </c>
      <c r="AR63" s="45">
        <v>0</v>
      </c>
      <c r="AU63" s="270"/>
      <c r="AW63" s="270"/>
      <c r="AY63" s="213"/>
      <c r="BA63" s="270"/>
      <c r="BB63" s="181"/>
      <c r="BC63" s="270"/>
      <c r="BD63" s="181"/>
      <c r="BE63" s="270"/>
      <c r="BF63" s="181"/>
      <c r="BG63" s="270"/>
      <c r="BH63" s="113">
        <v>58</v>
      </c>
      <c r="BI63" s="45" t="s">
        <v>65</v>
      </c>
      <c r="BJ63" s="67">
        <v>9</v>
      </c>
    </row>
    <row r="64" spans="1:66">
      <c r="A64" s="45" t="s">
        <v>84</v>
      </c>
      <c r="B64" s="111">
        <v>59</v>
      </c>
      <c r="C64" s="105" t="s">
        <v>1</v>
      </c>
      <c r="D64" s="45">
        <v>8</v>
      </c>
      <c r="E64" s="45" t="s">
        <v>79</v>
      </c>
      <c r="F64" s="111">
        <v>59</v>
      </c>
      <c r="G64" s="105" t="s">
        <v>47</v>
      </c>
      <c r="H64" s="45">
        <v>11</v>
      </c>
      <c r="J64" s="113">
        <v>59</v>
      </c>
      <c r="K64" s="45" t="s">
        <v>63</v>
      </c>
      <c r="L64" s="45">
        <v>-3</v>
      </c>
      <c r="N64" s="113">
        <v>59</v>
      </c>
      <c r="O64" s="45" t="s">
        <v>47</v>
      </c>
      <c r="P64" s="45">
        <v>3</v>
      </c>
      <c r="R64" s="113">
        <v>59</v>
      </c>
      <c r="S64" s="45" t="s">
        <v>66</v>
      </c>
      <c r="T64" s="45">
        <v>1</v>
      </c>
      <c r="V64" s="113">
        <v>59</v>
      </c>
      <c r="W64" s="45" t="s">
        <v>229</v>
      </c>
      <c r="X64" s="45">
        <v>6</v>
      </c>
      <c r="Z64" s="265"/>
      <c r="AA64" s="265"/>
      <c r="AB64" s="265"/>
      <c r="AD64" s="113">
        <v>59</v>
      </c>
      <c r="AE64" s="45" t="s">
        <v>73</v>
      </c>
      <c r="AF64" s="45">
        <v>-3</v>
      </c>
      <c r="AH64" s="113">
        <v>59</v>
      </c>
      <c r="AI64" s="45" t="s">
        <v>69</v>
      </c>
      <c r="AJ64" s="45">
        <v>3</v>
      </c>
      <c r="AL64" s="113">
        <v>59</v>
      </c>
      <c r="AM64" s="45" t="s">
        <v>73</v>
      </c>
      <c r="AN64" s="45">
        <v>-1</v>
      </c>
      <c r="AP64" s="113">
        <v>59</v>
      </c>
      <c r="AQ64" s="45" t="s">
        <v>1157</v>
      </c>
      <c r="AR64" s="45">
        <v>5</v>
      </c>
      <c r="AU64" s="270"/>
      <c r="AW64" s="270"/>
      <c r="AY64" s="213"/>
      <c r="BA64" s="270"/>
      <c r="BB64" s="181"/>
      <c r="BC64" s="270"/>
      <c r="BD64" s="181"/>
      <c r="BE64" s="270"/>
      <c r="BF64" s="181"/>
      <c r="BG64" s="270"/>
      <c r="BH64" s="113">
        <v>59</v>
      </c>
      <c r="BI64" s="45" t="s">
        <v>138</v>
      </c>
      <c r="BJ64" s="67">
        <v>-2</v>
      </c>
    </row>
    <row r="65" spans="2:62">
      <c r="B65" s="111">
        <v>60</v>
      </c>
      <c r="C65" s="45" t="s">
        <v>49</v>
      </c>
      <c r="D65" s="45">
        <v>9</v>
      </c>
      <c r="E65" s="45" t="s">
        <v>79</v>
      </c>
      <c r="F65" s="111">
        <v>60</v>
      </c>
      <c r="G65" s="45" t="s">
        <v>64</v>
      </c>
      <c r="H65" s="45">
        <v>-4</v>
      </c>
      <c r="J65" s="113">
        <v>60</v>
      </c>
      <c r="K65" s="45" t="s">
        <v>67</v>
      </c>
      <c r="L65" s="45">
        <v>1</v>
      </c>
      <c r="N65" s="113">
        <v>60</v>
      </c>
      <c r="O65" s="45" t="s">
        <v>66</v>
      </c>
      <c r="P65" s="45">
        <v>1</v>
      </c>
      <c r="R65" s="113">
        <v>60</v>
      </c>
      <c r="S65" s="45" t="s">
        <v>41</v>
      </c>
      <c r="T65" s="45">
        <v>3</v>
      </c>
      <c r="V65" s="113">
        <v>60</v>
      </c>
      <c r="W65" s="45" t="s">
        <v>67</v>
      </c>
      <c r="X65" s="45">
        <v>-5</v>
      </c>
      <c r="Z65" s="265"/>
      <c r="AA65" s="265"/>
      <c r="AB65" s="265"/>
      <c r="AD65" s="113">
        <v>60</v>
      </c>
      <c r="AE65" s="45" t="s">
        <v>66</v>
      </c>
      <c r="AF65" s="45">
        <v>-3</v>
      </c>
      <c r="AH65" s="113">
        <v>60</v>
      </c>
      <c r="AI65" s="45" t="s">
        <v>1157</v>
      </c>
      <c r="AJ65" s="45">
        <v>6</v>
      </c>
      <c r="AL65" s="113">
        <v>60</v>
      </c>
      <c r="AM65" s="45" t="s">
        <v>69</v>
      </c>
      <c r="AN65" s="45">
        <v>-1</v>
      </c>
      <c r="AP65" s="113">
        <v>60</v>
      </c>
      <c r="AQ65" s="45" t="s">
        <v>184</v>
      </c>
      <c r="AR65" s="45">
        <v>3</v>
      </c>
      <c r="AU65" s="270"/>
      <c r="AW65" s="270"/>
      <c r="AY65" s="213"/>
      <c r="BA65" s="270"/>
      <c r="BB65" s="181"/>
      <c r="BC65" s="270"/>
      <c r="BD65" s="181"/>
      <c r="BE65" s="270"/>
      <c r="BF65" s="181"/>
      <c r="BG65" s="270"/>
      <c r="BH65" s="113">
        <v>60</v>
      </c>
      <c r="BI65" s="45" t="s">
        <v>1157</v>
      </c>
      <c r="BJ65" s="67">
        <v>-1</v>
      </c>
    </row>
    <row r="66" spans="2:62">
      <c r="B66" s="111">
        <v>61</v>
      </c>
      <c r="C66" s="45" t="s">
        <v>66</v>
      </c>
      <c r="D66" s="45">
        <v>10</v>
      </c>
      <c r="E66" s="45" t="s">
        <v>80</v>
      </c>
      <c r="F66" s="111">
        <v>61</v>
      </c>
      <c r="G66" s="45" t="s">
        <v>67</v>
      </c>
      <c r="H66" s="45">
        <v>6</v>
      </c>
      <c r="J66" s="113">
        <v>61</v>
      </c>
      <c r="K66" s="45" t="s">
        <v>66</v>
      </c>
      <c r="L66" s="45">
        <v>3</v>
      </c>
      <c r="N66" s="113">
        <v>61</v>
      </c>
      <c r="O66" s="45" t="s">
        <v>188</v>
      </c>
      <c r="P66" s="45">
        <v>-3</v>
      </c>
      <c r="R66" s="113">
        <v>61</v>
      </c>
      <c r="S66" s="45" t="s">
        <v>63</v>
      </c>
      <c r="T66" s="45">
        <v>-4</v>
      </c>
      <c r="V66" s="113">
        <v>61</v>
      </c>
      <c r="W66" s="45" t="s">
        <v>185</v>
      </c>
      <c r="X66" s="45">
        <v>1</v>
      </c>
      <c r="Z66" s="265"/>
      <c r="AA66" s="265"/>
      <c r="AB66" s="265"/>
      <c r="AD66" s="113">
        <v>61</v>
      </c>
      <c r="AE66" s="45" t="s">
        <v>65</v>
      </c>
      <c r="AF66" s="45">
        <v>7</v>
      </c>
      <c r="AH66" s="113">
        <v>61</v>
      </c>
      <c r="AI66" s="45" t="s">
        <v>41</v>
      </c>
      <c r="AJ66" s="45">
        <v>4</v>
      </c>
      <c r="AL66" s="113">
        <v>61</v>
      </c>
      <c r="AM66" s="45" t="s">
        <v>41</v>
      </c>
      <c r="AN66" s="45">
        <v>0</v>
      </c>
      <c r="AP66" s="113">
        <v>61</v>
      </c>
      <c r="AQ66" s="45" t="s">
        <v>71</v>
      </c>
      <c r="AR66" s="45">
        <v>6</v>
      </c>
      <c r="AU66" s="270"/>
      <c r="AW66" s="271"/>
      <c r="AY66" s="213"/>
      <c r="BA66" s="270"/>
      <c r="BB66" s="181"/>
      <c r="BC66" s="270"/>
      <c r="BD66" s="181"/>
      <c r="BE66" s="270"/>
      <c r="BF66" s="181"/>
      <c r="BG66" s="271"/>
      <c r="BH66" s="113">
        <v>61</v>
      </c>
      <c r="BI66" s="45" t="s">
        <v>40</v>
      </c>
      <c r="BJ66" s="67">
        <v>-5</v>
      </c>
    </row>
    <row r="67" spans="2:62">
      <c r="B67" s="111">
        <v>62</v>
      </c>
      <c r="C67" s="45" t="s">
        <v>36</v>
      </c>
      <c r="D67" s="45">
        <v>11</v>
      </c>
      <c r="E67" s="45" t="s">
        <v>80</v>
      </c>
      <c r="F67" s="111">
        <v>62</v>
      </c>
      <c r="G67" s="45" t="s">
        <v>65</v>
      </c>
      <c r="H67" s="45">
        <v>-10</v>
      </c>
      <c r="J67" s="113">
        <v>62</v>
      </c>
      <c r="K67" s="45" t="s">
        <v>47</v>
      </c>
      <c r="L67" s="45">
        <v>-3</v>
      </c>
      <c r="N67" s="113">
        <v>62</v>
      </c>
      <c r="O67" s="45" t="s">
        <v>185</v>
      </c>
      <c r="P67" s="45">
        <v>-6</v>
      </c>
      <c r="R67" s="113">
        <v>62</v>
      </c>
      <c r="S67" s="45" t="s">
        <v>185</v>
      </c>
      <c r="T67" s="45">
        <v>0</v>
      </c>
      <c r="V67" s="113">
        <v>62</v>
      </c>
      <c r="W67" s="45" t="s">
        <v>93</v>
      </c>
      <c r="X67" s="45">
        <v>-5</v>
      </c>
      <c r="Z67" s="265"/>
      <c r="AA67" s="265"/>
      <c r="AB67" s="265"/>
      <c r="AD67" s="113">
        <v>62</v>
      </c>
      <c r="AE67" s="45" t="s">
        <v>69</v>
      </c>
      <c r="AF67" s="45">
        <v>5</v>
      </c>
      <c r="AH67" s="113">
        <v>62</v>
      </c>
      <c r="AI67" s="45" t="s">
        <v>229</v>
      </c>
      <c r="AJ67" s="45">
        <v>-4</v>
      </c>
      <c r="AL67" s="113">
        <v>62</v>
      </c>
      <c r="AM67" s="45" t="s">
        <v>93</v>
      </c>
      <c r="AN67" s="45">
        <v>1</v>
      </c>
      <c r="AP67" s="113">
        <v>62</v>
      </c>
      <c r="AQ67" s="45" t="s">
        <v>41</v>
      </c>
      <c r="AR67" s="45">
        <v>-1</v>
      </c>
      <c r="AU67" s="270"/>
      <c r="AW67" s="271"/>
      <c r="AY67" s="213"/>
      <c r="BA67" s="270"/>
      <c r="BB67" s="181"/>
      <c r="BC67" s="270"/>
      <c r="BD67" s="181"/>
      <c r="BE67" s="270"/>
      <c r="BF67" s="181"/>
      <c r="BG67" s="271"/>
      <c r="BH67" s="113">
        <v>62</v>
      </c>
      <c r="BI67" s="45" t="s">
        <v>69</v>
      </c>
      <c r="BJ67" s="67">
        <v>2</v>
      </c>
    </row>
    <row r="68" spans="2:62">
      <c r="B68" s="111">
        <v>63</v>
      </c>
      <c r="C68" s="45" t="s">
        <v>69</v>
      </c>
      <c r="D68" s="45">
        <v>12</v>
      </c>
      <c r="E68" s="45" t="s">
        <v>79</v>
      </c>
      <c r="F68" s="111">
        <v>63</v>
      </c>
      <c r="G68" s="45" t="s">
        <v>69</v>
      </c>
      <c r="H68" s="45">
        <v>0</v>
      </c>
      <c r="J68" s="113">
        <v>63</v>
      </c>
      <c r="K68" s="45" t="s">
        <v>69</v>
      </c>
      <c r="L68" s="45">
        <v>0</v>
      </c>
      <c r="N68" s="113">
        <v>63</v>
      </c>
      <c r="O68" s="45" t="s">
        <v>41</v>
      </c>
      <c r="P68" s="45">
        <v>4</v>
      </c>
      <c r="R68" s="113">
        <v>63</v>
      </c>
      <c r="S68" s="45" t="s">
        <v>64</v>
      </c>
      <c r="T68" s="45">
        <v>-7</v>
      </c>
      <c r="V68" s="113">
        <v>63</v>
      </c>
      <c r="W68" s="45" t="s">
        <v>64</v>
      </c>
      <c r="X68" s="45">
        <v>0</v>
      </c>
      <c r="Z68" s="265"/>
      <c r="AA68" s="265"/>
      <c r="AB68" s="265"/>
      <c r="AD68" s="113">
        <v>63</v>
      </c>
      <c r="AE68" s="45" t="s">
        <v>67</v>
      </c>
      <c r="AF68" s="45">
        <v>-3</v>
      </c>
      <c r="AH68" s="113">
        <v>63</v>
      </c>
      <c r="AI68" s="45" t="s">
        <v>93</v>
      </c>
      <c r="AJ68" s="45">
        <v>5</v>
      </c>
      <c r="AL68" s="113">
        <v>63</v>
      </c>
      <c r="AM68" s="45" t="s">
        <v>184</v>
      </c>
      <c r="AN68" s="45">
        <v>-7</v>
      </c>
      <c r="AP68" s="113">
        <v>63</v>
      </c>
      <c r="AQ68" s="45" t="s">
        <v>63</v>
      </c>
      <c r="AR68" s="45">
        <v>3</v>
      </c>
      <c r="AU68" s="270"/>
      <c r="AW68" s="271"/>
      <c r="AY68" s="213"/>
      <c r="BA68" s="270"/>
      <c r="BB68" s="181"/>
      <c r="BC68" s="270"/>
      <c r="BD68" s="181"/>
      <c r="BE68" s="271"/>
      <c r="BF68" s="181"/>
      <c r="BG68" s="271"/>
      <c r="BH68" s="113">
        <v>63</v>
      </c>
      <c r="BI68" s="45" t="s">
        <v>184</v>
      </c>
      <c r="BJ68" s="67">
        <v>-3</v>
      </c>
    </row>
    <row r="69" spans="2:62">
      <c r="B69" s="111">
        <v>64</v>
      </c>
      <c r="C69" s="45" t="s">
        <v>68</v>
      </c>
      <c r="D69" s="45">
        <v>13</v>
      </c>
      <c r="E69" s="45" t="s">
        <v>79</v>
      </c>
      <c r="F69" s="111">
        <v>64</v>
      </c>
      <c r="G69" s="45" t="s">
        <v>66</v>
      </c>
      <c r="H69" s="45">
        <v>-3</v>
      </c>
      <c r="J69" s="113">
        <v>64</v>
      </c>
      <c r="K69" s="45" t="s">
        <v>0</v>
      </c>
      <c r="L69" s="45">
        <v>16</v>
      </c>
      <c r="N69" s="113">
        <v>64</v>
      </c>
      <c r="O69" s="45" t="s">
        <v>65</v>
      </c>
      <c r="P69" s="45">
        <v>4</v>
      </c>
      <c r="R69" s="113">
        <v>64</v>
      </c>
      <c r="S69" s="45" t="s">
        <v>71</v>
      </c>
      <c r="T69" s="45">
        <v>4</v>
      </c>
      <c r="V69" s="113">
        <v>64</v>
      </c>
      <c r="W69" s="45" t="s">
        <v>41</v>
      </c>
      <c r="X69" s="45">
        <v>-4</v>
      </c>
      <c r="Z69" s="265"/>
      <c r="AA69" s="265"/>
      <c r="AB69" s="265"/>
      <c r="AD69" s="113">
        <v>64</v>
      </c>
      <c r="AE69" s="45" t="s">
        <v>64</v>
      </c>
      <c r="AF69" s="45">
        <v>-1</v>
      </c>
      <c r="AH69" s="113">
        <v>64</v>
      </c>
      <c r="AI69" s="45" t="s">
        <v>63</v>
      </c>
      <c r="AJ69" s="45">
        <v>5</v>
      </c>
      <c r="AL69" s="113">
        <v>64</v>
      </c>
      <c r="AM69" s="45" t="s">
        <v>1157</v>
      </c>
      <c r="AN69" s="45">
        <v>-4</v>
      </c>
      <c r="AP69" s="113">
        <v>64</v>
      </c>
      <c r="AQ69" s="45" t="s">
        <v>69</v>
      </c>
      <c r="AR69" s="45">
        <v>-4</v>
      </c>
      <c r="AU69" s="270"/>
      <c r="AW69" s="271"/>
      <c r="AY69" s="213"/>
      <c r="BA69" s="270"/>
      <c r="BB69" s="181"/>
      <c r="BC69" s="270"/>
      <c r="BD69" s="181"/>
      <c r="BE69" s="271"/>
      <c r="BF69" s="181"/>
      <c r="BG69" s="271"/>
      <c r="BH69" s="113">
        <v>64</v>
      </c>
      <c r="BI69" s="45" t="s">
        <v>41</v>
      </c>
      <c r="BJ69" s="67">
        <v>-2</v>
      </c>
    </row>
    <row r="70" spans="2:62">
      <c r="B70" s="111">
        <v>65</v>
      </c>
      <c r="C70" s="45" t="s">
        <v>41</v>
      </c>
      <c r="D70" s="45">
        <v>14</v>
      </c>
      <c r="E70" s="45" t="s">
        <v>80</v>
      </c>
      <c r="F70" s="111">
        <v>65</v>
      </c>
      <c r="G70" s="45" t="s">
        <v>68</v>
      </c>
      <c r="H70" s="45">
        <v>-1</v>
      </c>
      <c r="J70" s="113">
        <v>65</v>
      </c>
      <c r="K70" s="45" t="s">
        <v>70</v>
      </c>
      <c r="L70" s="45">
        <v>4</v>
      </c>
      <c r="N70" s="113">
        <v>65</v>
      </c>
      <c r="O70" s="45" t="s">
        <v>184</v>
      </c>
      <c r="P70" s="45">
        <v>8</v>
      </c>
      <c r="R70" s="113">
        <v>65</v>
      </c>
      <c r="S70" s="45" t="s">
        <v>229</v>
      </c>
      <c r="T70" s="45">
        <v>24</v>
      </c>
      <c r="V70" s="113">
        <v>65</v>
      </c>
      <c r="W70" s="45" t="s">
        <v>37</v>
      </c>
      <c r="X70" s="45">
        <v>-9</v>
      </c>
      <c r="Z70" s="265"/>
      <c r="AA70" s="265"/>
      <c r="AB70" s="265"/>
      <c r="AD70" s="113">
        <v>65</v>
      </c>
      <c r="AE70" s="45" t="s">
        <v>41</v>
      </c>
      <c r="AF70" s="45">
        <v>-1</v>
      </c>
      <c r="AH70" s="113">
        <v>65</v>
      </c>
      <c r="AI70" s="45" t="s">
        <v>66</v>
      </c>
      <c r="AJ70" s="45">
        <v>-5</v>
      </c>
      <c r="AL70" s="113">
        <v>65</v>
      </c>
      <c r="AM70" s="45" t="s">
        <v>64</v>
      </c>
      <c r="AN70" s="45">
        <v>2</v>
      </c>
      <c r="AP70" s="113">
        <v>65</v>
      </c>
      <c r="AQ70" s="45" t="s">
        <v>1101</v>
      </c>
      <c r="AR70" s="45">
        <v>3</v>
      </c>
      <c r="AU70" s="270"/>
      <c r="AW70" s="271"/>
      <c r="AY70" s="213"/>
      <c r="BA70" s="270"/>
      <c r="BB70" s="181"/>
      <c r="BC70" s="271"/>
      <c r="BD70" s="181"/>
      <c r="BE70" s="271"/>
      <c r="BF70" s="181"/>
      <c r="BG70" s="271"/>
      <c r="BH70" s="113">
        <v>65</v>
      </c>
      <c r="BI70" s="45" t="s">
        <v>63</v>
      </c>
      <c r="BJ70" s="67">
        <v>-2</v>
      </c>
    </row>
    <row r="71" spans="2:62">
      <c r="B71" s="111">
        <v>66</v>
      </c>
      <c r="C71" s="105" t="s">
        <v>71</v>
      </c>
      <c r="D71" s="45">
        <v>15</v>
      </c>
      <c r="E71" s="45" t="s">
        <v>80</v>
      </c>
      <c r="F71" s="111">
        <v>66</v>
      </c>
      <c r="G71" s="45" t="s">
        <v>41</v>
      </c>
      <c r="H71" s="45">
        <v>-1</v>
      </c>
      <c r="J71" s="113">
        <v>66</v>
      </c>
      <c r="K71" s="45" t="s">
        <v>40</v>
      </c>
      <c r="L71" s="45">
        <v>6</v>
      </c>
      <c r="N71" s="113">
        <v>66</v>
      </c>
      <c r="O71" s="45" t="s">
        <v>36</v>
      </c>
      <c r="P71" s="45">
        <v>4</v>
      </c>
      <c r="R71" s="113">
        <v>66</v>
      </c>
      <c r="S71" s="45" t="s">
        <v>70</v>
      </c>
      <c r="T71" s="45">
        <v>5</v>
      </c>
      <c r="V71" s="113">
        <v>66</v>
      </c>
      <c r="W71" s="45" t="s">
        <v>71</v>
      </c>
      <c r="X71" s="45">
        <v>-2</v>
      </c>
      <c r="Z71" s="265"/>
      <c r="AA71" s="265"/>
      <c r="AB71" s="265"/>
      <c r="AD71" s="113">
        <v>66</v>
      </c>
      <c r="AE71" s="45" t="s">
        <v>1117</v>
      </c>
      <c r="AF71" s="45">
        <v>-1</v>
      </c>
      <c r="AH71" s="113">
        <v>66</v>
      </c>
      <c r="AI71" s="45" t="s">
        <v>67</v>
      </c>
      <c r="AJ71" s="45">
        <v>-3</v>
      </c>
      <c r="AL71" s="113">
        <v>66</v>
      </c>
      <c r="AM71" s="45" t="s">
        <v>63</v>
      </c>
      <c r="AN71" s="45">
        <v>-2</v>
      </c>
      <c r="AP71" s="113">
        <v>66</v>
      </c>
      <c r="AQ71" s="45" t="s">
        <v>64</v>
      </c>
      <c r="AR71" s="45">
        <v>-1</v>
      </c>
      <c r="AU71" s="270"/>
      <c r="AW71" s="271"/>
      <c r="AY71" s="213"/>
      <c r="BA71" s="270"/>
      <c r="BB71" s="181"/>
      <c r="BC71" s="271"/>
      <c r="BD71" s="181"/>
      <c r="BE71" s="271"/>
      <c r="BF71" s="181"/>
      <c r="BG71" s="271"/>
      <c r="BH71" s="113">
        <v>66</v>
      </c>
      <c r="BI71" s="45" t="s">
        <v>66</v>
      </c>
      <c r="BJ71" s="67">
        <v>2</v>
      </c>
    </row>
    <row r="72" spans="2:62">
      <c r="B72" s="111">
        <v>67</v>
      </c>
      <c r="C72" s="45" t="s">
        <v>67</v>
      </c>
      <c r="D72" s="45">
        <v>16</v>
      </c>
      <c r="E72" s="45" t="s">
        <v>79</v>
      </c>
      <c r="F72" s="111">
        <v>67</v>
      </c>
      <c r="G72" s="105" t="s">
        <v>39</v>
      </c>
      <c r="H72" s="45">
        <v>4</v>
      </c>
      <c r="J72" s="113">
        <v>67</v>
      </c>
      <c r="K72" s="45" t="s">
        <v>41</v>
      </c>
      <c r="L72" s="45">
        <v>-1</v>
      </c>
      <c r="N72" s="113">
        <v>67</v>
      </c>
      <c r="O72" s="45" t="s">
        <v>60</v>
      </c>
      <c r="P72" s="45">
        <v>2</v>
      </c>
      <c r="R72" s="113">
        <v>67</v>
      </c>
      <c r="S72" s="45" t="s">
        <v>40</v>
      </c>
      <c r="T72" s="45">
        <v>3</v>
      </c>
      <c r="V72" s="113">
        <v>67</v>
      </c>
      <c r="W72" s="105" t="s">
        <v>69</v>
      </c>
      <c r="X72" s="45">
        <v>6</v>
      </c>
      <c r="Z72" s="265"/>
      <c r="AA72" s="265"/>
      <c r="AB72" s="265"/>
      <c r="AD72" s="113">
        <v>67</v>
      </c>
      <c r="AE72" s="45" t="s">
        <v>71</v>
      </c>
      <c r="AF72" s="45">
        <v>-1</v>
      </c>
      <c r="AH72" s="113">
        <v>67</v>
      </c>
      <c r="AI72" s="45" t="s">
        <v>64</v>
      </c>
      <c r="AJ72" s="45">
        <v>-3</v>
      </c>
      <c r="AL72" s="113">
        <v>67</v>
      </c>
      <c r="AM72" s="105" t="s">
        <v>71</v>
      </c>
      <c r="AN72" s="45">
        <v>2</v>
      </c>
      <c r="AP72" s="113">
        <v>67</v>
      </c>
      <c r="AQ72" s="105" t="s">
        <v>65</v>
      </c>
      <c r="AR72" s="45">
        <v>4</v>
      </c>
      <c r="AU72" s="270"/>
      <c r="AW72" s="271"/>
      <c r="AY72" s="213"/>
      <c r="BA72" s="271"/>
      <c r="BB72" s="181"/>
      <c r="BC72" s="271"/>
      <c r="BD72" s="181"/>
      <c r="BE72" s="271"/>
      <c r="BF72" s="181"/>
      <c r="BG72" s="271"/>
      <c r="BH72" s="113">
        <v>67</v>
      </c>
      <c r="BI72" s="45" t="s">
        <v>64</v>
      </c>
      <c r="BJ72" s="67">
        <v>-1</v>
      </c>
    </row>
    <row r="73" spans="2:62">
      <c r="B73" s="111">
        <v>68</v>
      </c>
      <c r="C73" s="105" t="s">
        <v>70</v>
      </c>
      <c r="D73" s="45">
        <v>17</v>
      </c>
      <c r="E73" s="45" t="s">
        <v>79</v>
      </c>
      <c r="F73" s="111">
        <v>68</v>
      </c>
      <c r="G73" s="45" t="s">
        <v>36</v>
      </c>
      <c r="H73" s="45">
        <v>-6</v>
      </c>
      <c r="J73" s="113">
        <v>68</v>
      </c>
      <c r="K73" s="45" t="s">
        <v>65</v>
      </c>
      <c r="L73" s="45">
        <v>-6</v>
      </c>
      <c r="N73" s="113">
        <v>68</v>
      </c>
      <c r="O73" s="45" t="s">
        <v>71</v>
      </c>
      <c r="P73" s="45">
        <v>7</v>
      </c>
      <c r="R73" s="113">
        <v>68</v>
      </c>
      <c r="S73" s="45" t="s">
        <v>68</v>
      </c>
      <c r="T73" s="45">
        <v>6</v>
      </c>
      <c r="V73" s="113">
        <v>68</v>
      </c>
      <c r="W73" s="105" t="s">
        <v>65</v>
      </c>
      <c r="X73" s="45">
        <v>1</v>
      </c>
      <c r="Z73" s="265"/>
      <c r="AA73" s="265"/>
      <c r="AB73" s="265"/>
      <c r="AD73" s="113">
        <v>68</v>
      </c>
      <c r="AE73" s="45" t="s">
        <v>93</v>
      </c>
      <c r="AF73" s="45">
        <v>-6</v>
      </c>
      <c r="AH73" s="113">
        <v>68</v>
      </c>
      <c r="AI73" s="105" t="s">
        <v>264</v>
      </c>
      <c r="AJ73" s="45">
        <v>4</v>
      </c>
      <c r="AL73" s="113">
        <v>68</v>
      </c>
      <c r="AM73" s="105" t="s">
        <v>1101</v>
      </c>
      <c r="AN73" s="45">
        <v>5</v>
      </c>
      <c r="AP73" s="113">
        <v>68</v>
      </c>
      <c r="AQ73" s="105" t="s">
        <v>66</v>
      </c>
      <c r="AR73" s="45">
        <v>2</v>
      </c>
      <c r="AU73" s="270"/>
      <c r="AW73" s="271"/>
      <c r="AY73" s="213"/>
      <c r="BA73" s="271"/>
      <c r="BB73" s="181"/>
      <c r="BC73" s="271"/>
      <c r="BD73" s="181"/>
      <c r="BE73" s="271"/>
      <c r="BF73" s="181"/>
      <c r="BG73" s="271"/>
      <c r="BH73" s="113">
        <v>68</v>
      </c>
      <c r="BI73" s="105" t="s">
        <v>73</v>
      </c>
      <c r="BJ73" s="67">
        <v>2</v>
      </c>
    </row>
    <row r="74" spans="2:62">
      <c r="B74" s="111">
        <v>69</v>
      </c>
      <c r="C74" s="105" t="s">
        <v>57</v>
      </c>
      <c r="D74" s="45">
        <v>18</v>
      </c>
      <c r="E74" s="45" t="s">
        <v>80</v>
      </c>
      <c r="F74" s="111">
        <v>69</v>
      </c>
      <c r="G74" s="112" t="s">
        <v>70</v>
      </c>
      <c r="H74" s="45">
        <v>-1</v>
      </c>
      <c r="J74" s="115">
        <v>69</v>
      </c>
      <c r="K74" s="45" t="s">
        <v>60</v>
      </c>
      <c r="L74" s="45">
        <v>2</v>
      </c>
      <c r="N74" s="115">
        <v>69</v>
      </c>
      <c r="O74" s="45" t="s">
        <v>69</v>
      </c>
      <c r="P74" s="45">
        <v>-6</v>
      </c>
      <c r="R74" s="115">
        <v>69</v>
      </c>
      <c r="S74" s="45" t="s">
        <v>65</v>
      </c>
      <c r="T74" s="45">
        <v>-5</v>
      </c>
      <c r="V74" s="115">
        <v>69</v>
      </c>
      <c r="W74" s="108" t="s">
        <v>63</v>
      </c>
      <c r="X74" s="45">
        <v>-8</v>
      </c>
      <c r="Z74" s="265"/>
      <c r="AA74" s="265"/>
      <c r="AB74" s="265"/>
      <c r="AD74" s="113">
        <v>69</v>
      </c>
      <c r="AE74" s="105" t="s">
        <v>63</v>
      </c>
      <c r="AF74" s="45">
        <v>0</v>
      </c>
      <c r="AH74" s="115">
        <v>69</v>
      </c>
      <c r="AI74" s="108" t="s">
        <v>71</v>
      </c>
      <c r="AJ74" s="45">
        <v>-2</v>
      </c>
      <c r="AL74" s="115">
        <v>69</v>
      </c>
      <c r="AM74" s="108" t="s">
        <v>67</v>
      </c>
      <c r="AN74" s="45">
        <v>-3</v>
      </c>
      <c r="AP74" s="115">
        <v>69</v>
      </c>
      <c r="AQ74" s="108" t="s">
        <v>93</v>
      </c>
      <c r="AR74" s="45">
        <v>-7</v>
      </c>
      <c r="AU74" s="271"/>
      <c r="AW74" s="271"/>
      <c r="AY74" s="213"/>
      <c r="BA74" s="271"/>
      <c r="BB74" s="181"/>
      <c r="BC74" s="271"/>
      <c r="BD74" s="181"/>
      <c r="BE74" s="271"/>
      <c r="BF74" s="181"/>
      <c r="BG74" s="271"/>
      <c r="BH74" s="113">
        <v>69</v>
      </c>
      <c r="BI74" s="105" t="s">
        <v>55</v>
      </c>
      <c r="BJ74" s="67">
        <v>2</v>
      </c>
    </row>
    <row r="75" spans="2:62">
      <c r="B75" s="116">
        <v>70</v>
      </c>
      <c r="C75" s="114" t="s">
        <v>47</v>
      </c>
      <c r="D75" s="45">
        <v>1</v>
      </c>
      <c r="E75" s="45" t="s">
        <v>79</v>
      </c>
      <c r="F75" s="116">
        <v>70</v>
      </c>
      <c r="G75" s="108" t="s">
        <v>71</v>
      </c>
      <c r="H75" s="45">
        <v>-4</v>
      </c>
      <c r="J75" s="115">
        <v>70</v>
      </c>
      <c r="K75" s="45" t="s">
        <v>36</v>
      </c>
      <c r="L75" s="45">
        <v>-2</v>
      </c>
      <c r="N75" s="115">
        <v>70</v>
      </c>
      <c r="O75" s="45" t="s">
        <v>40</v>
      </c>
      <c r="P75" s="45">
        <v>-4</v>
      </c>
      <c r="R75" s="115">
        <v>70</v>
      </c>
      <c r="S75" s="45" t="s">
        <v>36</v>
      </c>
      <c r="T75" s="45">
        <v>-4</v>
      </c>
      <c r="V75" s="115">
        <v>70</v>
      </c>
      <c r="W75" s="108" t="s">
        <v>70</v>
      </c>
      <c r="X75" s="45">
        <v>-4</v>
      </c>
      <c r="Z75" s="265"/>
      <c r="AA75" s="265"/>
      <c r="AB75" s="265"/>
      <c r="AD75" s="115">
        <v>70</v>
      </c>
      <c r="AE75" s="45" t="s">
        <v>55</v>
      </c>
      <c r="AF75" s="45">
        <v>6</v>
      </c>
      <c r="AH75" s="115">
        <v>70</v>
      </c>
      <c r="AI75" s="108" t="s">
        <v>65</v>
      </c>
      <c r="AJ75" s="45">
        <v>-9</v>
      </c>
      <c r="AL75" s="115">
        <v>70</v>
      </c>
      <c r="AM75" s="108" t="s">
        <v>66</v>
      </c>
      <c r="AN75" s="45">
        <v>-5</v>
      </c>
      <c r="AP75" s="115">
        <v>70</v>
      </c>
      <c r="AQ75" s="108" t="s">
        <v>73</v>
      </c>
      <c r="AR75" s="45">
        <v>-11</v>
      </c>
      <c r="AU75" s="271"/>
      <c r="AW75" s="271"/>
      <c r="AY75" s="213"/>
      <c r="BA75" s="271"/>
      <c r="BB75" s="181"/>
      <c r="BC75" s="271"/>
      <c r="BD75" s="181"/>
      <c r="BE75" s="271"/>
      <c r="BF75" s="181"/>
      <c r="BG75" s="271"/>
      <c r="BH75" s="113">
        <v>70</v>
      </c>
      <c r="BI75" s="105" t="s">
        <v>1102</v>
      </c>
      <c r="BJ75" s="67">
        <v>4</v>
      </c>
    </row>
    <row r="76" spans="2:62">
      <c r="B76" s="116">
        <v>71</v>
      </c>
      <c r="C76" s="45" t="s">
        <v>39</v>
      </c>
      <c r="D76" s="45">
        <v>2</v>
      </c>
      <c r="E76" s="45" t="s">
        <v>80</v>
      </c>
      <c r="F76" s="116">
        <v>71</v>
      </c>
      <c r="G76" s="45" t="s">
        <v>60</v>
      </c>
      <c r="H76" s="45">
        <v>1</v>
      </c>
      <c r="J76" s="115">
        <v>71</v>
      </c>
      <c r="K76" s="45" t="s">
        <v>68</v>
      </c>
      <c r="L76" s="45">
        <v>-6</v>
      </c>
      <c r="N76" s="115">
        <v>71</v>
      </c>
      <c r="O76" s="45" t="s">
        <v>70</v>
      </c>
      <c r="P76" s="45">
        <v>-6</v>
      </c>
      <c r="R76" s="115">
        <v>71</v>
      </c>
      <c r="S76" s="45" t="s">
        <v>60</v>
      </c>
      <c r="T76" s="45">
        <v>-4</v>
      </c>
      <c r="V76" s="115">
        <v>71</v>
      </c>
      <c r="W76" s="45" t="s">
        <v>38</v>
      </c>
      <c r="X76" s="45">
        <v>3</v>
      </c>
      <c r="Z76" s="265"/>
      <c r="AA76" s="265"/>
      <c r="AB76" s="265"/>
      <c r="AD76" s="115">
        <v>71</v>
      </c>
      <c r="AE76" s="45" t="s">
        <v>30</v>
      </c>
      <c r="AF76" s="45">
        <v>1</v>
      </c>
      <c r="AH76" s="115">
        <v>71</v>
      </c>
      <c r="AI76" s="45" t="s">
        <v>30</v>
      </c>
      <c r="AJ76" s="45">
        <v>0</v>
      </c>
      <c r="AL76" s="115">
        <v>71</v>
      </c>
      <c r="AM76" s="45" t="s">
        <v>65</v>
      </c>
      <c r="AN76" s="45">
        <v>-1</v>
      </c>
      <c r="AP76" s="115">
        <v>71</v>
      </c>
      <c r="AQ76" s="45" t="s">
        <v>55</v>
      </c>
      <c r="AR76" s="45">
        <v>3</v>
      </c>
      <c r="AU76" s="271"/>
      <c r="AW76" s="271"/>
      <c r="AY76" s="213"/>
      <c r="BA76" s="271"/>
      <c r="BB76" s="181"/>
      <c r="BC76" s="271"/>
      <c r="BD76" s="181"/>
      <c r="BE76" s="271"/>
      <c r="BF76" s="181"/>
      <c r="BG76" s="271"/>
      <c r="BH76" s="115">
        <v>71</v>
      </c>
      <c r="BI76" s="108" t="s">
        <v>1101</v>
      </c>
      <c r="BJ76" s="67">
        <v>-6</v>
      </c>
    </row>
    <row r="77" spans="2:62">
      <c r="B77" s="116">
        <v>72</v>
      </c>
      <c r="C77" s="114" t="s">
        <v>60</v>
      </c>
      <c r="D77" s="45">
        <v>3</v>
      </c>
      <c r="E77" s="45" t="s">
        <v>80</v>
      </c>
      <c r="F77" s="116">
        <v>72</v>
      </c>
      <c r="G77" s="45" t="s">
        <v>40</v>
      </c>
      <c r="H77" s="45">
        <v>3</v>
      </c>
      <c r="J77" s="115">
        <v>72</v>
      </c>
      <c r="K77" s="45" t="s">
        <v>39</v>
      </c>
      <c r="L77" s="45">
        <v>-5</v>
      </c>
      <c r="N77" s="115">
        <v>72</v>
      </c>
      <c r="O77" s="45" t="s">
        <v>0</v>
      </c>
      <c r="P77" s="45">
        <v>-8</v>
      </c>
      <c r="R77" s="115">
        <v>72</v>
      </c>
      <c r="S77" s="45" t="s">
        <v>94</v>
      </c>
      <c r="T77" s="45">
        <v>-17</v>
      </c>
      <c r="V77" s="115">
        <v>72</v>
      </c>
      <c r="W77" s="45" t="s">
        <v>30</v>
      </c>
      <c r="X77" s="45">
        <v>6</v>
      </c>
      <c r="Z77" s="265"/>
      <c r="AA77" s="265"/>
      <c r="AB77" s="265"/>
      <c r="AD77" s="115">
        <v>72</v>
      </c>
      <c r="AE77" s="45" t="s">
        <v>264</v>
      </c>
      <c r="AF77" s="45">
        <v>8</v>
      </c>
      <c r="AH77" s="115">
        <v>72</v>
      </c>
      <c r="AI77" s="45" t="s">
        <v>55</v>
      </c>
      <c r="AJ77" s="45">
        <v>-2</v>
      </c>
      <c r="AL77" s="115">
        <v>72</v>
      </c>
      <c r="AM77" s="45" t="s">
        <v>94</v>
      </c>
      <c r="AN77" s="45">
        <v>3</v>
      </c>
      <c r="AP77" s="115">
        <v>72</v>
      </c>
      <c r="AQ77" s="45" t="s">
        <v>67</v>
      </c>
      <c r="AR77" s="45">
        <v>-3</v>
      </c>
      <c r="AU77" s="271"/>
      <c r="AW77" s="271"/>
      <c r="AY77" s="213"/>
      <c r="BA77" s="271"/>
      <c r="BB77" s="181"/>
      <c r="BC77" s="271"/>
      <c r="BD77" s="181"/>
      <c r="BE77" s="271"/>
      <c r="BF77" s="181"/>
      <c r="BG77" s="271"/>
      <c r="BH77" s="115">
        <v>72</v>
      </c>
      <c r="BI77" s="45" t="s">
        <v>67</v>
      </c>
      <c r="BJ77" s="67">
        <v>0</v>
      </c>
    </row>
    <row r="78" spans="2:62">
      <c r="B78" s="116">
        <v>73</v>
      </c>
      <c r="C78" s="45" t="s">
        <v>0</v>
      </c>
      <c r="D78" s="45">
        <v>4</v>
      </c>
      <c r="E78" s="45" t="s">
        <v>79</v>
      </c>
      <c r="F78" s="116">
        <v>73</v>
      </c>
      <c r="G78" s="45" t="s">
        <v>45</v>
      </c>
      <c r="H78" s="45">
        <v>9</v>
      </c>
      <c r="J78" s="115">
        <v>73</v>
      </c>
      <c r="K78" s="45" t="s">
        <v>184</v>
      </c>
      <c r="L78" s="45">
        <v>15</v>
      </c>
      <c r="N78" s="115">
        <v>73</v>
      </c>
      <c r="O78" s="45" t="s">
        <v>55</v>
      </c>
      <c r="P78" s="45">
        <v>6</v>
      </c>
      <c r="R78" s="115">
        <v>73</v>
      </c>
      <c r="S78" s="45" t="s">
        <v>69</v>
      </c>
      <c r="T78" s="45">
        <v>-4</v>
      </c>
      <c r="V78" s="115">
        <v>73</v>
      </c>
      <c r="W78" s="45" t="s">
        <v>60</v>
      </c>
      <c r="X78" s="45">
        <v>-2</v>
      </c>
      <c r="Z78" s="265"/>
      <c r="AA78" s="265"/>
      <c r="AB78" s="265"/>
      <c r="AD78" s="115">
        <v>73</v>
      </c>
      <c r="AE78" s="45" t="s">
        <v>70</v>
      </c>
      <c r="AF78" s="45">
        <v>-3</v>
      </c>
      <c r="AH78" s="115">
        <v>73</v>
      </c>
      <c r="AI78" s="45" t="s">
        <v>1101</v>
      </c>
      <c r="AJ78" s="45">
        <v>4</v>
      </c>
      <c r="AL78" s="115">
        <v>73</v>
      </c>
      <c r="AM78" s="45" t="s">
        <v>30</v>
      </c>
      <c r="AN78" s="45">
        <v>-2</v>
      </c>
      <c r="AP78" s="115">
        <v>73</v>
      </c>
      <c r="AQ78" s="45" t="s">
        <v>70</v>
      </c>
      <c r="AR78" s="45">
        <v>4</v>
      </c>
      <c r="AU78" s="271"/>
      <c r="AW78" s="272"/>
      <c r="AY78" s="213"/>
      <c r="BA78" s="271"/>
      <c r="BB78" s="181"/>
      <c r="BC78" s="271"/>
      <c r="BD78" s="181"/>
      <c r="BE78" s="271"/>
      <c r="BF78" s="181"/>
      <c r="BG78" s="272"/>
      <c r="BH78" s="115">
        <v>73</v>
      </c>
      <c r="BI78" s="45" t="s">
        <v>93</v>
      </c>
      <c r="BJ78" s="67">
        <v>-4</v>
      </c>
    </row>
    <row r="79" spans="2:62">
      <c r="B79" s="116">
        <v>74</v>
      </c>
      <c r="C79" s="45" t="s">
        <v>38</v>
      </c>
      <c r="D79" s="45">
        <v>5</v>
      </c>
      <c r="E79" s="45" t="s">
        <v>79</v>
      </c>
      <c r="F79" s="116">
        <v>74</v>
      </c>
      <c r="G79" s="45" t="s">
        <v>77</v>
      </c>
      <c r="H79" s="45">
        <v>4</v>
      </c>
      <c r="J79" s="115">
        <v>74</v>
      </c>
      <c r="K79" s="45" t="s">
        <v>45</v>
      </c>
      <c r="L79" s="45">
        <v>-1</v>
      </c>
      <c r="N79" s="115">
        <v>74</v>
      </c>
      <c r="O79" s="45" t="s">
        <v>68</v>
      </c>
      <c r="P79" s="45">
        <v>-3</v>
      </c>
      <c r="R79" s="115">
        <v>74</v>
      </c>
      <c r="S79" s="45" t="s">
        <v>38</v>
      </c>
      <c r="T79" s="45">
        <v>7</v>
      </c>
      <c r="V79" s="115">
        <v>74</v>
      </c>
      <c r="W79" s="45" t="s">
        <v>39</v>
      </c>
      <c r="X79" s="45">
        <v>3</v>
      </c>
      <c r="Z79" s="265"/>
      <c r="AA79" s="265"/>
      <c r="AB79" s="265"/>
      <c r="AD79" s="115">
        <v>74</v>
      </c>
      <c r="AE79" s="45" t="s">
        <v>94</v>
      </c>
      <c r="AF79" s="45">
        <v>4</v>
      </c>
      <c r="AH79" s="115">
        <v>74</v>
      </c>
      <c r="AI79" s="45" t="s">
        <v>70</v>
      </c>
      <c r="AJ79" s="45">
        <v>-1</v>
      </c>
      <c r="AL79" s="115">
        <v>74</v>
      </c>
      <c r="AM79" s="45" t="s">
        <v>55</v>
      </c>
      <c r="AN79" s="45">
        <v>-2</v>
      </c>
      <c r="AP79" s="115">
        <v>74</v>
      </c>
      <c r="AQ79" s="45" t="s">
        <v>1102</v>
      </c>
      <c r="AR79" s="45">
        <v>2</v>
      </c>
      <c r="AU79" s="271"/>
      <c r="AW79" s="272"/>
      <c r="AY79" s="213"/>
      <c r="BA79" s="271"/>
      <c r="BB79" s="181"/>
      <c r="BC79" s="271"/>
      <c r="BD79" s="181"/>
      <c r="BE79" s="271"/>
      <c r="BF79" s="181"/>
      <c r="BG79" s="272"/>
      <c r="BH79" s="115">
        <v>74</v>
      </c>
      <c r="BI79" s="45" t="s">
        <v>70</v>
      </c>
      <c r="BJ79" s="67">
        <v>-1</v>
      </c>
    </row>
    <row r="80" spans="2:62">
      <c r="B80" s="116">
        <v>75</v>
      </c>
      <c r="C80" s="45" t="s">
        <v>40</v>
      </c>
      <c r="D80" s="45">
        <v>6</v>
      </c>
      <c r="E80" s="111" t="s">
        <v>80</v>
      </c>
      <c r="F80" s="116">
        <v>75</v>
      </c>
      <c r="G80" s="45" t="s">
        <v>72</v>
      </c>
      <c r="H80" s="45">
        <v>1</v>
      </c>
      <c r="J80" s="115">
        <v>75</v>
      </c>
      <c r="K80" s="45" t="s">
        <v>71</v>
      </c>
      <c r="L80" s="45">
        <v>-5</v>
      </c>
      <c r="N80" s="115">
        <v>75</v>
      </c>
      <c r="O80" s="45" t="s">
        <v>39</v>
      </c>
      <c r="P80" s="45">
        <v>-3</v>
      </c>
      <c r="R80" s="115">
        <v>75</v>
      </c>
      <c r="S80" s="45" t="s">
        <v>55</v>
      </c>
      <c r="T80" s="45">
        <v>-2</v>
      </c>
      <c r="V80" s="115">
        <v>75</v>
      </c>
      <c r="W80" s="45" t="s">
        <v>0</v>
      </c>
      <c r="X80" s="45">
        <v>1</v>
      </c>
      <c r="Z80" s="265"/>
      <c r="AA80" s="265"/>
      <c r="AB80" s="265"/>
      <c r="AD80" s="115">
        <v>75</v>
      </c>
      <c r="AE80" s="45" t="s">
        <v>39</v>
      </c>
      <c r="AF80" s="45">
        <v>-1</v>
      </c>
      <c r="AH80" s="115">
        <v>75</v>
      </c>
      <c r="AI80" s="45" t="s">
        <v>94</v>
      </c>
      <c r="AJ80" s="45">
        <v>-1</v>
      </c>
      <c r="AL80" s="115">
        <v>75</v>
      </c>
      <c r="AM80" s="45" t="s">
        <v>77</v>
      </c>
      <c r="AN80" s="45">
        <v>4</v>
      </c>
      <c r="AP80" s="115">
        <v>75</v>
      </c>
      <c r="AQ80" s="45" t="s">
        <v>30</v>
      </c>
      <c r="AR80" s="45">
        <v>-2</v>
      </c>
      <c r="AU80" s="271"/>
      <c r="AW80" s="272"/>
      <c r="AY80" s="213"/>
      <c r="BA80" s="271"/>
      <c r="BB80" s="181"/>
      <c r="BC80" s="271"/>
      <c r="BD80" s="181"/>
      <c r="BE80" s="272"/>
      <c r="BF80" s="181"/>
      <c r="BG80" s="272"/>
      <c r="BH80" s="115">
        <v>75</v>
      </c>
      <c r="BI80" s="45" t="s">
        <v>39</v>
      </c>
      <c r="BJ80" s="67">
        <v>4</v>
      </c>
    </row>
    <row r="81" spans="1:71">
      <c r="B81" s="116">
        <v>76</v>
      </c>
      <c r="C81" s="45" t="s">
        <v>72</v>
      </c>
      <c r="D81" s="45">
        <v>7</v>
      </c>
      <c r="E81" s="117" t="s">
        <v>80</v>
      </c>
      <c r="F81" s="116">
        <v>76</v>
      </c>
      <c r="G81" s="45" t="s">
        <v>98</v>
      </c>
      <c r="H81" s="45">
        <v>10</v>
      </c>
      <c r="J81" s="115">
        <v>76</v>
      </c>
      <c r="K81" s="45" t="s">
        <v>30</v>
      </c>
      <c r="L81" s="45">
        <v>1</v>
      </c>
      <c r="N81" s="115">
        <v>76</v>
      </c>
      <c r="O81" s="45" t="s">
        <v>57</v>
      </c>
      <c r="P81" s="45">
        <v>1</v>
      </c>
      <c r="R81" s="115">
        <v>76</v>
      </c>
      <c r="S81" s="45" t="s">
        <v>0</v>
      </c>
      <c r="T81" s="45">
        <v>-4</v>
      </c>
      <c r="V81" s="115">
        <v>76</v>
      </c>
      <c r="W81" s="45" t="s">
        <v>55</v>
      </c>
      <c r="X81" s="45">
        <v>-1</v>
      </c>
      <c r="Z81" s="265"/>
      <c r="AA81" s="265"/>
      <c r="AB81" s="265"/>
      <c r="AD81" s="115">
        <v>76</v>
      </c>
      <c r="AE81" s="45" t="s">
        <v>1102</v>
      </c>
      <c r="AF81" s="45">
        <v>-3</v>
      </c>
      <c r="AH81" s="115">
        <v>76</v>
      </c>
      <c r="AI81" s="45" t="s">
        <v>1102</v>
      </c>
      <c r="AJ81" s="45">
        <v>0</v>
      </c>
      <c r="AL81" s="115">
        <v>76</v>
      </c>
      <c r="AM81" s="45" t="s">
        <v>1102</v>
      </c>
      <c r="AN81" s="45">
        <v>0</v>
      </c>
      <c r="AP81" s="115">
        <v>76</v>
      </c>
      <c r="AQ81" s="45" t="s">
        <v>94</v>
      </c>
      <c r="AR81" s="45">
        <v>-4</v>
      </c>
      <c r="AU81" s="271"/>
      <c r="AW81" s="272"/>
      <c r="AY81" s="213"/>
      <c r="BA81" s="271"/>
      <c r="BB81" s="181"/>
      <c r="BC81" s="271"/>
      <c r="BD81" s="181"/>
      <c r="BE81" s="272"/>
      <c r="BF81" s="181"/>
      <c r="BG81" s="272"/>
      <c r="BH81" s="115">
        <v>76</v>
      </c>
      <c r="BI81" s="45" t="s">
        <v>77</v>
      </c>
      <c r="BJ81" s="67">
        <v>2</v>
      </c>
    </row>
    <row r="82" spans="1:71">
      <c r="A82" s="45" t="s">
        <v>85</v>
      </c>
      <c r="B82" s="116">
        <v>77</v>
      </c>
      <c r="C82" s="45" t="s">
        <v>48</v>
      </c>
      <c r="D82" s="45">
        <v>8</v>
      </c>
      <c r="E82" s="111" t="s">
        <v>79</v>
      </c>
      <c r="F82" s="116">
        <v>77</v>
      </c>
      <c r="G82" s="45" t="s">
        <v>30</v>
      </c>
      <c r="H82" s="45">
        <v>2</v>
      </c>
      <c r="J82" s="115">
        <v>77</v>
      </c>
      <c r="K82" s="45" t="s">
        <v>57</v>
      </c>
      <c r="L82" s="45">
        <v>7</v>
      </c>
      <c r="N82" s="115">
        <v>77</v>
      </c>
      <c r="O82" s="45" t="s">
        <v>159</v>
      </c>
      <c r="P82" s="45">
        <v>3</v>
      </c>
      <c r="R82" s="115">
        <v>77</v>
      </c>
      <c r="S82" s="45" t="s">
        <v>39</v>
      </c>
      <c r="T82" s="45">
        <v>-2</v>
      </c>
      <c r="V82" s="115">
        <v>77</v>
      </c>
      <c r="W82" s="45" t="s">
        <v>36</v>
      </c>
      <c r="X82" s="45">
        <v>-7</v>
      </c>
      <c r="Z82" s="265"/>
      <c r="AA82" s="265"/>
      <c r="AB82" s="265"/>
      <c r="AD82" s="115">
        <v>77</v>
      </c>
      <c r="AE82" s="45" t="s">
        <v>1101</v>
      </c>
      <c r="AF82" s="45">
        <v>0</v>
      </c>
      <c r="AH82" s="115">
        <v>77</v>
      </c>
      <c r="AI82" s="45" t="s">
        <v>39</v>
      </c>
      <c r="AJ82" s="45">
        <v>-2</v>
      </c>
      <c r="AL82" s="115">
        <v>77</v>
      </c>
      <c r="AM82" s="45" t="s">
        <v>70</v>
      </c>
      <c r="AN82" s="45">
        <v>-3</v>
      </c>
      <c r="AP82" s="115">
        <v>77</v>
      </c>
      <c r="AQ82" s="45" t="s">
        <v>38</v>
      </c>
      <c r="AR82" s="45">
        <v>2</v>
      </c>
      <c r="AU82" s="271"/>
      <c r="AW82" s="272"/>
      <c r="AY82" s="213"/>
      <c r="BA82" s="271"/>
      <c r="BB82" s="181"/>
      <c r="BC82" s="272"/>
      <c r="BD82" s="181"/>
      <c r="BE82" s="272"/>
      <c r="BF82" s="181"/>
      <c r="BG82" s="272"/>
      <c r="BH82" s="115">
        <v>77</v>
      </c>
      <c r="BI82" s="45" t="s">
        <v>30</v>
      </c>
      <c r="BJ82" s="67">
        <v>-2</v>
      </c>
    </row>
    <row r="83" spans="1:71">
      <c r="B83" s="116">
        <v>78</v>
      </c>
      <c r="C83" s="45" t="s">
        <v>77</v>
      </c>
      <c r="D83" s="45">
        <v>9</v>
      </c>
      <c r="E83" s="45" t="s">
        <v>79</v>
      </c>
      <c r="F83" s="116">
        <v>78</v>
      </c>
      <c r="G83" s="45" t="s">
        <v>159</v>
      </c>
      <c r="H83" s="45">
        <v>3</v>
      </c>
      <c r="J83" s="115">
        <v>78</v>
      </c>
      <c r="K83" s="45" t="s">
        <v>38</v>
      </c>
      <c r="L83" s="45">
        <v>3</v>
      </c>
      <c r="N83" s="115">
        <v>78</v>
      </c>
      <c r="O83" s="45" t="s">
        <v>129</v>
      </c>
      <c r="P83" s="45">
        <v>4</v>
      </c>
      <c r="R83" s="115">
        <v>78</v>
      </c>
      <c r="S83" s="45" t="s">
        <v>30</v>
      </c>
      <c r="T83" s="45">
        <v>2</v>
      </c>
      <c r="V83" s="115">
        <v>78</v>
      </c>
      <c r="W83" s="45" t="s">
        <v>94</v>
      </c>
      <c r="X83" s="45">
        <v>-6</v>
      </c>
      <c r="Z83" s="265"/>
      <c r="AA83" s="265"/>
      <c r="AB83" s="265"/>
      <c r="AD83" s="115">
        <v>78</v>
      </c>
      <c r="AE83" s="45" t="s">
        <v>1100</v>
      </c>
      <c r="AF83" s="45">
        <v>-3</v>
      </c>
      <c r="AH83" s="115">
        <v>78</v>
      </c>
      <c r="AI83" s="45" t="s">
        <v>38</v>
      </c>
      <c r="AJ83" s="45">
        <v>1</v>
      </c>
      <c r="AL83" s="115">
        <v>78</v>
      </c>
      <c r="AM83" s="45" t="s">
        <v>39</v>
      </c>
      <c r="AN83" s="45">
        <v>-1</v>
      </c>
      <c r="AP83" s="115">
        <v>78</v>
      </c>
      <c r="AQ83" s="45" t="s">
        <v>77</v>
      </c>
      <c r="AR83" s="45">
        <v>-3</v>
      </c>
      <c r="AU83" s="271"/>
      <c r="AW83" s="272"/>
      <c r="AY83" s="213"/>
      <c r="BA83" s="271"/>
      <c r="BB83" s="181"/>
      <c r="BC83" s="272"/>
      <c r="BD83" s="181"/>
      <c r="BE83" s="272"/>
      <c r="BF83" s="181"/>
      <c r="BG83" s="272"/>
      <c r="BH83" s="115">
        <v>78</v>
      </c>
      <c r="BI83" s="45" t="s">
        <v>94</v>
      </c>
      <c r="BJ83" s="67">
        <v>-2</v>
      </c>
    </row>
    <row r="84" spans="1:71" ht="13.5" thickBot="1">
      <c r="B84" s="116">
        <v>79</v>
      </c>
      <c r="C84" s="45" t="s">
        <v>30</v>
      </c>
      <c r="D84" s="45">
        <v>10</v>
      </c>
      <c r="E84" s="45" t="s">
        <v>80</v>
      </c>
      <c r="F84" s="116">
        <v>79</v>
      </c>
      <c r="G84" s="45" t="s">
        <v>54</v>
      </c>
      <c r="H84" s="45">
        <v>5</v>
      </c>
      <c r="J84" s="115">
        <v>79</v>
      </c>
      <c r="K84" s="45" t="s">
        <v>55</v>
      </c>
      <c r="L84" s="45">
        <v>4</v>
      </c>
      <c r="N84" s="115">
        <v>79</v>
      </c>
      <c r="O84" s="45" t="s">
        <v>77</v>
      </c>
      <c r="P84" s="45">
        <v>2</v>
      </c>
      <c r="R84" s="115">
        <v>79</v>
      </c>
      <c r="S84" s="45" t="s">
        <v>45</v>
      </c>
      <c r="T84" s="45">
        <v>3</v>
      </c>
      <c r="V84" s="115">
        <v>79</v>
      </c>
      <c r="W84" s="45" t="s">
        <v>45</v>
      </c>
      <c r="X84" s="45">
        <v>0</v>
      </c>
      <c r="Z84" s="265"/>
      <c r="AA84" s="265"/>
      <c r="AB84" s="265"/>
      <c r="AD84" s="115">
        <v>79</v>
      </c>
      <c r="AE84" s="45" t="s">
        <v>38</v>
      </c>
      <c r="AF84" s="45">
        <v>-8</v>
      </c>
      <c r="AH84" s="115">
        <v>79</v>
      </c>
      <c r="AI84" s="45" t="s">
        <v>77</v>
      </c>
      <c r="AJ84" s="45">
        <v>4</v>
      </c>
      <c r="AL84" s="115">
        <v>79</v>
      </c>
      <c r="AM84" s="202" t="s">
        <v>38</v>
      </c>
      <c r="AN84" s="45">
        <v>-1</v>
      </c>
      <c r="AP84" s="115">
        <v>79</v>
      </c>
      <c r="AQ84" s="45" t="s">
        <v>39</v>
      </c>
      <c r="AR84" s="45">
        <v>-1</v>
      </c>
      <c r="AU84" s="271"/>
      <c r="AW84" s="272"/>
      <c r="AY84" s="213"/>
      <c r="BA84" s="272"/>
      <c r="BB84" s="181"/>
      <c r="BC84" s="272"/>
      <c r="BD84" s="181"/>
      <c r="BE84" s="272"/>
      <c r="BF84" s="181"/>
      <c r="BG84" s="272"/>
      <c r="BH84" s="115">
        <v>79</v>
      </c>
      <c r="BI84" s="45" t="s">
        <v>1098</v>
      </c>
      <c r="BJ84" s="67">
        <v>1</v>
      </c>
    </row>
    <row r="85" spans="1:71" ht="13.5" thickBot="1">
      <c r="B85" s="116">
        <v>80</v>
      </c>
      <c r="C85" s="45" t="s">
        <v>129</v>
      </c>
      <c r="D85" s="45">
        <v>11</v>
      </c>
      <c r="E85" s="45" t="s">
        <v>80</v>
      </c>
      <c r="F85" s="118">
        <v>80</v>
      </c>
      <c r="G85" s="45" t="s">
        <v>0</v>
      </c>
      <c r="H85" s="45">
        <v>-7</v>
      </c>
      <c r="J85" s="115">
        <v>80</v>
      </c>
      <c r="K85" s="45" t="s">
        <v>159</v>
      </c>
      <c r="L85" s="45">
        <v>-2</v>
      </c>
      <c r="N85" s="115">
        <v>80</v>
      </c>
      <c r="O85" s="45" t="s">
        <v>30</v>
      </c>
      <c r="P85" s="45">
        <v>-4</v>
      </c>
      <c r="R85" s="115">
        <v>80</v>
      </c>
      <c r="S85" s="45" t="s">
        <v>50</v>
      </c>
      <c r="T85" s="45">
        <v>3</v>
      </c>
      <c r="V85" s="115">
        <v>80</v>
      </c>
      <c r="W85" s="105" t="s">
        <v>264</v>
      </c>
      <c r="X85" s="45">
        <v>11</v>
      </c>
      <c r="Z85" s="265"/>
      <c r="AA85" s="265"/>
      <c r="AB85" s="265"/>
      <c r="AD85" s="115">
        <v>80</v>
      </c>
      <c r="AE85" s="45" t="s">
        <v>45</v>
      </c>
      <c r="AF85" s="45">
        <v>-1</v>
      </c>
      <c r="AH85" s="115">
        <v>80</v>
      </c>
      <c r="AI85" s="45" t="s">
        <v>72</v>
      </c>
      <c r="AJ85" s="45">
        <v>2</v>
      </c>
      <c r="AK85" s="156"/>
      <c r="AL85" s="115">
        <v>80</v>
      </c>
      <c r="AM85" s="105" t="s">
        <v>1149</v>
      </c>
      <c r="AN85" s="45">
        <v>2</v>
      </c>
      <c r="AP85" s="115">
        <v>80</v>
      </c>
      <c r="AQ85" s="105" t="s">
        <v>1302</v>
      </c>
      <c r="AR85" s="45">
        <v>5</v>
      </c>
      <c r="AU85" s="271"/>
      <c r="AW85" s="272"/>
      <c r="AY85" s="213"/>
      <c r="BA85" s="272"/>
      <c r="BB85" s="181"/>
      <c r="BC85" s="272"/>
      <c r="BD85" s="181"/>
      <c r="BE85" s="272"/>
      <c r="BF85" s="181"/>
      <c r="BG85" s="272"/>
      <c r="BH85" s="115">
        <v>80</v>
      </c>
      <c r="BI85" s="45" t="s">
        <v>38</v>
      </c>
      <c r="BJ85" s="67">
        <v>-3</v>
      </c>
      <c r="BN85" s="219"/>
      <c r="BO85" s="156"/>
      <c r="BP85" s="156"/>
      <c r="BQ85" s="156"/>
      <c r="BR85" s="156"/>
      <c r="BS85" s="156"/>
    </row>
    <row r="86" spans="1:71" ht="13.5" thickBot="1">
      <c r="B86" s="116">
        <v>81</v>
      </c>
      <c r="C86" s="45" t="s">
        <v>101</v>
      </c>
      <c r="D86" s="45">
        <v>12</v>
      </c>
      <c r="E86" s="45" t="s">
        <v>79</v>
      </c>
      <c r="F86" s="118">
        <v>81</v>
      </c>
      <c r="G86" s="45" t="s">
        <v>38</v>
      </c>
      <c r="H86" s="45">
        <v>-7</v>
      </c>
      <c r="J86" s="115">
        <v>81</v>
      </c>
      <c r="K86" s="45" t="s">
        <v>77</v>
      </c>
      <c r="L86" s="45">
        <v>-7</v>
      </c>
      <c r="N86" s="115">
        <v>81</v>
      </c>
      <c r="O86" s="45" t="s">
        <v>38</v>
      </c>
      <c r="P86" s="45">
        <v>-3</v>
      </c>
      <c r="R86" s="119">
        <v>81</v>
      </c>
      <c r="S86" s="45" t="s">
        <v>203</v>
      </c>
      <c r="T86" s="45">
        <v>-4</v>
      </c>
      <c r="V86" s="119">
        <v>81</v>
      </c>
      <c r="W86" s="108" t="s">
        <v>50</v>
      </c>
      <c r="X86" s="45">
        <v>-1</v>
      </c>
      <c r="Z86" s="265"/>
      <c r="AA86" s="265"/>
      <c r="AB86" s="265"/>
      <c r="AD86" s="115">
        <v>81</v>
      </c>
      <c r="AE86" s="105" t="s">
        <v>1149</v>
      </c>
      <c r="AF86" s="45">
        <v>2</v>
      </c>
      <c r="AH86" s="119">
        <v>81</v>
      </c>
      <c r="AI86" s="45" t="s">
        <v>1311</v>
      </c>
      <c r="AJ86" s="45">
        <v>-3</v>
      </c>
      <c r="AK86" s="156"/>
      <c r="AL86" s="119">
        <v>81</v>
      </c>
      <c r="AM86" s="108" t="s">
        <v>72</v>
      </c>
      <c r="AN86" s="45">
        <v>-1</v>
      </c>
      <c r="AP86" s="119">
        <v>81</v>
      </c>
      <c r="AQ86" s="108" t="s">
        <v>1149</v>
      </c>
      <c r="AR86" s="45">
        <v>-1</v>
      </c>
      <c r="AU86" s="272"/>
      <c r="AW86" s="272"/>
      <c r="AY86" s="213"/>
      <c r="BA86" s="272"/>
      <c r="BB86" s="181"/>
      <c r="BC86" s="272"/>
      <c r="BD86" s="181"/>
      <c r="BE86" s="272"/>
      <c r="BF86" s="181"/>
      <c r="BG86" s="272"/>
      <c r="BH86" s="115">
        <v>81</v>
      </c>
      <c r="BI86" s="45" t="s">
        <v>72</v>
      </c>
      <c r="BJ86" s="67">
        <v>1</v>
      </c>
      <c r="BN86" s="219"/>
      <c r="BO86" s="156"/>
      <c r="BP86" s="156"/>
      <c r="BQ86" s="156"/>
      <c r="BR86" s="156"/>
      <c r="BS86" s="156"/>
    </row>
    <row r="87" spans="1:71" ht="13.5" thickBot="1">
      <c r="B87" s="116">
        <v>82</v>
      </c>
      <c r="C87" s="45" t="s">
        <v>45</v>
      </c>
      <c r="D87" s="45">
        <v>13</v>
      </c>
      <c r="E87" s="117" t="s">
        <v>79</v>
      </c>
      <c r="F87" s="118">
        <v>82</v>
      </c>
      <c r="G87" s="45" t="s">
        <v>129</v>
      </c>
      <c r="H87" s="45">
        <v>-2</v>
      </c>
      <c r="J87" s="115">
        <v>82</v>
      </c>
      <c r="K87" s="45" t="s">
        <v>129</v>
      </c>
      <c r="L87" s="45">
        <v>0</v>
      </c>
      <c r="N87" s="115">
        <v>82</v>
      </c>
      <c r="O87" s="45" t="s">
        <v>45</v>
      </c>
      <c r="P87" s="45">
        <v>-8</v>
      </c>
      <c r="R87" s="119">
        <v>82</v>
      </c>
      <c r="S87" s="45" t="s">
        <v>129</v>
      </c>
      <c r="T87" s="45">
        <v>-4</v>
      </c>
      <c r="V87" s="119">
        <v>82</v>
      </c>
      <c r="W87" s="45" t="s">
        <v>77</v>
      </c>
      <c r="X87" s="45">
        <v>3</v>
      </c>
      <c r="Z87" s="265"/>
      <c r="AA87" s="265"/>
      <c r="AB87" s="265"/>
      <c r="AD87" s="119">
        <v>82</v>
      </c>
      <c r="AE87" s="45" t="s">
        <v>72</v>
      </c>
      <c r="AF87" s="45">
        <v>7</v>
      </c>
      <c r="AH87" s="119">
        <v>82</v>
      </c>
      <c r="AI87" s="45" t="s">
        <v>1312</v>
      </c>
      <c r="AJ87" s="45">
        <v>-1</v>
      </c>
      <c r="AK87" s="156"/>
      <c r="AL87" s="119">
        <v>82</v>
      </c>
      <c r="AM87" s="45" t="s">
        <v>1099</v>
      </c>
      <c r="AN87" s="45">
        <v>2</v>
      </c>
      <c r="AP87" s="119">
        <v>82</v>
      </c>
      <c r="AQ87" s="45" t="s">
        <v>72</v>
      </c>
      <c r="AR87" s="45">
        <v>-1</v>
      </c>
      <c r="AU87" s="272"/>
      <c r="AW87" s="272"/>
      <c r="AY87" s="213"/>
      <c r="BA87" s="272"/>
      <c r="BB87" s="181"/>
      <c r="BC87" s="272"/>
      <c r="BD87" s="181"/>
      <c r="BE87" s="272"/>
      <c r="BF87" s="181"/>
      <c r="BG87" s="272"/>
      <c r="BH87" s="115">
        <v>82</v>
      </c>
      <c r="BI87" s="45" t="s">
        <v>45</v>
      </c>
      <c r="BJ87" s="67">
        <v>6</v>
      </c>
      <c r="BN87" s="219"/>
      <c r="BO87" s="156"/>
      <c r="BP87" s="156"/>
      <c r="BQ87" s="156"/>
      <c r="BR87" s="156"/>
      <c r="BS87" s="156"/>
    </row>
    <row r="88" spans="1:71" ht="13.5" thickBot="1">
      <c r="B88" s="116">
        <v>83</v>
      </c>
      <c r="C88" s="45" t="s">
        <v>55</v>
      </c>
      <c r="D88" s="45">
        <v>14</v>
      </c>
      <c r="E88" s="45" t="s">
        <v>80</v>
      </c>
      <c r="F88" s="118">
        <v>83</v>
      </c>
      <c r="G88" s="45" t="s">
        <v>55</v>
      </c>
      <c r="H88" s="45">
        <v>0</v>
      </c>
      <c r="J88" s="115">
        <v>83</v>
      </c>
      <c r="K88" s="45" t="s">
        <v>54</v>
      </c>
      <c r="L88" s="45">
        <v>-4</v>
      </c>
      <c r="N88" s="115">
        <v>83</v>
      </c>
      <c r="O88" s="45" t="s">
        <v>50</v>
      </c>
      <c r="P88" s="45">
        <v>5</v>
      </c>
      <c r="R88" s="119">
        <v>83</v>
      </c>
      <c r="S88" s="45" t="s">
        <v>224</v>
      </c>
      <c r="T88" s="45">
        <v>7</v>
      </c>
      <c r="V88" s="119">
        <v>83</v>
      </c>
      <c r="W88" s="45" t="s">
        <v>203</v>
      </c>
      <c r="X88" s="45">
        <v>-2</v>
      </c>
      <c r="Z88" s="265"/>
      <c r="AA88" s="265"/>
      <c r="AB88" s="265"/>
      <c r="AD88" s="119">
        <v>83</v>
      </c>
      <c r="AE88" s="45" t="s">
        <v>77</v>
      </c>
      <c r="AF88" s="45">
        <v>-1</v>
      </c>
      <c r="AH88" s="119">
        <v>83</v>
      </c>
      <c r="AI88" s="45" t="s">
        <v>50</v>
      </c>
      <c r="AJ88" s="45">
        <v>1</v>
      </c>
      <c r="AK88" s="156"/>
      <c r="AL88" s="119">
        <v>83</v>
      </c>
      <c r="AM88" s="45" t="s">
        <v>225</v>
      </c>
      <c r="AN88" s="45">
        <v>2</v>
      </c>
      <c r="AP88" s="119">
        <v>83</v>
      </c>
      <c r="AQ88" s="45" t="s">
        <v>129</v>
      </c>
      <c r="AR88" s="45">
        <v>1</v>
      </c>
      <c r="AU88" s="272"/>
      <c r="AW88" s="272"/>
      <c r="AY88" s="213"/>
      <c r="BA88" s="272"/>
      <c r="BB88" s="181"/>
      <c r="BC88" s="272"/>
      <c r="BD88" s="181"/>
      <c r="BE88" s="272"/>
      <c r="BF88" s="181"/>
      <c r="BG88" s="272"/>
      <c r="BH88" s="115">
        <v>83</v>
      </c>
      <c r="BI88" s="45" t="s">
        <v>225</v>
      </c>
      <c r="BJ88" s="67">
        <v>4</v>
      </c>
      <c r="BN88" s="219"/>
      <c r="BO88" s="156"/>
      <c r="BP88" s="156"/>
      <c r="BQ88" s="156"/>
      <c r="BR88" s="156"/>
      <c r="BS88" s="156"/>
    </row>
    <row r="89" spans="1:71" ht="13.5" thickBot="1">
      <c r="B89" s="116">
        <v>84</v>
      </c>
      <c r="C89" s="45" t="s">
        <v>54</v>
      </c>
      <c r="D89" s="45">
        <v>15</v>
      </c>
      <c r="E89" s="117" t="s">
        <v>80</v>
      </c>
      <c r="F89" s="118">
        <v>84</v>
      </c>
      <c r="G89" s="45" t="s">
        <v>57</v>
      </c>
      <c r="H89" s="45">
        <v>-15</v>
      </c>
      <c r="J89" s="115">
        <v>84</v>
      </c>
      <c r="K89" s="45" t="s">
        <v>48</v>
      </c>
      <c r="L89" s="45">
        <v>1</v>
      </c>
      <c r="N89" s="115">
        <v>84</v>
      </c>
      <c r="O89" s="45" t="s">
        <v>48</v>
      </c>
      <c r="P89" s="45">
        <v>0</v>
      </c>
      <c r="R89" s="119">
        <v>84</v>
      </c>
      <c r="S89" s="45" t="s">
        <v>225</v>
      </c>
      <c r="T89" s="45">
        <v>1</v>
      </c>
      <c r="V89" s="119">
        <v>84</v>
      </c>
      <c r="W89" s="45" t="s">
        <v>224</v>
      </c>
      <c r="X89" s="45">
        <v>-1</v>
      </c>
      <c r="Z89" s="265"/>
      <c r="AA89" s="265"/>
      <c r="AB89" s="265"/>
      <c r="AD89" s="119">
        <v>84</v>
      </c>
      <c r="AE89" s="45" t="s">
        <v>50</v>
      </c>
      <c r="AF89" s="45">
        <v>-3</v>
      </c>
      <c r="AH89" s="119">
        <v>84</v>
      </c>
      <c r="AI89" s="45" t="s">
        <v>1099</v>
      </c>
      <c r="AJ89" s="45">
        <v>4</v>
      </c>
      <c r="AK89" s="156"/>
      <c r="AL89" s="119">
        <v>84</v>
      </c>
      <c r="AM89" s="45" t="s">
        <v>129</v>
      </c>
      <c r="AN89" s="45">
        <v>2</v>
      </c>
      <c r="AP89" s="119">
        <v>84</v>
      </c>
      <c r="AQ89" s="45" t="s">
        <v>48</v>
      </c>
      <c r="AR89" s="45">
        <v>5</v>
      </c>
      <c r="AU89" s="272"/>
      <c r="AW89" s="272"/>
      <c r="AY89" s="213"/>
      <c r="BA89" s="272"/>
      <c r="BB89" s="181"/>
      <c r="BC89" s="272"/>
      <c r="BD89" s="181"/>
      <c r="BE89" s="272"/>
      <c r="BF89" s="181"/>
      <c r="BG89" s="272"/>
      <c r="BH89" s="115">
        <v>84</v>
      </c>
      <c r="BI89" s="45" t="s">
        <v>48</v>
      </c>
      <c r="BJ89" s="67">
        <v>0</v>
      </c>
      <c r="BN89" s="219"/>
      <c r="BO89" s="156"/>
      <c r="BP89" s="156"/>
      <c r="BQ89" s="156"/>
      <c r="BR89" s="156"/>
      <c r="BS89" s="156"/>
    </row>
    <row r="90" spans="1:71" ht="13.5" thickBot="1">
      <c r="B90" s="116">
        <v>85</v>
      </c>
      <c r="C90" s="45" t="s">
        <v>50</v>
      </c>
      <c r="D90" s="45">
        <v>16</v>
      </c>
      <c r="E90" s="117" t="s">
        <v>79</v>
      </c>
      <c r="F90" s="118">
        <v>85</v>
      </c>
      <c r="G90" s="45" t="s">
        <v>48</v>
      </c>
      <c r="H90" s="45">
        <v>-8</v>
      </c>
      <c r="J90" s="115">
        <v>85</v>
      </c>
      <c r="K90" s="45" t="s">
        <v>72</v>
      </c>
      <c r="L90" s="45">
        <v>-10</v>
      </c>
      <c r="N90" s="115">
        <v>85</v>
      </c>
      <c r="O90" s="45" t="s">
        <v>54</v>
      </c>
      <c r="P90" s="45">
        <v>-2</v>
      </c>
      <c r="R90" s="119">
        <v>85</v>
      </c>
      <c r="S90" s="45" t="s">
        <v>77</v>
      </c>
      <c r="T90" s="45">
        <v>-6</v>
      </c>
      <c r="V90" s="119">
        <v>85</v>
      </c>
      <c r="W90" s="45" t="s">
        <v>48</v>
      </c>
      <c r="X90" s="45">
        <v>3</v>
      </c>
      <c r="Z90" s="265"/>
      <c r="AA90" s="265"/>
      <c r="AB90" s="265"/>
      <c r="AD90" s="119">
        <v>85</v>
      </c>
      <c r="AE90" s="45" t="s">
        <v>48</v>
      </c>
      <c r="AF90" s="45">
        <v>0</v>
      </c>
      <c r="AH90" s="119">
        <v>85</v>
      </c>
      <c r="AI90" s="45" t="s">
        <v>225</v>
      </c>
      <c r="AJ90" s="45">
        <v>2</v>
      </c>
      <c r="AK90" s="156"/>
      <c r="AL90" s="119">
        <v>85</v>
      </c>
      <c r="AM90" s="45" t="s">
        <v>1400</v>
      </c>
      <c r="AN90" s="45">
        <v>3</v>
      </c>
      <c r="AP90" s="119">
        <v>85</v>
      </c>
      <c r="AQ90" s="45" t="s">
        <v>1396</v>
      </c>
      <c r="AR90" s="45">
        <v>2</v>
      </c>
      <c r="AU90" s="272"/>
      <c r="AW90" s="272"/>
      <c r="AY90" s="213"/>
      <c r="BA90" s="272"/>
      <c r="BB90" s="181"/>
      <c r="BC90" s="272"/>
      <c r="BD90" s="181"/>
      <c r="BE90" s="272"/>
      <c r="BF90" s="181"/>
      <c r="BG90" s="272"/>
      <c r="BH90" s="115">
        <v>85</v>
      </c>
      <c r="BI90" s="45" t="s">
        <v>57</v>
      </c>
      <c r="BJ90" s="67">
        <v>5</v>
      </c>
      <c r="BN90" s="219"/>
      <c r="BO90" s="156"/>
      <c r="BP90" s="156"/>
      <c r="BQ90" s="156"/>
      <c r="BR90" s="156"/>
      <c r="BS90" s="156"/>
    </row>
    <row r="91" spans="1:71" ht="13.5" thickBot="1">
      <c r="B91" s="116">
        <v>86</v>
      </c>
      <c r="C91" s="45" t="s">
        <v>98</v>
      </c>
      <c r="D91" s="45">
        <v>17</v>
      </c>
      <c r="E91" s="111" t="s">
        <v>79</v>
      </c>
      <c r="F91" s="118">
        <v>86</v>
      </c>
      <c r="G91" s="45" t="s">
        <v>78</v>
      </c>
      <c r="H91" s="45">
        <v>1</v>
      </c>
      <c r="J91" s="115">
        <v>86</v>
      </c>
      <c r="K91" s="45" t="s">
        <v>98</v>
      </c>
      <c r="L91" s="45">
        <v>-10</v>
      </c>
      <c r="N91" s="115">
        <v>86</v>
      </c>
      <c r="O91" s="45" t="s">
        <v>210</v>
      </c>
      <c r="P91" s="45">
        <v>3</v>
      </c>
      <c r="R91" s="119">
        <v>86</v>
      </c>
      <c r="S91" s="45" t="s">
        <v>57</v>
      </c>
      <c r="T91" s="45">
        <v>-10</v>
      </c>
      <c r="V91" s="119">
        <v>86</v>
      </c>
      <c r="W91" s="45" t="s">
        <v>266</v>
      </c>
      <c r="X91" s="45">
        <v>1</v>
      </c>
      <c r="Z91" s="265"/>
      <c r="AA91" s="265"/>
      <c r="AB91" s="265"/>
      <c r="AD91" s="119">
        <v>86</v>
      </c>
      <c r="AE91" s="45" t="s">
        <v>129</v>
      </c>
      <c r="AF91" s="45">
        <v>1</v>
      </c>
      <c r="AH91" s="119">
        <v>86</v>
      </c>
      <c r="AI91" s="45" t="s">
        <v>129</v>
      </c>
      <c r="AJ91" s="45">
        <v>0</v>
      </c>
      <c r="AK91" s="156"/>
      <c r="AL91" s="119">
        <v>86</v>
      </c>
      <c r="AM91" s="45" t="s">
        <v>45</v>
      </c>
      <c r="AN91" s="45">
        <v>5</v>
      </c>
      <c r="AP91" s="119">
        <v>86</v>
      </c>
      <c r="AQ91" s="45" t="s">
        <v>1099</v>
      </c>
      <c r="AR91" s="45">
        <v>-4</v>
      </c>
      <c r="AU91" s="272"/>
      <c r="AW91" s="272"/>
      <c r="AY91" s="213"/>
      <c r="BA91" s="272"/>
      <c r="BB91" s="181"/>
      <c r="BC91" s="272"/>
      <c r="BD91" s="181"/>
      <c r="BE91" s="272"/>
      <c r="BF91" s="181"/>
      <c r="BG91" s="272"/>
      <c r="BH91" s="115">
        <v>86</v>
      </c>
      <c r="BI91" s="45" t="s">
        <v>1099</v>
      </c>
      <c r="BJ91" s="67">
        <v>0</v>
      </c>
      <c r="BN91" s="219"/>
      <c r="BO91" s="156"/>
      <c r="BP91" s="156"/>
      <c r="BQ91" s="156"/>
      <c r="BR91" s="156"/>
      <c r="BS91" s="156"/>
    </row>
    <row r="92" spans="1:71" ht="13.5" thickBot="1">
      <c r="B92" s="116">
        <v>87</v>
      </c>
      <c r="C92" s="45" t="s">
        <v>78</v>
      </c>
      <c r="D92" s="45">
        <v>18</v>
      </c>
      <c r="E92" s="45" t="s">
        <v>80</v>
      </c>
      <c r="F92" s="118">
        <v>87</v>
      </c>
      <c r="G92" s="45" t="s">
        <v>50</v>
      </c>
      <c r="H92" s="45">
        <v>-2</v>
      </c>
      <c r="J92" s="115">
        <v>87</v>
      </c>
      <c r="K92" s="45" t="s">
        <v>186</v>
      </c>
      <c r="L92" s="45">
        <v>-1</v>
      </c>
      <c r="N92" s="115">
        <v>87</v>
      </c>
      <c r="O92" s="45" t="s">
        <v>72</v>
      </c>
      <c r="P92" s="45">
        <v>-2</v>
      </c>
      <c r="R92" s="119">
        <v>87</v>
      </c>
      <c r="S92" s="45" t="s">
        <v>210</v>
      </c>
      <c r="T92" s="45">
        <v>-1</v>
      </c>
      <c r="V92" s="119">
        <v>87</v>
      </c>
      <c r="W92" s="45" t="s">
        <v>129</v>
      </c>
      <c r="X92" s="45">
        <v>-5</v>
      </c>
      <c r="Z92" s="265"/>
      <c r="AA92" s="265"/>
      <c r="AB92" s="265"/>
      <c r="AD92" s="119">
        <v>87</v>
      </c>
      <c r="AE92" s="45" t="s">
        <v>225</v>
      </c>
      <c r="AF92" s="45">
        <v>1</v>
      </c>
      <c r="AH92" s="119">
        <v>87</v>
      </c>
      <c r="AI92" s="45" t="s">
        <v>48</v>
      </c>
      <c r="AJ92" s="45">
        <v>-2</v>
      </c>
      <c r="AK92" s="156"/>
      <c r="AL92" s="119">
        <v>87</v>
      </c>
      <c r="AM92" s="45" t="s">
        <v>1396</v>
      </c>
      <c r="AN92" s="45">
        <v>-6</v>
      </c>
      <c r="AP92" s="119">
        <v>87</v>
      </c>
      <c r="AQ92" s="45" t="s">
        <v>225</v>
      </c>
      <c r="AR92" s="45">
        <v>-4</v>
      </c>
      <c r="AU92" s="272"/>
      <c r="AW92" s="272"/>
      <c r="AY92" s="213"/>
      <c r="BA92" s="272"/>
      <c r="BB92" s="181"/>
      <c r="BC92" s="272"/>
      <c r="BD92" s="181"/>
      <c r="BE92" s="272"/>
      <c r="BF92" s="181"/>
      <c r="BG92" s="272"/>
      <c r="BH92" s="115">
        <v>87</v>
      </c>
      <c r="BI92" s="45" t="s">
        <v>1396</v>
      </c>
      <c r="BJ92" s="67">
        <v>-2</v>
      </c>
      <c r="BN92" s="219"/>
      <c r="BO92" s="156"/>
      <c r="BP92" s="156"/>
      <c r="BQ92" s="156"/>
      <c r="BR92" s="156"/>
      <c r="BS92" s="156"/>
    </row>
    <row r="93" spans="1:71">
      <c r="F93" s="118">
        <v>88</v>
      </c>
      <c r="G93" s="45" t="s">
        <v>158</v>
      </c>
      <c r="H93" s="45">
        <v>0</v>
      </c>
      <c r="J93" s="115">
        <v>88</v>
      </c>
      <c r="K93" s="45" t="s">
        <v>50</v>
      </c>
      <c r="L93" s="45">
        <v>-1</v>
      </c>
      <c r="N93" s="115">
        <v>88</v>
      </c>
      <c r="O93" s="45" t="s">
        <v>209</v>
      </c>
      <c r="P93" s="45">
        <v>-1</v>
      </c>
      <c r="R93" s="119">
        <v>88</v>
      </c>
      <c r="S93" s="45" t="s">
        <v>48</v>
      </c>
      <c r="T93" s="45">
        <v>-4</v>
      </c>
      <c r="V93" s="119">
        <v>88</v>
      </c>
      <c r="W93" s="45" t="s">
        <v>267</v>
      </c>
      <c r="X93" s="45">
        <v>-4</v>
      </c>
      <c r="Z93" s="265"/>
      <c r="AA93" s="265"/>
      <c r="AB93" s="265"/>
      <c r="AD93" s="119">
        <v>88</v>
      </c>
      <c r="AE93" s="45" t="s">
        <v>1099</v>
      </c>
      <c r="AF93" s="45">
        <v>-4</v>
      </c>
      <c r="AH93" s="119">
        <v>88</v>
      </c>
      <c r="AI93" s="45" t="s">
        <v>1302</v>
      </c>
      <c r="AJ93" s="45">
        <v>1</v>
      </c>
      <c r="AL93" s="119">
        <v>88</v>
      </c>
      <c r="AM93" s="45" t="s">
        <v>50</v>
      </c>
      <c r="AN93" s="45">
        <v>-5</v>
      </c>
      <c r="AP93" s="119">
        <v>88</v>
      </c>
      <c r="AQ93" s="45" t="s">
        <v>45</v>
      </c>
      <c r="AR93" s="45">
        <v>-2</v>
      </c>
      <c r="AU93" s="272"/>
      <c r="AW93" s="272"/>
      <c r="AY93" s="213"/>
      <c r="BA93" s="272"/>
      <c r="BB93" s="181"/>
      <c r="BC93" s="272"/>
      <c r="BD93" s="181"/>
      <c r="BE93" s="272"/>
      <c r="BF93" s="181"/>
      <c r="BG93" s="272"/>
      <c r="BH93" s="115">
        <v>88</v>
      </c>
      <c r="BI93" s="45" t="s">
        <v>1149</v>
      </c>
      <c r="BJ93" s="67">
        <v>-7</v>
      </c>
    </row>
    <row r="94" spans="1:71">
      <c r="L94" s="45">
        <f>SUM(L6:L93)</f>
        <v>0</v>
      </c>
      <c r="N94" s="115">
        <v>89</v>
      </c>
      <c r="O94" s="45" t="s">
        <v>98</v>
      </c>
      <c r="P94" s="45">
        <v>-3</v>
      </c>
      <c r="R94" s="119">
        <v>89</v>
      </c>
      <c r="S94" s="45" t="s">
        <v>72</v>
      </c>
      <c r="T94" s="45">
        <v>-2</v>
      </c>
      <c r="V94" s="119">
        <v>89</v>
      </c>
      <c r="W94" s="45" t="s">
        <v>72</v>
      </c>
      <c r="X94" s="45">
        <v>0</v>
      </c>
      <c r="Z94" s="265"/>
      <c r="AA94" s="265"/>
      <c r="AB94" s="265"/>
      <c r="AD94" s="119">
        <v>89</v>
      </c>
      <c r="AE94" s="45" t="s">
        <v>1098</v>
      </c>
      <c r="AF94" s="45">
        <v>-3</v>
      </c>
      <c r="AH94" s="119">
        <v>89</v>
      </c>
      <c r="AI94" s="45" t="s">
        <v>209</v>
      </c>
      <c r="AJ94" s="45">
        <v>1</v>
      </c>
      <c r="AL94" s="119">
        <v>89</v>
      </c>
      <c r="AM94" s="45" t="s">
        <v>48</v>
      </c>
      <c r="AN94" s="45">
        <v>-2</v>
      </c>
      <c r="AP94" s="119">
        <v>89</v>
      </c>
      <c r="AQ94" s="45" t="s">
        <v>50</v>
      </c>
      <c r="AR94" s="45">
        <v>-1</v>
      </c>
      <c r="AU94" s="272"/>
      <c r="AW94" s="272"/>
      <c r="AY94" s="213"/>
      <c r="BA94" s="272"/>
      <c r="BB94" s="181"/>
      <c r="BC94" s="272"/>
      <c r="BD94" s="181"/>
      <c r="BE94" s="272"/>
      <c r="BF94" s="181"/>
      <c r="BG94" s="272"/>
      <c r="BH94" s="115">
        <v>89</v>
      </c>
      <c r="BI94" s="45" t="s">
        <v>50</v>
      </c>
      <c r="BJ94" s="67">
        <v>0</v>
      </c>
    </row>
    <row r="95" spans="1:71">
      <c r="B95" s="45" t="s">
        <v>99</v>
      </c>
      <c r="D95" s="45">
        <v>87</v>
      </c>
      <c r="F95" s="45" t="s">
        <v>99</v>
      </c>
      <c r="H95" s="45">
        <f>SUM(H6:H94)</f>
        <v>0</v>
      </c>
      <c r="J95" s="45" t="s">
        <v>99</v>
      </c>
      <c r="L95" s="45">
        <v>88</v>
      </c>
      <c r="P95" s="45">
        <f>SUM(P6:P94)</f>
        <v>0</v>
      </c>
      <c r="R95" s="119">
        <v>90</v>
      </c>
      <c r="S95" s="45" t="s">
        <v>209</v>
      </c>
      <c r="T95" s="45">
        <v>-2</v>
      </c>
      <c r="V95" s="119">
        <v>90</v>
      </c>
      <c r="W95" s="45" t="s">
        <v>57</v>
      </c>
      <c r="X95" s="45">
        <v>-4</v>
      </c>
      <c r="Z95" s="265"/>
      <c r="AA95" s="265"/>
      <c r="AB95" s="265"/>
      <c r="AD95" s="119">
        <v>90</v>
      </c>
      <c r="AE95" s="45" t="s">
        <v>209</v>
      </c>
      <c r="AF95" s="45">
        <v>1</v>
      </c>
      <c r="AH95" s="119">
        <v>90</v>
      </c>
      <c r="AI95" s="45" t="s">
        <v>57</v>
      </c>
      <c r="AJ95" s="45">
        <v>1</v>
      </c>
      <c r="AL95" s="119">
        <v>90</v>
      </c>
      <c r="AM95" s="45" t="s">
        <v>57</v>
      </c>
      <c r="AN95" s="45">
        <v>0</v>
      </c>
      <c r="AP95" s="119">
        <v>90</v>
      </c>
      <c r="AQ95" s="45" t="s">
        <v>57</v>
      </c>
      <c r="AR95" s="45">
        <v>0</v>
      </c>
      <c r="AU95" s="272"/>
      <c r="AW95" s="272"/>
      <c r="AY95" s="213"/>
      <c r="BA95" s="272"/>
      <c r="BB95" s="181"/>
      <c r="BC95" s="272"/>
      <c r="BD95" s="181"/>
      <c r="BE95" s="272"/>
      <c r="BF95" s="181"/>
      <c r="BG95" s="272"/>
      <c r="BH95" s="115">
        <v>90</v>
      </c>
      <c r="BI95" s="45" t="s">
        <v>209</v>
      </c>
      <c r="BJ95" s="67">
        <v>1</v>
      </c>
    </row>
    <row r="96" spans="1:71" ht="13.5" thickBot="1">
      <c r="B96" s="45" t="s">
        <v>100</v>
      </c>
      <c r="D96" s="45">
        <f>87-D95</f>
        <v>0</v>
      </c>
      <c r="F96" s="45" t="s">
        <v>100</v>
      </c>
      <c r="J96" s="45" t="s">
        <v>100</v>
      </c>
      <c r="L96" s="45">
        <f>88-L95</f>
        <v>0</v>
      </c>
      <c r="N96" s="45" t="s">
        <v>99</v>
      </c>
      <c r="P96" s="45">
        <v>89</v>
      </c>
      <c r="T96" s="45">
        <f>SUM(T6:T95)</f>
        <v>0</v>
      </c>
      <c r="V96" s="119">
        <v>91</v>
      </c>
      <c r="W96" s="45" t="s">
        <v>209</v>
      </c>
      <c r="X96" s="45">
        <v>-1</v>
      </c>
      <c r="Z96" s="265"/>
      <c r="AA96" s="265"/>
      <c r="AB96" s="265"/>
      <c r="AD96" s="119">
        <v>91</v>
      </c>
      <c r="AE96" s="45" t="s">
        <v>57</v>
      </c>
      <c r="AF96" s="45">
        <v>-1</v>
      </c>
      <c r="AI96" s="45" t="s">
        <v>45</v>
      </c>
      <c r="AJ96" s="45">
        <v>-11</v>
      </c>
      <c r="AL96" s="119">
        <v>91</v>
      </c>
      <c r="AM96" s="45" t="s">
        <v>209</v>
      </c>
      <c r="AN96" s="45">
        <v>-2</v>
      </c>
      <c r="AP96" s="119">
        <v>91</v>
      </c>
      <c r="AQ96" s="45" t="s">
        <v>209</v>
      </c>
      <c r="AR96" s="45">
        <v>0</v>
      </c>
      <c r="AU96" s="272"/>
      <c r="AW96" s="272"/>
      <c r="AY96" s="214"/>
      <c r="BA96" s="272"/>
      <c r="BB96" s="181"/>
      <c r="BC96" s="272"/>
      <c r="BD96" s="181"/>
      <c r="BE96" s="272"/>
      <c r="BF96" s="181"/>
      <c r="BG96" s="272"/>
      <c r="BH96" s="115">
        <v>91</v>
      </c>
      <c r="BI96" s="45" t="s">
        <v>129</v>
      </c>
      <c r="BJ96" s="67">
        <v>-8</v>
      </c>
    </row>
    <row r="97" spans="14:62">
      <c r="N97" s="45" t="s">
        <v>100</v>
      </c>
      <c r="P97" s="45">
        <f>89-P96</f>
        <v>0</v>
      </c>
      <c r="R97" s="45" t="s">
        <v>99</v>
      </c>
      <c r="T97" s="45">
        <v>90</v>
      </c>
      <c r="X97" s="45">
        <f>SUM(X6:X96)</f>
        <v>0</v>
      </c>
      <c r="Z97" s="265"/>
      <c r="AA97" s="265"/>
      <c r="AB97" s="265"/>
      <c r="AF97" s="45">
        <f>SUM(AF6:AF96)</f>
        <v>0</v>
      </c>
      <c r="AJ97" s="45">
        <f>SUM(AJ6:AJ96)</f>
        <v>0</v>
      </c>
      <c r="AN97" s="45">
        <f>SUM(AN6:AN96)</f>
        <v>0</v>
      </c>
      <c r="AR97" s="45">
        <f>SUM(AR6:AR96)</f>
        <v>0</v>
      </c>
      <c r="BJ97" s="45">
        <f>SUM(BJ6:BJ96)</f>
        <v>0</v>
      </c>
    </row>
    <row r="98" spans="14:62">
      <c r="R98" s="45" t="s">
        <v>100</v>
      </c>
      <c r="T98" s="45">
        <f>90-T97</f>
        <v>0</v>
      </c>
      <c r="V98" s="45" t="s">
        <v>99</v>
      </c>
      <c r="X98" s="45">
        <v>91</v>
      </c>
      <c r="Z98" s="265"/>
      <c r="AA98" s="265"/>
      <c r="AB98" s="265"/>
      <c r="AD98" s="45" t="s">
        <v>99</v>
      </c>
      <c r="AF98" s="45">
        <v>91</v>
      </c>
      <c r="AH98" s="45" t="s">
        <v>99</v>
      </c>
      <c r="AJ98" s="45">
        <v>90</v>
      </c>
      <c r="AL98" s="45" t="s">
        <v>99</v>
      </c>
      <c r="AN98" s="45">
        <v>91</v>
      </c>
      <c r="AP98" s="45" t="s">
        <v>99</v>
      </c>
      <c r="AR98" s="45">
        <v>91</v>
      </c>
      <c r="BH98" s="45" t="s">
        <v>99</v>
      </c>
      <c r="BJ98" s="45">
        <v>91</v>
      </c>
    </row>
    <row r="99" spans="14:62">
      <c r="V99" s="45" t="s">
        <v>100</v>
      </c>
      <c r="X99" s="45">
        <f>91-X98</f>
        <v>0</v>
      </c>
      <c r="Z99" s="265"/>
      <c r="AA99" s="265"/>
      <c r="AB99" s="265"/>
      <c r="AD99" s="45" t="s">
        <v>100</v>
      </c>
      <c r="AF99" s="45">
        <f>91-AF98</f>
        <v>0</v>
      </c>
      <c r="AH99" s="45" t="s">
        <v>100</v>
      </c>
      <c r="AJ99" s="45">
        <f>90-AJ98</f>
        <v>0</v>
      </c>
      <c r="AL99" s="45" t="s">
        <v>100</v>
      </c>
      <c r="AN99" s="45">
        <f>91-AN98</f>
        <v>0</v>
      </c>
      <c r="AP99" s="45" t="s">
        <v>100</v>
      </c>
      <c r="AR99" s="45">
        <f>91-AR98</f>
        <v>0</v>
      </c>
      <c r="BH99" s="45" t="s">
        <v>100</v>
      </c>
      <c r="BJ99" s="45">
        <f>91-BJ98</f>
        <v>0</v>
      </c>
    </row>
    <row r="101" spans="14:62">
      <c r="AH101" s="45" t="s">
        <v>1292</v>
      </c>
    </row>
  </sheetData>
  <sortState xmlns:xlrd2="http://schemas.microsoft.com/office/spreadsheetml/2017/richdata2" ref="BP11:BQ22">
    <sortCondition descending="1" ref="BQ11:BQ22"/>
  </sortState>
  <mergeCells count="63">
    <mergeCell ref="AU6:AU17"/>
    <mergeCell ref="AU18:AU31"/>
    <mergeCell ref="AU32:AU45"/>
    <mergeCell ref="BE18:BE29"/>
    <mergeCell ref="AU74:AU85"/>
    <mergeCell ref="BA18:BA29"/>
    <mergeCell ref="BA30:BA43"/>
    <mergeCell ref="AU86:AU96"/>
    <mergeCell ref="BG54:BG65"/>
    <mergeCell ref="BG66:BG77"/>
    <mergeCell ref="BG78:BG96"/>
    <mergeCell ref="AU46:AU59"/>
    <mergeCell ref="AU60:AU73"/>
    <mergeCell ref="BE68:BE79"/>
    <mergeCell ref="BE80:BE96"/>
    <mergeCell ref="BA72:BA83"/>
    <mergeCell ref="BC70:BC81"/>
    <mergeCell ref="BC82:BC96"/>
    <mergeCell ref="BA84:BA96"/>
    <mergeCell ref="BA44:BA57"/>
    <mergeCell ref="BA58:BA71"/>
    <mergeCell ref="BG6:BG17"/>
    <mergeCell ref="BG18:BG29"/>
    <mergeCell ref="BG30:BG41"/>
    <mergeCell ref="BG42:BG53"/>
    <mergeCell ref="BC42:BC55"/>
    <mergeCell ref="BC18:BC29"/>
    <mergeCell ref="BC30:BC41"/>
    <mergeCell ref="BE54:BE67"/>
    <mergeCell ref="BE42:BE53"/>
    <mergeCell ref="BE30:BE41"/>
    <mergeCell ref="BE6:BE17"/>
    <mergeCell ref="BC6:BC17"/>
    <mergeCell ref="BC56:BC69"/>
    <mergeCell ref="BO8:BR8"/>
    <mergeCell ref="AH2:AJ3"/>
    <mergeCell ref="AD2:AF3"/>
    <mergeCell ref="Z2:AB3"/>
    <mergeCell ref="Z6:AB99"/>
    <mergeCell ref="AL2:AN3"/>
    <mergeCell ref="AW6:AW17"/>
    <mergeCell ref="AW18:AW29"/>
    <mergeCell ref="AW30:AW41"/>
    <mergeCell ref="AW42:AW53"/>
    <mergeCell ref="AW54:AW65"/>
    <mergeCell ref="AW66:AW77"/>
    <mergeCell ref="AW78:AW96"/>
    <mergeCell ref="BA2:BA3"/>
    <mergeCell ref="AW2:AW3"/>
    <mergeCell ref="BA6:BA17"/>
    <mergeCell ref="BH2:BJ3"/>
    <mergeCell ref="V2:X3"/>
    <mergeCell ref="B2:D3"/>
    <mergeCell ref="F2:H3"/>
    <mergeCell ref="J2:L3"/>
    <mergeCell ref="N2:P3"/>
    <mergeCell ref="R2:T3"/>
    <mergeCell ref="AY2:AY3"/>
    <mergeCell ref="BE2:BE3"/>
    <mergeCell ref="BC2:BC3"/>
    <mergeCell ref="AP2:AR3"/>
    <mergeCell ref="BG2:BG3"/>
    <mergeCell ref="AU2:AU3"/>
  </mergeCells>
  <pageMargins left="0.7" right="0.7" top="0.75" bottom="0.75" header="0.3" footer="0.3"/>
  <pageSetup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Z84"/>
  <sheetViews>
    <sheetView topLeftCell="A62" workbookViewId="0">
      <selection activeCell="H70" sqref="H70"/>
    </sheetView>
  </sheetViews>
  <sheetFormatPr baseColWidth="10" defaultColWidth="10.85546875" defaultRowHeight="12.75"/>
  <cols>
    <col min="1" max="1" width="5.140625" style="45" customWidth="1"/>
    <col min="2" max="2" width="26" style="45" bestFit="1" customWidth="1"/>
    <col min="3" max="8" width="10.85546875" style="45"/>
    <col min="9" max="9" width="26" style="45" bestFit="1" customWidth="1"/>
    <col min="10" max="10" width="10.85546875" style="45"/>
    <col min="11" max="11" width="0" style="45" hidden="1" customWidth="1"/>
    <col min="12" max="12" width="23.42578125" style="45" hidden="1" customWidth="1"/>
    <col min="13" max="13" width="0" style="45" hidden="1" customWidth="1"/>
    <col min="14" max="14" width="12.5703125" style="45" hidden="1" customWidth="1"/>
    <col min="15" max="22" width="0" style="45" hidden="1" customWidth="1"/>
    <col min="23" max="23" width="14" style="45" hidden="1" customWidth="1"/>
    <col min="24" max="26" width="0" style="45" hidden="1" customWidth="1"/>
    <col min="27" max="16384" width="10.85546875" style="45"/>
  </cols>
  <sheetData>
    <row r="2" spans="2:26">
      <c r="B2" s="44" t="s">
        <v>25</v>
      </c>
      <c r="P2" s="45" t="s">
        <v>171</v>
      </c>
      <c r="S2" s="45" t="s">
        <v>172</v>
      </c>
      <c r="W2" s="45" t="s">
        <v>178</v>
      </c>
      <c r="X2" s="45">
        <v>7</v>
      </c>
      <c r="Y2" s="45">
        <v>12</v>
      </c>
      <c r="Z2" s="45">
        <v>1</v>
      </c>
    </row>
    <row r="3" spans="2:26" ht="13.5" thickBot="1">
      <c r="X3" s="45">
        <v>20</v>
      </c>
      <c r="Y3" s="45">
        <v>14</v>
      </c>
      <c r="Z3" s="45">
        <v>2</v>
      </c>
    </row>
    <row r="4" spans="2:26" ht="13.5" thickBot="1">
      <c r="B4" s="46"/>
      <c r="C4" s="47" t="s">
        <v>21</v>
      </c>
      <c r="D4" s="47" t="s">
        <v>26</v>
      </c>
      <c r="E4" s="47" t="s">
        <v>22</v>
      </c>
      <c r="F4" s="47" t="s">
        <v>24</v>
      </c>
      <c r="G4" s="48" t="s">
        <v>25</v>
      </c>
      <c r="I4" s="46"/>
      <c r="J4" s="48" t="s">
        <v>21</v>
      </c>
      <c r="L4" s="45" t="s">
        <v>162</v>
      </c>
      <c r="O4" s="45">
        <v>1</v>
      </c>
      <c r="P4" s="67" t="s">
        <v>76</v>
      </c>
      <c r="S4" s="45" t="s">
        <v>173</v>
      </c>
      <c r="U4" s="45" t="s">
        <v>176</v>
      </c>
      <c r="W4" s="67" t="s">
        <v>136</v>
      </c>
      <c r="X4" s="45">
        <v>13</v>
      </c>
      <c r="Y4" s="45">
        <v>14</v>
      </c>
      <c r="Z4" s="45">
        <v>3</v>
      </c>
    </row>
    <row r="5" spans="2:26">
      <c r="B5" s="55" t="s">
        <v>236</v>
      </c>
      <c r="C5" s="56">
        <v>43</v>
      </c>
      <c r="D5" s="56">
        <v>322</v>
      </c>
      <c r="E5" s="56">
        <v>196</v>
      </c>
      <c r="F5" s="56">
        <v>0</v>
      </c>
      <c r="G5" s="57">
        <f t="shared" ref="G5:G36" si="0">+C5*5+D5*2+E5*3+F5*3</f>
        <v>1447</v>
      </c>
      <c r="I5" s="55" t="s">
        <v>33</v>
      </c>
      <c r="J5" s="60">
        <v>89</v>
      </c>
      <c r="K5" s="45">
        <v>1</v>
      </c>
      <c r="L5" t="s">
        <v>6</v>
      </c>
      <c r="O5" s="45">
        <v>2</v>
      </c>
      <c r="P5" s="67" t="s">
        <v>170</v>
      </c>
      <c r="S5" s="45" t="s">
        <v>95</v>
      </c>
      <c r="U5" s="45" t="s">
        <v>114</v>
      </c>
      <c r="W5" s="67" t="s">
        <v>111</v>
      </c>
      <c r="X5" s="45">
        <v>40</v>
      </c>
      <c r="Y5" s="45">
        <f>SUM(Y2:Y4)</f>
        <v>40</v>
      </c>
    </row>
    <row r="6" spans="2:26">
      <c r="B6" s="49" t="s">
        <v>154</v>
      </c>
      <c r="C6" s="50">
        <v>27</v>
      </c>
      <c r="D6" s="50">
        <v>178</v>
      </c>
      <c r="E6" s="50">
        <v>105</v>
      </c>
      <c r="F6" s="50">
        <v>12</v>
      </c>
      <c r="G6" s="51">
        <f t="shared" si="0"/>
        <v>842</v>
      </c>
      <c r="I6" s="49" t="s">
        <v>230</v>
      </c>
      <c r="J6" s="61">
        <v>80</v>
      </c>
      <c r="K6" s="45">
        <v>2</v>
      </c>
      <c r="L6" t="s">
        <v>7</v>
      </c>
      <c r="O6" s="45">
        <v>3</v>
      </c>
      <c r="P6" s="67" t="s">
        <v>118</v>
      </c>
      <c r="S6" s="45" t="s">
        <v>96</v>
      </c>
      <c r="U6" s="45" t="s">
        <v>177</v>
      </c>
      <c r="W6" s="67" t="s">
        <v>110</v>
      </c>
    </row>
    <row r="7" spans="2:26">
      <c r="B7" s="49" t="s">
        <v>33</v>
      </c>
      <c r="C7" s="50">
        <v>89</v>
      </c>
      <c r="D7" s="50">
        <v>0</v>
      </c>
      <c r="E7" s="50">
        <v>0</v>
      </c>
      <c r="F7" s="50">
        <v>0</v>
      </c>
      <c r="G7" s="51">
        <f t="shared" si="0"/>
        <v>445</v>
      </c>
      <c r="I7" s="49" t="s">
        <v>214</v>
      </c>
      <c r="J7" s="61">
        <v>75</v>
      </c>
      <c r="K7" s="45">
        <v>3</v>
      </c>
      <c r="L7" t="s">
        <v>8</v>
      </c>
      <c r="O7" s="45">
        <v>4</v>
      </c>
      <c r="P7" s="67" t="s">
        <v>74</v>
      </c>
      <c r="S7" s="45" t="s">
        <v>61</v>
      </c>
      <c r="U7" s="45" t="s">
        <v>113</v>
      </c>
      <c r="W7" s="67" t="s">
        <v>137</v>
      </c>
    </row>
    <row r="8" spans="2:26">
      <c r="B8" s="40" t="s">
        <v>139</v>
      </c>
      <c r="C8" s="13">
        <v>29</v>
      </c>
      <c r="D8" s="13">
        <v>113</v>
      </c>
      <c r="E8" s="13">
        <v>23</v>
      </c>
      <c r="F8" s="50">
        <v>0</v>
      </c>
      <c r="G8" s="51">
        <f t="shared" si="0"/>
        <v>440</v>
      </c>
      <c r="I8" s="49" t="s">
        <v>144</v>
      </c>
      <c r="J8" s="61">
        <v>62</v>
      </c>
      <c r="K8" s="45">
        <v>4</v>
      </c>
      <c r="L8" t="s">
        <v>9</v>
      </c>
      <c r="O8" s="45">
        <v>5</v>
      </c>
      <c r="P8" s="67" t="s">
        <v>94</v>
      </c>
      <c r="S8" s="45" t="s">
        <v>125</v>
      </c>
      <c r="U8" s="45" t="s">
        <v>132</v>
      </c>
      <c r="W8" s="67" t="s">
        <v>86</v>
      </c>
    </row>
    <row r="9" spans="2:26">
      <c r="B9" s="49" t="s">
        <v>214</v>
      </c>
      <c r="C9" s="50">
        <v>75</v>
      </c>
      <c r="D9" s="50">
        <v>11</v>
      </c>
      <c r="E9" s="50">
        <v>5</v>
      </c>
      <c r="F9" s="50">
        <v>1</v>
      </c>
      <c r="G9" s="51">
        <f t="shared" si="0"/>
        <v>415</v>
      </c>
      <c r="I9" s="49" t="s">
        <v>56</v>
      </c>
      <c r="J9" s="61">
        <v>45</v>
      </c>
      <c r="K9" s="45">
        <v>5</v>
      </c>
      <c r="L9" t="s">
        <v>11</v>
      </c>
      <c r="O9" s="45">
        <v>6</v>
      </c>
      <c r="P9" s="67" t="s">
        <v>58</v>
      </c>
      <c r="S9" s="45" t="s">
        <v>62</v>
      </c>
      <c r="U9" s="45" t="s">
        <v>115</v>
      </c>
      <c r="W9" s="67" t="s">
        <v>133</v>
      </c>
    </row>
    <row r="10" spans="2:26">
      <c r="B10" s="49" t="s">
        <v>230</v>
      </c>
      <c r="C10" s="50">
        <v>80</v>
      </c>
      <c r="D10" s="50">
        <v>0</v>
      </c>
      <c r="E10" s="50">
        <v>0</v>
      </c>
      <c r="F10" s="50">
        <v>0</v>
      </c>
      <c r="G10" s="51">
        <f t="shared" si="0"/>
        <v>400</v>
      </c>
      <c r="I10" s="49" t="s">
        <v>19</v>
      </c>
      <c r="J10" s="61">
        <v>44</v>
      </c>
      <c r="K10" s="45">
        <v>6</v>
      </c>
      <c r="L10" t="s">
        <v>13</v>
      </c>
      <c r="O10" s="45">
        <v>7</v>
      </c>
      <c r="P10" s="67" t="s">
        <v>92</v>
      </c>
      <c r="S10" s="45" t="s">
        <v>174</v>
      </c>
      <c r="U10" s="45" t="s">
        <v>121</v>
      </c>
      <c r="W10" s="67" t="s">
        <v>179</v>
      </c>
    </row>
    <row r="11" spans="2:26">
      <c r="B11" s="49" t="s">
        <v>18</v>
      </c>
      <c r="C11" s="50">
        <v>44</v>
      </c>
      <c r="D11" s="50">
        <v>64</v>
      </c>
      <c r="E11" s="50">
        <v>8</v>
      </c>
      <c r="F11" s="50">
        <v>1</v>
      </c>
      <c r="G11" s="51">
        <f t="shared" si="0"/>
        <v>375</v>
      </c>
      <c r="I11" s="49" t="s">
        <v>18</v>
      </c>
      <c r="J11" s="61">
        <v>44</v>
      </c>
      <c r="K11" s="45">
        <v>7</v>
      </c>
      <c r="L11" t="s">
        <v>12</v>
      </c>
      <c r="O11" s="45">
        <v>8</v>
      </c>
      <c r="P11" s="67" t="s">
        <v>91</v>
      </c>
      <c r="S11" s="45" t="s">
        <v>102</v>
      </c>
      <c r="U11" s="45" t="s">
        <v>105</v>
      </c>
      <c r="W11" s="67" t="s">
        <v>180</v>
      </c>
    </row>
    <row r="12" spans="2:26">
      <c r="B12" s="49" t="s">
        <v>144</v>
      </c>
      <c r="C12" s="50">
        <v>62</v>
      </c>
      <c r="D12" s="50">
        <v>0</v>
      </c>
      <c r="E12" s="50">
        <v>0</v>
      </c>
      <c r="F12" s="50">
        <v>0</v>
      </c>
      <c r="G12" s="51">
        <f t="shared" si="0"/>
        <v>310</v>
      </c>
      <c r="I12" s="49" t="s">
        <v>236</v>
      </c>
      <c r="J12" s="61">
        <v>43</v>
      </c>
      <c r="K12" s="45">
        <v>8</v>
      </c>
      <c r="L12" t="s">
        <v>33</v>
      </c>
      <c r="O12" s="45">
        <v>9</v>
      </c>
      <c r="P12" s="67" t="s">
        <v>90</v>
      </c>
      <c r="S12" s="45" t="s">
        <v>103</v>
      </c>
      <c r="U12" s="45" t="s">
        <v>122</v>
      </c>
      <c r="W12" s="67" t="s">
        <v>108</v>
      </c>
    </row>
    <row r="13" spans="2:26">
      <c r="B13" s="49" t="s">
        <v>56</v>
      </c>
      <c r="C13" s="50">
        <v>45</v>
      </c>
      <c r="D13" s="50">
        <v>26</v>
      </c>
      <c r="E13" s="50">
        <v>0</v>
      </c>
      <c r="F13" s="50">
        <v>0</v>
      </c>
      <c r="G13" s="51">
        <f t="shared" si="0"/>
        <v>277</v>
      </c>
      <c r="I13" s="49" t="s">
        <v>16</v>
      </c>
      <c r="J13" s="61">
        <v>39</v>
      </c>
      <c r="K13" s="45">
        <v>9</v>
      </c>
      <c r="L13" t="s">
        <v>139</v>
      </c>
      <c r="O13" s="45">
        <v>10</v>
      </c>
      <c r="P13" s="67" t="s">
        <v>73</v>
      </c>
      <c r="S13" s="45" t="s">
        <v>127</v>
      </c>
      <c r="U13" s="45" t="s">
        <v>123</v>
      </c>
      <c r="W13" s="67" t="s">
        <v>89</v>
      </c>
    </row>
    <row r="14" spans="2:26">
      <c r="B14" s="49" t="s">
        <v>19</v>
      </c>
      <c r="C14" s="50">
        <v>44</v>
      </c>
      <c r="D14" s="50">
        <v>0</v>
      </c>
      <c r="E14" s="50">
        <v>0</v>
      </c>
      <c r="F14" s="50">
        <v>0</v>
      </c>
      <c r="G14" s="51">
        <f t="shared" si="0"/>
        <v>220</v>
      </c>
      <c r="I14" s="49" t="s">
        <v>234</v>
      </c>
      <c r="J14" s="61">
        <v>34</v>
      </c>
      <c r="K14" s="45">
        <v>10</v>
      </c>
      <c r="L14" t="s">
        <v>140</v>
      </c>
      <c r="O14" s="45">
        <v>11</v>
      </c>
      <c r="P14" s="67" t="s">
        <v>93</v>
      </c>
      <c r="S14" s="45" t="s">
        <v>175</v>
      </c>
      <c r="U14" s="45" t="s">
        <v>112</v>
      </c>
      <c r="W14" s="45" t="s">
        <v>120</v>
      </c>
    </row>
    <row r="15" spans="2:26">
      <c r="B15" s="49" t="s">
        <v>16</v>
      </c>
      <c r="C15" s="50">
        <v>39</v>
      </c>
      <c r="D15" s="50">
        <v>0</v>
      </c>
      <c r="E15" s="50">
        <v>0</v>
      </c>
      <c r="F15" s="50">
        <v>0</v>
      </c>
      <c r="G15" s="51">
        <f t="shared" si="0"/>
        <v>195</v>
      </c>
      <c r="I15" s="49" t="s">
        <v>142</v>
      </c>
      <c r="J15" s="61">
        <v>33</v>
      </c>
      <c r="K15" s="45">
        <v>11</v>
      </c>
      <c r="L15" t="s">
        <v>16</v>
      </c>
      <c r="O15" s="45">
        <v>12</v>
      </c>
      <c r="P15" s="67" t="s">
        <v>37</v>
      </c>
      <c r="S15" s="45" t="s">
        <v>128</v>
      </c>
      <c r="U15" s="45" t="s">
        <v>28</v>
      </c>
      <c r="W15" s="67" t="s">
        <v>109</v>
      </c>
    </row>
    <row r="16" spans="2:26">
      <c r="B16" s="49" t="s">
        <v>234</v>
      </c>
      <c r="C16" s="50">
        <v>34</v>
      </c>
      <c r="D16" s="50">
        <v>3</v>
      </c>
      <c r="E16" s="50">
        <v>2</v>
      </c>
      <c r="F16" s="50">
        <v>2</v>
      </c>
      <c r="G16" s="51">
        <f t="shared" si="0"/>
        <v>188</v>
      </c>
      <c r="I16" s="40" t="s">
        <v>139</v>
      </c>
      <c r="J16" s="62">
        <v>29</v>
      </c>
      <c r="K16" s="45">
        <v>12</v>
      </c>
      <c r="L16" t="s">
        <v>19</v>
      </c>
      <c r="O16" s="45">
        <v>13</v>
      </c>
      <c r="P16" s="67" t="s">
        <v>104</v>
      </c>
      <c r="S16" s="45" t="s">
        <v>126</v>
      </c>
      <c r="U16" s="45" t="s">
        <v>117</v>
      </c>
      <c r="W16" s="45" t="s">
        <v>119</v>
      </c>
    </row>
    <row r="17" spans="2:23">
      <c r="B17" s="49" t="s">
        <v>142</v>
      </c>
      <c r="C17" s="50">
        <v>33</v>
      </c>
      <c r="D17" s="50">
        <v>0</v>
      </c>
      <c r="E17" s="50">
        <v>0</v>
      </c>
      <c r="F17" s="50">
        <v>0</v>
      </c>
      <c r="G17" s="51">
        <f t="shared" si="0"/>
        <v>165</v>
      </c>
      <c r="I17" s="49" t="s">
        <v>35</v>
      </c>
      <c r="J17" s="61">
        <v>29</v>
      </c>
      <c r="K17" s="45">
        <v>13</v>
      </c>
      <c r="L17" t="s">
        <v>34</v>
      </c>
      <c r="O17" s="45">
        <v>14</v>
      </c>
      <c r="P17" s="67" t="s">
        <v>64</v>
      </c>
      <c r="W17" s="67" t="s">
        <v>88</v>
      </c>
    </row>
    <row r="18" spans="2:23">
      <c r="B18" s="49" t="s">
        <v>35</v>
      </c>
      <c r="C18" s="50">
        <v>29</v>
      </c>
      <c r="D18" s="50">
        <v>0</v>
      </c>
      <c r="E18" s="50">
        <v>0</v>
      </c>
      <c r="F18" s="50">
        <v>0</v>
      </c>
      <c r="G18" s="51">
        <f t="shared" si="0"/>
        <v>145</v>
      </c>
      <c r="I18" s="49" t="s">
        <v>13</v>
      </c>
      <c r="J18" s="61">
        <v>27</v>
      </c>
      <c r="K18" s="45">
        <v>14</v>
      </c>
      <c r="L18" t="s">
        <v>46</v>
      </c>
      <c r="O18" s="45">
        <v>15</v>
      </c>
      <c r="P18" s="45" t="s">
        <v>1</v>
      </c>
    </row>
    <row r="19" spans="2:23">
      <c r="B19" s="49" t="s">
        <v>13</v>
      </c>
      <c r="C19" s="50">
        <v>27</v>
      </c>
      <c r="D19" s="50">
        <v>0</v>
      </c>
      <c r="E19" s="50">
        <v>0</v>
      </c>
      <c r="F19" s="50">
        <v>0</v>
      </c>
      <c r="G19" s="51">
        <f t="shared" si="0"/>
        <v>135</v>
      </c>
      <c r="I19" s="49" t="s">
        <v>154</v>
      </c>
      <c r="J19" s="61">
        <v>27</v>
      </c>
      <c r="K19" s="45">
        <v>15</v>
      </c>
      <c r="L19" t="s">
        <v>141</v>
      </c>
      <c r="O19" s="45">
        <v>16</v>
      </c>
      <c r="P19" s="45" t="s">
        <v>67</v>
      </c>
    </row>
    <row r="20" spans="2:23">
      <c r="B20" s="49" t="s">
        <v>14</v>
      </c>
      <c r="C20" s="50">
        <v>25</v>
      </c>
      <c r="D20" s="50">
        <v>0</v>
      </c>
      <c r="E20" s="50">
        <v>0</v>
      </c>
      <c r="F20" s="50">
        <v>0</v>
      </c>
      <c r="G20" s="51">
        <f t="shared" si="0"/>
        <v>125</v>
      </c>
      <c r="I20" s="49" t="s">
        <v>14</v>
      </c>
      <c r="J20" s="61">
        <v>25</v>
      </c>
      <c r="K20" s="45">
        <v>16</v>
      </c>
      <c r="L20" s="45" t="s">
        <v>53</v>
      </c>
    </row>
    <row r="21" spans="2:23">
      <c r="B21" s="49" t="s">
        <v>207</v>
      </c>
      <c r="C21" s="50">
        <v>25</v>
      </c>
      <c r="D21" s="50">
        <v>0</v>
      </c>
      <c r="E21" s="50">
        <v>0</v>
      </c>
      <c r="F21" s="50">
        <v>0</v>
      </c>
      <c r="G21" s="51">
        <f t="shared" si="0"/>
        <v>125</v>
      </c>
      <c r="I21" s="49" t="s">
        <v>207</v>
      </c>
      <c r="J21" s="61">
        <v>25</v>
      </c>
      <c r="K21" s="45">
        <v>17</v>
      </c>
      <c r="L21" s="45" t="s">
        <v>147</v>
      </c>
    </row>
    <row r="22" spans="2:23">
      <c r="B22" s="49" t="s">
        <v>1113</v>
      </c>
      <c r="C22" s="50">
        <v>24</v>
      </c>
      <c r="D22" s="50">
        <v>0</v>
      </c>
      <c r="E22" s="50">
        <v>0</v>
      </c>
      <c r="F22" s="50">
        <v>0</v>
      </c>
      <c r="G22" s="51">
        <f t="shared" si="0"/>
        <v>120</v>
      </c>
      <c r="I22" s="49" t="s">
        <v>1113</v>
      </c>
      <c r="J22" s="61">
        <v>24</v>
      </c>
      <c r="K22" s="45">
        <v>18</v>
      </c>
      <c r="L22" s="45" t="s">
        <v>163</v>
      </c>
    </row>
    <row r="23" spans="2:23">
      <c r="B23" s="49" t="s">
        <v>146</v>
      </c>
      <c r="C23" s="50">
        <v>24</v>
      </c>
      <c r="D23" s="50">
        <v>0</v>
      </c>
      <c r="E23" s="50">
        <v>0</v>
      </c>
      <c r="F23" s="50">
        <v>0</v>
      </c>
      <c r="G23" s="51">
        <f t="shared" si="0"/>
        <v>120</v>
      </c>
      <c r="I23" s="49" t="s">
        <v>146</v>
      </c>
      <c r="J23" s="61">
        <v>24</v>
      </c>
      <c r="K23" s="45">
        <v>19</v>
      </c>
      <c r="L23" s="45" t="s">
        <v>164</v>
      </c>
    </row>
    <row r="24" spans="2:23">
      <c r="B24" s="49" t="s">
        <v>208</v>
      </c>
      <c r="C24" s="50">
        <v>17</v>
      </c>
      <c r="D24" s="50">
        <v>5</v>
      </c>
      <c r="E24" s="50">
        <v>6</v>
      </c>
      <c r="F24" s="50">
        <v>0</v>
      </c>
      <c r="G24" s="51">
        <f t="shared" si="0"/>
        <v>113</v>
      </c>
      <c r="I24" s="49" t="s">
        <v>42</v>
      </c>
      <c r="J24" s="61">
        <v>21</v>
      </c>
      <c r="K24" s="45">
        <v>20</v>
      </c>
      <c r="L24" s="45" t="s">
        <v>142</v>
      </c>
    </row>
    <row r="25" spans="2:23">
      <c r="B25" s="59" t="s">
        <v>17</v>
      </c>
      <c r="C25" s="50">
        <v>11</v>
      </c>
      <c r="D25" s="50">
        <v>21</v>
      </c>
      <c r="E25" s="50">
        <v>4</v>
      </c>
      <c r="F25" s="50">
        <v>0</v>
      </c>
      <c r="G25" s="51">
        <f t="shared" si="0"/>
        <v>109</v>
      </c>
      <c r="I25" s="59" t="s">
        <v>6</v>
      </c>
      <c r="J25" s="61">
        <v>17</v>
      </c>
      <c r="K25" s="45">
        <v>21</v>
      </c>
      <c r="L25" s="45" t="s">
        <v>145</v>
      </c>
    </row>
    <row r="26" spans="2:23">
      <c r="B26" s="49" t="s">
        <v>42</v>
      </c>
      <c r="C26" s="50">
        <v>21</v>
      </c>
      <c r="D26" s="50">
        <v>0</v>
      </c>
      <c r="E26" s="50">
        <v>0</v>
      </c>
      <c r="F26" s="50">
        <v>0</v>
      </c>
      <c r="G26" s="51">
        <f t="shared" si="0"/>
        <v>105</v>
      </c>
      <c r="I26" s="49" t="s">
        <v>208</v>
      </c>
      <c r="J26" s="61">
        <v>17</v>
      </c>
      <c r="K26" s="45">
        <v>22</v>
      </c>
      <c r="L26" s="45" t="s">
        <v>144</v>
      </c>
    </row>
    <row r="27" spans="2:23">
      <c r="B27" s="49" t="s">
        <v>6</v>
      </c>
      <c r="C27" s="50">
        <v>17</v>
      </c>
      <c r="D27" s="50">
        <v>0</v>
      </c>
      <c r="E27" s="50">
        <v>0</v>
      </c>
      <c r="F27" s="50">
        <v>0</v>
      </c>
      <c r="G27" s="51">
        <f t="shared" si="0"/>
        <v>85</v>
      </c>
      <c r="I27" s="49" t="s">
        <v>211</v>
      </c>
      <c r="J27" s="61">
        <v>17</v>
      </c>
      <c r="K27" s="45">
        <v>23</v>
      </c>
      <c r="L27" s="45" t="s">
        <v>156</v>
      </c>
    </row>
    <row r="28" spans="2:23">
      <c r="B28" s="49" t="s">
        <v>211</v>
      </c>
      <c r="C28" s="50">
        <v>17</v>
      </c>
      <c r="D28" s="50">
        <v>0</v>
      </c>
      <c r="E28" s="50">
        <v>0</v>
      </c>
      <c r="F28" s="50">
        <v>0</v>
      </c>
      <c r="G28" s="51">
        <f t="shared" si="0"/>
        <v>85</v>
      </c>
      <c r="I28" s="49" t="s">
        <v>1434</v>
      </c>
      <c r="J28" s="61">
        <v>17</v>
      </c>
      <c r="K28" s="45">
        <v>24</v>
      </c>
      <c r="L28" s="45" t="s">
        <v>143</v>
      </c>
    </row>
    <row r="29" spans="2:23">
      <c r="B29" s="49" t="s">
        <v>1434</v>
      </c>
      <c r="C29" s="50">
        <v>17</v>
      </c>
      <c r="D29" s="50">
        <v>0</v>
      </c>
      <c r="E29" s="50">
        <v>0</v>
      </c>
      <c r="F29" s="50">
        <v>0</v>
      </c>
      <c r="G29" s="51">
        <f t="shared" si="0"/>
        <v>85</v>
      </c>
      <c r="I29" s="49" t="s">
        <v>15</v>
      </c>
      <c r="J29" s="61">
        <v>16</v>
      </c>
      <c r="K29" s="45">
        <v>25</v>
      </c>
      <c r="L29" s="45" t="s">
        <v>31</v>
      </c>
    </row>
    <row r="30" spans="2:23">
      <c r="B30" s="49" t="s">
        <v>15</v>
      </c>
      <c r="C30" s="50">
        <v>16</v>
      </c>
      <c r="D30" s="50">
        <v>0</v>
      </c>
      <c r="E30" s="50">
        <v>0</v>
      </c>
      <c r="F30" s="50">
        <v>0</v>
      </c>
      <c r="G30" s="51">
        <f t="shared" si="0"/>
        <v>80</v>
      </c>
      <c r="I30" s="49" t="s">
        <v>34</v>
      </c>
      <c r="J30" s="61">
        <v>16</v>
      </c>
      <c r="K30" s="45">
        <v>26</v>
      </c>
      <c r="L30" s="45" t="s">
        <v>75</v>
      </c>
    </row>
    <row r="31" spans="2:23">
      <c r="B31" s="49" t="s">
        <v>34</v>
      </c>
      <c r="C31" s="50">
        <v>16</v>
      </c>
      <c r="D31" s="50">
        <v>0</v>
      </c>
      <c r="E31" s="50">
        <v>0</v>
      </c>
      <c r="F31" s="50">
        <v>0</v>
      </c>
      <c r="G31" s="51">
        <f t="shared" si="0"/>
        <v>80</v>
      </c>
      <c r="I31" s="49" t="s">
        <v>20</v>
      </c>
      <c r="J31" s="61">
        <v>14</v>
      </c>
      <c r="K31" s="45">
        <v>27</v>
      </c>
      <c r="L31" s="45" t="s">
        <v>146</v>
      </c>
    </row>
    <row r="32" spans="2:23">
      <c r="B32" s="49" t="s">
        <v>20</v>
      </c>
      <c r="C32" s="50">
        <v>14</v>
      </c>
      <c r="D32" s="50">
        <v>0</v>
      </c>
      <c r="E32" s="50">
        <v>0</v>
      </c>
      <c r="F32" s="50">
        <v>0</v>
      </c>
      <c r="G32" s="51">
        <f t="shared" si="0"/>
        <v>70</v>
      </c>
      <c r="I32" s="49" t="s">
        <v>53</v>
      </c>
      <c r="J32" s="61">
        <v>14</v>
      </c>
      <c r="K32" s="45">
        <v>28</v>
      </c>
      <c r="L32" s="45" t="s">
        <v>32</v>
      </c>
    </row>
    <row r="33" spans="2:12">
      <c r="B33" s="49" t="s">
        <v>53</v>
      </c>
      <c r="C33" s="50">
        <v>14</v>
      </c>
      <c r="D33" s="50">
        <v>0</v>
      </c>
      <c r="E33" s="50">
        <v>0</v>
      </c>
      <c r="F33" s="50">
        <v>0</v>
      </c>
      <c r="G33" s="51">
        <f t="shared" si="0"/>
        <v>70</v>
      </c>
      <c r="I33" s="49" t="s">
        <v>59</v>
      </c>
      <c r="J33" s="61">
        <v>13</v>
      </c>
      <c r="K33" s="45">
        <v>29</v>
      </c>
      <c r="L33" s="45" t="s">
        <v>42</v>
      </c>
    </row>
    <row r="34" spans="2:12">
      <c r="B34" s="49" t="s">
        <v>59</v>
      </c>
      <c r="C34" s="50">
        <v>13</v>
      </c>
      <c r="D34" s="50">
        <v>0</v>
      </c>
      <c r="E34" s="50">
        <v>0</v>
      </c>
      <c r="F34" s="50">
        <v>0</v>
      </c>
      <c r="G34" s="51">
        <f t="shared" si="0"/>
        <v>65</v>
      </c>
      <c r="I34" s="49" t="s">
        <v>1491</v>
      </c>
      <c r="J34" s="61">
        <v>12</v>
      </c>
      <c r="K34" s="45">
        <v>30</v>
      </c>
      <c r="L34" s="45" t="s">
        <v>165</v>
      </c>
    </row>
    <row r="35" spans="2:12">
      <c r="B35" s="49" t="s">
        <v>1491</v>
      </c>
      <c r="C35" s="50">
        <v>12</v>
      </c>
      <c r="D35" s="50">
        <v>0</v>
      </c>
      <c r="E35" s="50">
        <v>0</v>
      </c>
      <c r="F35" s="50">
        <v>0</v>
      </c>
      <c r="G35" s="51">
        <f t="shared" si="0"/>
        <v>60</v>
      </c>
      <c r="I35" s="49" t="s">
        <v>12</v>
      </c>
      <c r="J35" s="61">
        <v>11</v>
      </c>
      <c r="K35" s="45">
        <v>31</v>
      </c>
      <c r="L35" s="45" t="s">
        <v>155</v>
      </c>
    </row>
    <row r="36" spans="2:12">
      <c r="B36" s="49" t="s">
        <v>12</v>
      </c>
      <c r="C36" s="50">
        <v>11</v>
      </c>
      <c r="D36" s="50">
        <v>0</v>
      </c>
      <c r="E36" s="50">
        <v>0</v>
      </c>
      <c r="F36" s="50">
        <v>0</v>
      </c>
      <c r="G36" s="51">
        <f t="shared" si="0"/>
        <v>55</v>
      </c>
      <c r="I36" s="49" t="s">
        <v>17</v>
      </c>
      <c r="J36" s="61">
        <v>11</v>
      </c>
      <c r="K36" s="45">
        <v>32</v>
      </c>
      <c r="L36" s="45" t="s">
        <v>149</v>
      </c>
    </row>
    <row r="37" spans="2:12">
      <c r="B37" s="49" t="s">
        <v>1340</v>
      </c>
      <c r="C37" s="50">
        <v>10</v>
      </c>
      <c r="D37" s="50">
        <v>0</v>
      </c>
      <c r="E37" s="50">
        <v>0</v>
      </c>
      <c r="F37" s="50">
        <v>0</v>
      </c>
      <c r="G37" s="51">
        <f t="shared" ref="G37:G68" si="1">+C37*5+D37*2+E37*3+F37*3</f>
        <v>50</v>
      </c>
      <c r="I37" s="59" t="s">
        <v>1340</v>
      </c>
      <c r="J37" s="61">
        <v>10</v>
      </c>
      <c r="K37" s="45">
        <v>33</v>
      </c>
      <c r="L37" s="45" t="s">
        <v>166</v>
      </c>
    </row>
    <row r="38" spans="2:12">
      <c r="B38" s="49" t="s">
        <v>1403</v>
      </c>
      <c r="C38" s="50">
        <v>9</v>
      </c>
      <c r="D38" s="50">
        <v>2</v>
      </c>
      <c r="E38" s="50">
        <v>0</v>
      </c>
      <c r="F38" s="50">
        <v>0</v>
      </c>
      <c r="G38" s="51">
        <f t="shared" si="1"/>
        <v>49</v>
      </c>
      <c r="I38" s="59" t="s">
        <v>217</v>
      </c>
      <c r="J38" s="61">
        <v>9</v>
      </c>
      <c r="K38" s="45">
        <v>34</v>
      </c>
      <c r="L38" s="45" t="s">
        <v>167</v>
      </c>
    </row>
    <row r="39" spans="2:12">
      <c r="B39" s="49" t="s">
        <v>11</v>
      </c>
      <c r="C39" s="50">
        <v>9</v>
      </c>
      <c r="D39" s="50">
        <v>0</v>
      </c>
      <c r="E39" s="50">
        <v>0</v>
      </c>
      <c r="F39" s="50">
        <v>0</v>
      </c>
      <c r="G39" s="51">
        <f t="shared" si="1"/>
        <v>45</v>
      </c>
      <c r="I39" s="59" t="s">
        <v>11</v>
      </c>
      <c r="J39" s="61">
        <v>9</v>
      </c>
      <c r="K39" s="45">
        <v>35</v>
      </c>
      <c r="L39" s="45" t="s">
        <v>168</v>
      </c>
    </row>
    <row r="40" spans="2:12">
      <c r="B40" s="49" t="s">
        <v>217</v>
      </c>
      <c r="C40" s="50">
        <v>9</v>
      </c>
      <c r="D40" s="50">
        <v>0</v>
      </c>
      <c r="E40" s="50">
        <v>0</v>
      </c>
      <c r="F40" s="50">
        <v>0</v>
      </c>
      <c r="G40" s="51">
        <f t="shared" si="1"/>
        <v>45</v>
      </c>
      <c r="I40" s="59" t="s">
        <v>1403</v>
      </c>
      <c r="J40" s="61">
        <v>9</v>
      </c>
      <c r="K40" s="45">
        <v>36</v>
      </c>
      <c r="L40" s="45" t="s">
        <v>169</v>
      </c>
    </row>
    <row r="41" spans="2:12">
      <c r="B41" s="49" t="s">
        <v>190</v>
      </c>
      <c r="C41" s="50">
        <v>7</v>
      </c>
      <c r="D41" s="50">
        <v>3</v>
      </c>
      <c r="E41" s="50">
        <v>0</v>
      </c>
      <c r="F41" s="50">
        <v>0</v>
      </c>
      <c r="G41" s="51">
        <f t="shared" si="1"/>
        <v>41</v>
      </c>
      <c r="I41" s="59" t="s">
        <v>155</v>
      </c>
      <c r="J41" s="61">
        <v>8</v>
      </c>
    </row>
    <row r="42" spans="2:12">
      <c r="B42" s="49" t="s">
        <v>155</v>
      </c>
      <c r="C42" s="50">
        <v>8</v>
      </c>
      <c r="D42" s="50">
        <v>0</v>
      </c>
      <c r="E42" s="50">
        <v>0</v>
      </c>
      <c r="F42" s="50">
        <v>0</v>
      </c>
      <c r="G42" s="51">
        <f t="shared" si="1"/>
        <v>40</v>
      </c>
      <c r="I42" s="49" t="s">
        <v>182</v>
      </c>
      <c r="J42" s="61">
        <v>8</v>
      </c>
    </row>
    <row r="43" spans="2:12">
      <c r="B43" s="49" t="s">
        <v>182</v>
      </c>
      <c r="C43" s="50">
        <v>8</v>
      </c>
      <c r="D43" s="50">
        <v>0</v>
      </c>
      <c r="E43" s="50">
        <v>0</v>
      </c>
      <c r="F43" s="50">
        <v>0</v>
      </c>
      <c r="G43" s="51">
        <f t="shared" si="1"/>
        <v>40</v>
      </c>
      <c r="I43" s="49" t="s">
        <v>9</v>
      </c>
      <c r="J43" s="61">
        <v>7</v>
      </c>
    </row>
    <row r="44" spans="2:12">
      <c r="B44" s="49" t="s">
        <v>9</v>
      </c>
      <c r="C44" s="50">
        <v>7</v>
      </c>
      <c r="D44" s="50">
        <v>0</v>
      </c>
      <c r="E44" s="50">
        <v>0</v>
      </c>
      <c r="F44" s="50">
        <v>0</v>
      </c>
      <c r="G44" s="51">
        <f t="shared" si="1"/>
        <v>35</v>
      </c>
      <c r="I44" s="49" t="s">
        <v>190</v>
      </c>
      <c r="J44" s="61">
        <v>7</v>
      </c>
    </row>
    <row r="45" spans="2:12">
      <c r="B45" s="49" t="s">
        <v>1339</v>
      </c>
      <c r="C45" s="50">
        <v>7</v>
      </c>
      <c r="D45" s="50">
        <v>0</v>
      </c>
      <c r="E45" s="50">
        <v>0</v>
      </c>
      <c r="F45" s="50">
        <v>0</v>
      </c>
      <c r="G45" s="51">
        <f t="shared" si="1"/>
        <v>35</v>
      </c>
      <c r="I45" s="49" t="s">
        <v>1339</v>
      </c>
      <c r="J45" s="61">
        <v>7</v>
      </c>
    </row>
    <row r="46" spans="2:12">
      <c r="B46" s="49" t="s">
        <v>231</v>
      </c>
      <c r="C46" s="50">
        <v>6</v>
      </c>
      <c r="D46" s="50">
        <v>0</v>
      </c>
      <c r="E46" s="50">
        <v>0</v>
      </c>
      <c r="F46" s="50">
        <v>0</v>
      </c>
      <c r="G46" s="51">
        <f t="shared" si="1"/>
        <v>30</v>
      </c>
      <c r="I46" s="49" t="s">
        <v>1245</v>
      </c>
      <c r="J46" s="61">
        <v>6</v>
      </c>
    </row>
    <row r="47" spans="2:12">
      <c r="B47" s="49" t="s">
        <v>52</v>
      </c>
      <c r="C47" s="50">
        <v>6</v>
      </c>
      <c r="D47" s="50">
        <v>0</v>
      </c>
      <c r="E47" s="50">
        <v>0</v>
      </c>
      <c r="F47" s="50">
        <v>0</v>
      </c>
      <c r="G47" s="51">
        <f t="shared" si="1"/>
        <v>30</v>
      </c>
      <c r="I47" s="49" t="s">
        <v>231</v>
      </c>
      <c r="J47" s="61">
        <v>6</v>
      </c>
    </row>
    <row r="48" spans="2:12">
      <c r="B48" s="49" t="s">
        <v>141</v>
      </c>
      <c r="C48" s="50">
        <v>6</v>
      </c>
      <c r="D48" s="50">
        <v>0</v>
      </c>
      <c r="E48" s="50">
        <v>0</v>
      </c>
      <c r="F48" s="50">
        <v>0</v>
      </c>
      <c r="G48" s="51">
        <f t="shared" si="1"/>
        <v>30</v>
      </c>
      <c r="I48" s="49" t="s">
        <v>52</v>
      </c>
      <c r="J48" s="61">
        <v>6</v>
      </c>
    </row>
    <row r="49" spans="2:10">
      <c r="B49" s="49" t="s">
        <v>1329</v>
      </c>
      <c r="C49" s="50">
        <v>6</v>
      </c>
      <c r="D49" s="50">
        <v>0</v>
      </c>
      <c r="E49" s="50">
        <v>0</v>
      </c>
      <c r="F49" s="50">
        <v>0</v>
      </c>
      <c r="G49" s="51">
        <f t="shared" si="1"/>
        <v>30</v>
      </c>
      <c r="I49" s="49" t="s">
        <v>141</v>
      </c>
      <c r="J49" s="61">
        <v>6</v>
      </c>
    </row>
    <row r="50" spans="2:10">
      <c r="B50" s="49" t="s">
        <v>1245</v>
      </c>
      <c r="C50" s="50">
        <v>6</v>
      </c>
      <c r="D50" s="50">
        <v>0</v>
      </c>
      <c r="E50" s="50">
        <v>0</v>
      </c>
      <c r="F50" s="50">
        <v>0</v>
      </c>
      <c r="G50" s="51">
        <f t="shared" si="1"/>
        <v>30</v>
      </c>
      <c r="I50" s="49" t="s">
        <v>1329</v>
      </c>
      <c r="J50" s="61">
        <v>6</v>
      </c>
    </row>
    <row r="51" spans="2:10">
      <c r="B51" s="49" t="s">
        <v>145</v>
      </c>
      <c r="C51" s="50">
        <v>5</v>
      </c>
      <c r="D51" s="50">
        <v>0</v>
      </c>
      <c r="E51" s="50">
        <v>0</v>
      </c>
      <c r="F51" s="50">
        <v>0</v>
      </c>
      <c r="G51" s="51">
        <f t="shared" si="1"/>
        <v>25</v>
      </c>
      <c r="I51" s="49" t="s">
        <v>75</v>
      </c>
      <c r="J51" s="61">
        <v>5</v>
      </c>
    </row>
    <row r="52" spans="2:10">
      <c r="B52" s="49" t="s">
        <v>75</v>
      </c>
      <c r="C52" s="50">
        <v>5</v>
      </c>
      <c r="D52" s="50">
        <v>0</v>
      </c>
      <c r="E52" s="50">
        <v>0</v>
      </c>
      <c r="F52" s="50">
        <v>0</v>
      </c>
      <c r="G52" s="51">
        <f t="shared" si="1"/>
        <v>25</v>
      </c>
      <c r="I52" s="49" t="s">
        <v>160</v>
      </c>
      <c r="J52" s="61">
        <v>5</v>
      </c>
    </row>
    <row r="53" spans="2:10">
      <c r="B53" s="49" t="s">
        <v>160</v>
      </c>
      <c r="C53" s="50">
        <v>5</v>
      </c>
      <c r="D53" s="50">
        <v>0</v>
      </c>
      <c r="E53" s="50">
        <v>0</v>
      </c>
      <c r="F53" s="50">
        <v>0</v>
      </c>
      <c r="G53" s="51">
        <f t="shared" si="1"/>
        <v>25</v>
      </c>
      <c r="I53" s="49" t="s">
        <v>145</v>
      </c>
      <c r="J53" s="61">
        <v>5</v>
      </c>
    </row>
    <row r="54" spans="2:10">
      <c r="B54" s="49" t="s">
        <v>1320</v>
      </c>
      <c r="C54" s="50">
        <v>5</v>
      </c>
      <c r="D54" s="50">
        <v>0</v>
      </c>
      <c r="E54" s="50">
        <v>0</v>
      </c>
      <c r="F54" s="50">
        <v>0</v>
      </c>
      <c r="G54" s="51">
        <f t="shared" si="1"/>
        <v>25</v>
      </c>
      <c r="I54" s="49" t="s">
        <v>1320</v>
      </c>
      <c r="J54" s="61">
        <v>5</v>
      </c>
    </row>
    <row r="55" spans="2:10">
      <c r="B55" s="49" t="s">
        <v>247</v>
      </c>
      <c r="C55" s="50">
        <v>4</v>
      </c>
      <c r="D55" s="50">
        <v>0</v>
      </c>
      <c r="E55" s="50">
        <v>0</v>
      </c>
      <c r="F55" s="50">
        <v>0</v>
      </c>
      <c r="G55" s="51">
        <f t="shared" si="1"/>
        <v>20</v>
      </c>
      <c r="I55" s="49" t="s">
        <v>183</v>
      </c>
      <c r="J55" s="61">
        <v>4</v>
      </c>
    </row>
    <row r="56" spans="2:10">
      <c r="B56" s="49" t="s">
        <v>183</v>
      </c>
      <c r="C56" s="50">
        <v>4</v>
      </c>
      <c r="D56" s="50">
        <v>0</v>
      </c>
      <c r="E56" s="50">
        <v>0</v>
      </c>
      <c r="F56" s="50">
        <v>0</v>
      </c>
      <c r="G56" s="51">
        <f t="shared" si="1"/>
        <v>20</v>
      </c>
      <c r="I56" s="49" t="s">
        <v>247</v>
      </c>
      <c r="J56" s="61">
        <v>4</v>
      </c>
    </row>
    <row r="57" spans="2:10">
      <c r="B57" s="49" t="s">
        <v>7</v>
      </c>
      <c r="C57" s="50">
        <v>3</v>
      </c>
      <c r="D57" s="50">
        <v>0</v>
      </c>
      <c r="E57" s="50">
        <v>0</v>
      </c>
      <c r="F57" s="50">
        <v>0</v>
      </c>
      <c r="G57" s="51">
        <f t="shared" si="1"/>
        <v>15</v>
      </c>
      <c r="I57" s="49" t="s">
        <v>140</v>
      </c>
      <c r="J57" s="61">
        <v>3</v>
      </c>
    </row>
    <row r="58" spans="2:10">
      <c r="B58" s="49" t="s">
        <v>143</v>
      </c>
      <c r="C58" s="50">
        <v>3</v>
      </c>
      <c r="D58" s="50">
        <v>0</v>
      </c>
      <c r="E58" s="50">
        <v>0</v>
      </c>
      <c r="F58" s="50">
        <v>0</v>
      </c>
      <c r="G58" s="51">
        <f t="shared" si="1"/>
        <v>15</v>
      </c>
      <c r="I58" s="49" t="s">
        <v>143</v>
      </c>
      <c r="J58" s="61">
        <v>3</v>
      </c>
    </row>
    <row r="59" spans="2:10">
      <c r="B59" s="49" t="s">
        <v>140</v>
      </c>
      <c r="C59" s="50">
        <v>3</v>
      </c>
      <c r="D59" s="50">
        <v>0</v>
      </c>
      <c r="E59" s="50">
        <v>0</v>
      </c>
      <c r="F59" s="50">
        <v>0</v>
      </c>
      <c r="G59" s="51">
        <f t="shared" si="1"/>
        <v>15</v>
      </c>
      <c r="I59" s="49" t="s">
        <v>233</v>
      </c>
      <c r="J59" s="61">
        <v>3</v>
      </c>
    </row>
    <row r="60" spans="2:10">
      <c r="B60" s="49" t="s">
        <v>10</v>
      </c>
      <c r="C60" s="50">
        <v>3</v>
      </c>
      <c r="D60" s="50">
        <v>0</v>
      </c>
      <c r="E60" s="50">
        <v>0</v>
      </c>
      <c r="F60" s="50">
        <v>0</v>
      </c>
      <c r="G60" s="51">
        <f t="shared" si="1"/>
        <v>15</v>
      </c>
      <c r="I60" s="49" t="s">
        <v>1324</v>
      </c>
      <c r="J60" s="61">
        <v>3</v>
      </c>
    </row>
    <row r="61" spans="2:10">
      <c r="B61" s="49" t="s">
        <v>233</v>
      </c>
      <c r="C61" s="50">
        <v>3</v>
      </c>
      <c r="D61" s="50">
        <v>0</v>
      </c>
      <c r="E61" s="50">
        <v>0</v>
      </c>
      <c r="F61" s="50">
        <v>0</v>
      </c>
      <c r="G61" s="51">
        <f t="shared" si="1"/>
        <v>15</v>
      </c>
      <c r="I61" s="49" t="s">
        <v>7</v>
      </c>
      <c r="J61" s="61">
        <v>3</v>
      </c>
    </row>
    <row r="62" spans="2:10">
      <c r="B62" s="49" t="s">
        <v>1324</v>
      </c>
      <c r="C62" s="50">
        <v>3</v>
      </c>
      <c r="D62" s="50">
        <v>0</v>
      </c>
      <c r="E62" s="50">
        <v>0</v>
      </c>
      <c r="F62" s="50">
        <v>0</v>
      </c>
      <c r="G62" s="51">
        <f t="shared" si="1"/>
        <v>15</v>
      </c>
      <c r="I62" s="49" t="s">
        <v>10</v>
      </c>
      <c r="J62" s="61">
        <v>3</v>
      </c>
    </row>
    <row r="63" spans="2:10">
      <c r="B63" s="49" t="s">
        <v>32</v>
      </c>
      <c r="C63" s="50">
        <v>2</v>
      </c>
      <c r="D63" s="50">
        <v>0</v>
      </c>
      <c r="E63" s="50">
        <v>0</v>
      </c>
      <c r="F63" s="50">
        <v>0</v>
      </c>
      <c r="G63" s="51">
        <f t="shared" si="1"/>
        <v>10</v>
      </c>
      <c r="I63" s="49" t="s">
        <v>212</v>
      </c>
      <c r="J63" s="61">
        <v>2</v>
      </c>
    </row>
    <row r="64" spans="2:10">
      <c r="B64" s="49" t="s">
        <v>212</v>
      </c>
      <c r="C64" s="50">
        <v>2</v>
      </c>
      <c r="D64" s="50">
        <v>0</v>
      </c>
      <c r="E64" s="50">
        <v>0</v>
      </c>
      <c r="F64" s="50">
        <v>0</v>
      </c>
      <c r="G64" s="51">
        <f t="shared" si="1"/>
        <v>10</v>
      </c>
      <c r="I64" s="59" t="s">
        <v>32</v>
      </c>
      <c r="J64" s="61">
        <v>2</v>
      </c>
    </row>
    <row r="65" spans="2:12">
      <c r="B65" s="49" t="s">
        <v>1151</v>
      </c>
      <c r="C65" s="50">
        <v>2</v>
      </c>
      <c r="D65" s="50">
        <v>0</v>
      </c>
      <c r="E65" s="50">
        <v>0</v>
      </c>
      <c r="F65" s="50">
        <v>0</v>
      </c>
      <c r="G65" s="51">
        <f t="shared" si="1"/>
        <v>10</v>
      </c>
      <c r="I65" s="59" t="s">
        <v>1151</v>
      </c>
      <c r="J65" s="61">
        <v>2</v>
      </c>
      <c r="K65" s="45">
        <v>37</v>
      </c>
      <c r="L65" s="45" t="s">
        <v>157</v>
      </c>
    </row>
    <row r="66" spans="2:12">
      <c r="B66" s="49" t="s">
        <v>1476</v>
      </c>
      <c r="C66" s="50">
        <v>2</v>
      </c>
      <c r="D66" s="50">
        <v>0</v>
      </c>
      <c r="E66" s="50">
        <v>0</v>
      </c>
      <c r="F66" s="50">
        <v>0</v>
      </c>
      <c r="G66" s="51">
        <f t="shared" si="1"/>
        <v>10</v>
      </c>
      <c r="I66" s="49" t="s">
        <v>1476</v>
      </c>
      <c r="J66" s="61">
        <v>2</v>
      </c>
    </row>
    <row r="67" spans="2:12">
      <c r="B67" s="49" t="s">
        <v>148</v>
      </c>
      <c r="C67" s="50">
        <v>1</v>
      </c>
      <c r="D67" s="50">
        <v>0</v>
      </c>
      <c r="E67" s="50">
        <v>0</v>
      </c>
      <c r="F67" s="50">
        <v>0</v>
      </c>
      <c r="G67" s="51">
        <f t="shared" si="1"/>
        <v>5</v>
      </c>
      <c r="I67" s="49" t="s">
        <v>256</v>
      </c>
      <c r="J67" s="61">
        <v>1</v>
      </c>
      <c r="K67" s="45">
        <v>38</v>
      </c>
      <c r="L67" s="45" t="s">
        <v>160</v>
      </c>
    </row>
    <row r="68" spans="2:12">
      <c r="B68" s="49" t="s">
        <v>156</v>
      </c>
      <c r="C68" s="50">
        <v>1</v>
      </c>
      <c r="D68" s="50">
        <v>0</v>
      </c>
      <c r="E68" s="50">
        <v>0</v>
      </c>
      <c r="F68" s="50">
        <v>0</v>
      </c>
      <c r="G68" s="51">
        <f t="shared" si="1"/>
        <v>5</v>
      </c>
      <c r="I68" s="49" t="s">
        <v>181</v>
      </c>
      <c r="J68" s="61">
        <v>1</v>
      </c>
    </row>
    <row r="69" spans="2:12">
      <c r="B69" s="49" t="s">
        <v>181</v>
      </c>
      <c r="C69" s="50">
        <v>1</v>
      </c>
      <c r="D69" s="50">
        <v>0</v>
      </c>
      <c r="E69" s="50">
        <v>0</v>
      </c>
      <c r="F69" s="50">
        <v>0</v>
      </c>
      <c r="G69" s="51">
        <f t="shared" ref="G69:G100" si="2">+C69*5+D69*2+E69*3+F69*3</f>
        <v>5</v>
      </c>
      <c r="H69" s="45">
        <f>8039+24+15+16+28+24+16+29+36+36+23+18+10+15+14+9+22+23+18</f>
        <v>8415</v>
      </c>
      <c r="I69" s="49" t="s">
        <v>1314</v>
      </c>
      <c r="J69" s="61">
        <v>1</v>
      </c>
    </row>
    <row r="70" spans="2:12">
      <c r="B70" s="49" t="s">
        <v>169</v>
      </c>
      <c r="C70" s="50">
        <v>1</v>
      </c>
      <c r="D70" s="50">
        <v>0</v>
      </c>
      <c r="E70" s="50">
        <v>0</v>
      </c>
      <c r="F70" s="50">
        <v>0</v>
      </c>
      <c r="G70" s="51">
        <f t="shared" si="2"/>
        <v>5</v>
      </c>
      <c r="I70" s="49" t="s">
        <v>169</v>
      </c>
      <c r="J70" s="61">
        <v>1</v>
      </c>
    </row>
    <row r="71" spans="2:12">
      <c r="B71" s="49" t="s">
        <v>256</v>
      </c>
      <c r="C71" s="50">
        <v>1</v>
      </c>
      <c r="D71" s="50">
        <v>0</v>
      </c>
      <c r="E71" s="50">
        <v>0</v>
      </c>
      <c r="F71" s="50">
        <v>0</v>
      </c>
      <c r="G71" s="51">
        <f t="shared" si="2"/>
        <v>5</v>
      </c>
      <c r="I71" s="49" t="s">
        <v>148</v>
      </c>
      <c r="J71" s="61">
        <v>1</v>
      </c>
    </row>
    <row r="72" spans="2:12">
      <c r="B72" s="49" t="s">
        <v>380</v>
      </c>
      <c r="C72" s="50">
        <v>1</v>
      </c>
      <c r="D72" s="50">
        <v>0</v>
      </c>
      <c r="E72" s="50">
        <v>0</v>
      </c>
      <c r="F72" s="50">
        <v>0</v>
      </c>
      <c r="G72" s="51">
        <f t="shared" si="2"/>
        <v>5</v>
      </c>
      <c r="I72" s="49" t="s">
        <v>380</v>
      </c>
      <c r="J72" s="61">
        <v>1</v>
      </c>
    </row>
    <row r="73" spans="2:12">
      <c r="B73" s="49" t="s">
        <v>1240</v>
      </c>
      <c r="C73" s="50">
        <v>1</v>
      </c>
      <c r="D73" s="50">
        <v>0</v>
      </c>
      <c r="E73" s="50">
        <v>0</v>
      </c>
      <c r="F73" s="50">
        <v>0</v>
      </c>
      <c r="G73" s="51">
        <f t="shared" si="2"/>
        <v>5</v>
      </c>
      <c r="I73" s="59" t="s">
        <v>1240</v>
      </c>
      <c r="J73" s="61">
        <v>1</v>
      </c>
    </row>
    <row r="74" spans="2:12">
      <c r="B74" s="49" t="s">
        <v>1344</v>
      </c>
      <c r="C74" s="50">
        <v>1</v>
      </c>
      <c r="D74" s="50">
        <v>0</v>
      </c>
      <c r="E74" s="50">
        <v>0</v>
      </c>
      <c r="F74" s="50">
        <v>0</v>
      </c>
      <c r="G74" s="51">
        <f t="shared" si="2"/>
        <v>5</v>
      </c>
      <c r="I74" s="59" t="s">
        <v>1344</v>
      </c>
      <c r="J74" s="61">
        <v>1</v>
      </c>
    </row>
    <row r="75" spans="2:12">
      <c r="B75" s="49" t="s">
        <v>1314</v>
      </c>
      <c r="C75" s="50">
        <v>1</v>
      </c>
      <c r="D75" s="50">
        <v>0</v>
      </c>
      <c r="E75" s="50">
        <v>0</v>
      </c>
      <c r="F75" s="50">
        <v>0</v>
      </c>
      <c r="G75" s="51">
        <f t="shared" si="2"/>
        <v>5</v>
      </c>
      <c r="I75" s="49" t="s">
        <v>156</v>
      </c>
      <c r="J75" s="61">
        <v>1</v>
      </c>
    </row>
    <row r="76" spans="2:12">
      <c r="B76" s="49" t="s">
        <v>1510</v>
      </c>
      <c r="C76" s="50">
        <v>1</v>
      </c>
      <c r="D76" s="50">
        <v>0</v>
      </c>
      <c r="E76" s="50">
        <v>0</v>
      </c>
      <c r="F76" s="50">
        <v>0</v>
      </c>
      <c r="G76" s="51">
        <f t="shared" si="2"/>
        <v>5</v>
      </c>
      <c r="I76" s="49" t="s">
        <v>1533</v>
      </c>
      <c r="J76" s="61">
        <v>1</v>
      </c>
    </row>
    <row r="77" spans="2:12">
      <c r="B77" s="49" t="s">
        <v>1533</v>
      </c>
      <c r="C77" s="50">
        <v>1</v>
      </c>
      <c r="D77" s="50">
        <v>0</v>
      </c>
      <c r="E77" s="50">
        <v>0</v>
      </c>
      <c r="F77" s="50">
        <v>0</v>
      </c>
      <c r="G77" s="51">
        <f t="shared" si="2"/>
        <v>5</v>
      </c>
      <c r="I77" s="49" t="s">
        <v>1315</v>
      </c>
      <c r="J77" s="61">
        <v>1</v>
      </c>
    </row>
    <row r="78" spans="2:12" ht="13.5" thickBot="1">
      <c r="B78" s="49" t="s">
        <v>1315</v>
      </c>
      <c r="C78" s="50">
        <v>1</v>
      </c>
      <c r="D78" s="50">
        <v>0</v>
      </c>
      <c r="E78" s="50">
        <v>0</v>
      </c>
      <c r="F78" s="50">
        <v>0</v>
      </c>
      <c r="G78" s="51">
        <f t="shared" si="2"/>
        <v>5</v>
      </c>
      <c r="I78" s="130" t="s">
        <v>1510</v>
      </c>
      <c r="J78" s="65">
        <v>1</v>
      </c>
    </row>
    <row r="79" spans="2:12">
      <c r="B79" s="49" t="s">
        <v>227</v>
      </c>
      <c r="C79" s="50">
        <v>0</v>
      </c>
      <c r="D79" s="50">
        <v>1</v>
      </c>
      <c r="E79" s="50">
        <v>0</v>
      </c>
      <c r="F79" s="50">
        <v>0</v>
      </c>
      <c r="G79" s="51">
        <f t="shared" si="2"/>
        <v>2</v>
      </c>
    </row>
    <row r="80" spans="2:12" ht="13.5" thickBot="1">
      <c r="B80" s="58" t="s">
        <v>157</v>
      </c>
      <c r="C80" s="52">
        <v>0</v>
      </c>
      <c r="D80" s="52">
        <v>1</v>
      </c>
      <c r="E80" s="52">
        <v>0</v>
      </c>
      <c r="F80" s="52">
        <v>0</v>
      </c>
      <c r="G80" s="53">
        <f t="shared" si="2"/>
        <v>2</v>
      </c>
      <c r="J80" s="44">
        <f>SUM(J5:J78)</f>
        <v>1164</v>
      </c>
    </row>
    <row r="81" spans="3:7" ht="13.5" thickBot="1">
      <c r="G81" s="54">
        <f>SUM(G5:G80)</f>
        <v>8415</v>
      </c>
    </row>
    <row r="82" spans="3:7">
      <c r="C82" s="44">
        <f>SUM(C5:C81)</f>
        <v>1164</v>
      </c>
      <c r="D82" s="44">
        <f>SUM(D5:D81)</f>
        <v>750</v>
      </c>
      <c r="E82" s="44">
        <f>SUM(E5:E76)</f>
        <v>349</v>
      </c>
      <c r="F82" s="44">
        <f>SUM(F5:F76)</f>
        <v>16</v>
      </c>
    </row>
    <row r="84" spans="3:7">
      <c r="D84" s="45">
        <f>+D82/C82</f>
        <v>0.64432989690721654</v>
      </c>
    </row>
  </sheetData>
  <sortState xmlns:xlrd2="http://schemas.microsoft.com/office/spreadsheetml/2017/richdata2" ref="I5:J78">
    <sortCondition descending="1" ref="J5:J78"/>
  </sortState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11"/>
  <sheetViews>
    <sheetView topLeftCell="A10" workbookViewId="0">
      <selection activeCell="C12" sqref="C12"/>
    </sheetView>
  </sheetViews>
  <sheetFormatPr baseColWidth="10" defaultRowHeight="12.75"/>
  <cols>
    <col min="2" max="2" width="4" bestFit="1" customWidth="1"/>
    <col min="3" max="3" width="25.28515625" bestFit="1" customWidth="1"/>
    <col min="4" max="15" width="5.7109375" customWidth="1"/>
    <col min="17" max="17" width="0" hidden="1" customWidth="1"/>
    <col min="18" max="18" width="20.5703125" hidden="1" customWidth="1"/>
    <col min="19" max="20" width="0" style="1" hidden="1" customWidth="1"/>
    <col min="21" max="21" width="0" hidden="1" customWidth="1"/>
    <col min="22" max="22" width="19.7109375" style="1" hidden="1" customWidth="1"/>
    <col min="23" max="23" width="22.42578125" style="165" bestFit="1" customWidth="1"/>
    <col min="24" max="28" width="13.5703125" style="1" customWidth="1"/>
    <col min="29" max="29" width="11.42578125" customWidth="1"/>
    <col min="33" max="33" width="21.7109375" hidden="1" customWidth="1"/>
    <col min="34" max="35" width="0" hidden="1" customWidth="1"/>
  </cols>
  <sheetData>
    <row r="1" spans="1:35" ht="13.5" thickBot="1"/>
    <row r="2" spans="1:35" ht="13.5" thickBot="1">
      <c r="C2" s="69"/>
      <c r="D2" s="248" t="s">
        <v>195</v>
      </c>
      <c r="E2" s="249"/>
      <c r="F2" s="249"/>
      <c r="G2" s="247"/>
      <c r="H2" s="248" t="s">
        <v>196</v>
      </c>
      <c r="I2" s="249"/>
      <c r="J2" s="249"/>
      <c r="K2" s="247"/>
      <c r="L2" s="250" t="s">
        <v>197</v>
      </c>
      <c r="M2" s="250"/>
      <c r="N2" s="250"/>
      <c r="O2" s="251"/>
    </row>
    <row r="3" spans="1:35" ht="13.5" customHeight="1" thickBot="1">
      <c r="C3" s="30" t="s">
        <v>269</v>
      </c>
      <c r="D3" s="71" t="s">
        <v>191</v>
      </c>
      <c r="E3" s="11" t="s">
        <v>192</v>
      </c>
      <c r="F3" s="11" t="s">
        <v>193</v>
      </c>
      <c r="G3" s="12" t="s">
        <v>194</v>
      </c>
      <c r="H3" s="72" t="s">
        <v>191</v>
      </c>
      <c r="I3" s="11" t="s">
        <v>192</v>
      </c>
      <c r="J3" s="11" t="s">
        <v>193</v>
      </c>
      <c r="K3" s="26" t="s">
        <v>194</v>
      </c>
      <c r="L3" s="71" t="s">
        <v>191</v>
      </c>
      <c r="M3" s="11" t="s">
        <v>192</v>
      </c>
      <c r="N3" s="11" t="s">
        <v>193</v>
      </c>
      <c r="O3" s="12" t="s">
        <v>194</v>
      </c>
      <c r="AE3" s="174"/>
    </row>
    <row r="4" spans="1:35" ht="12.75" customHeight="1">
      <c r="A4" s="39"/>
      <c r="B4" s="69">
        <v>1</v>
      </c>
      <c r="C4" s="229" t="s">
        <v>317</v>
      </c>
      <c r="D4" s="75">
        <f t="shared" ref="D4" si="0">+H4+L4</f>
        <v>13</v>
      </c>
      <c r="E4" s="63">
        <f t="shared" ref="E4" si="1">+I4+M4</f>
        <v>4</v>
      </c>
      <c r="F4" s="63">
        <f t="shared" ref="F4" si="2">+J4+N4</f>
        <v>0</v>
      </c>
      <c r="G4" s="76">
        <f t="shared" ref="G4" si="3">+K4+O4</f>
        <v>9</v>
      </c>
      <c r="H4" s="77">
        <f t="shared" ref="H4" si="4">+I4+J4+K4</f>
        <v>2</v>
      </c>
      <c r="I4" s="63">
        <v>0</v>
      </c>
      <c r="J4" s="63">
        <v>0</v>
      </c>
      <c r="K4" s="78">
        <v>2</v>
      </c>
      <c r="L4" s="75">
        <f t="shared" ref="L4" si="5">+M4+N4+O4</f>
        <v>11</v>
      </c>
      <c r="M4" s="63">
        <v>4</v>
      </c>
      <c r="N4" s="63">
        <v>0</v>
      </c>
      <c r="O4" s="76">
        <v>7</v>
      </c>
      <c r="Q4" s="273" t="s">
        <v>216</v>
      </c>
      <c r="R4" s="273"/>
      <c r="S4" s="273"/>
      <c r="T4" s="273"/>
      <c r="U4" s="273"/>
      <c r="AE4" s="174"/>
    </row>
    <row r="5" spans="1:35" ht="12.75" customHeight="1">
      <c r="A5" s="39" t="s">
        <v>1505</v>
      </c>
      <c r="B5" s="70">
        <v>2</v>
      </c>
      <c r="C5" s="99" t="s">
        <v>215</v>
      </c>
      <c r="D5" s="73">
        <f t="shared" ref="D5:D36" si="6">+H5+L5</f>
        <v>10</v>
      </c>
      <c r="E5" s="13">
        <f t="shared" ref="E5:E36" si="7">+I5+M5</f>
        <v>5</v>
      </c>
      <c r="F5" s="13">
        <f t="shared" ref="F5:F36" si="8">+J5+N5</f>
        <v>0</v>
      </c>
      <c r="G5" s="62">
        <f t="shared" ref="G5:G36" si="9">+K5+O5</f>
        <v>5</v>
      </c>
      <c r="H5" s="74">
        <f t="shared" ref="H5:H36" si="10">+I5+J5+K5</f>
        <v>8</v>
      </c>
      <c r="I5" s="13">
        <v>5</v>
      </c>
      <c r="J5" s="13">
        <v>0</v>
      </c>
      <c r="K5" s="27">
        <v>3</v>
      </c>
      <c r="L5" s="73">
        <f t="shared" ref="L5:L36" si="11">+M5+N5+O5</f>
        <v>2</v>
      </c>
      <c r="M5" s="13">
        <v>0</v>
      </c>
      <c r="N5" s="13">
        <v>0</v>
      </c>
      <c r="O5" s="62">
        <v>2</v>
      </c>
      <c r="Q5" s="15" t="s">
        <v>1061</v>
      </c>
      <c r="R5" s="15" t="s">
        <v>1062</v>
      </c>
      <c r="S5" s="15" t="s">
        <v>1063</v>
      </c>
      <c r="T5" s="15" t="s">
        <v>1064</v>
      </c>
      <c r="U5" s="15" t="s">
        <v>23</v>
      </c>
      <c r="V5" s="15" t="s">
        <v>1067</v>
      </c>
      <c r="W5" s="39"/>
      <c r="AE5" s="174"/>
    </row>
    <row r="6" spans="1:35" ht="12.75" customHeight="1">
      <c r="A6" s="39" t="s">
        <v>1505</v>
      </c>
      <c r="B6" s="70">
        <v>3</v>
      </c>
      <c r="C6" s="95" t="s">
        <v>216</v>
      </c>
      <c r="D6" s="73">
        <f t="shared" si="6"/>
        <v>10</v>
      </c>
      <c r="E6" s="13">
        <f t="shared" si="7"/>
        <v>3</v>
      </c>
      <c r="F6" s="13">
        <f t="shared" si="8"/>
        <v>0</v>
      </c>
      <c r="G6" s="62">
        <f t="shared" si="9"/>
        <v>7</v>
      </c>
      <c r="H6" s="74">
        <f t="shared" si="10"/>
        <v>7</v>
      </c>
      <c r="I6" s="13">
        <v>2</v>
      </c>
      <c r="J6" s="13">
        <v>0</v>
      </c>
      <c r="K6" s="27">
        <v>5</v>
      </c>
      <c r="L6" s="73">
        <f t="shared" si="11"/>
        <v>3</v>
      </c>
      <c r="M6" s="13">
        <v>1</v>
      </c>
      <c r="N6" s="13">
        <v>0</v>
      </c>
      <c r="O6" s="62">
        <v>2</v>
      </c>
      <c r="Q6" s="39"/>
      <c r="AC6" s="39"/>
      <c r="AE6" s="174"/>
    </row>
    <row r="7" spans="1:35" ht="12.75" customHeight="1">
      <c r="A7" s="39" t="s">
        <v>1505</v>
      </c>
      <c r="B7" s="70">
        <v>4</v>
      </c>
      <c r="C7" s="97" t="s">
        <v>1088</v>
      </c>
      <c r="D7" s="73">
        <f t="shared" si="6"/>
        <v>8</v>
      </c>
      <c r="E7" s="13">
        <f t="shared" si="7"/>
        <v>5</v>
      </c>
      <c r="F7" s="13">
        <f t="shared" si="8"/>
        <v>0</v>
      </c>
      <c r="G7" s="62">
        <f t="shared" si="9"/>
        <v>3</v>
      </c>
      <c r="H7" s="74">
        <f t="shared" si="10"/>
        <v>5</v>
      </c>
      <c r="I7" s="13">
        <v>4</v>
      </c>
      <c r="J7" s="13">
        <v>0</v>
      </c>
      <c r="K7" s="27">
        <v>1</v>
      </c>
      <c r="L7" s="73">
        <f t="shared" si="11"/>
        <v>3</v>
      </c>
      <c r="M7" s="13">
        <v>1</v>
      </c>
      <c r="N7" s="13">
        <v>0</v>
      </c>
      <c r="O7" s="62">
        <v>2</v>
      </c>
      <c r="Q7" s="1">
        <v>2018</v>
      </c>
      <c r="R7" s="15" t="s">
        <v>187</v>
      </c>
      <c r="S7" s="15" t="s">
        <v>1065</v>
      </c>
      <c r="T7" s="15" t="s">
        <v>1066</v>
      </c>
      <c r="U7" s="1">
        <v>0</v>
      </c>
      <c r="V7" s="1" t="s">
        <v>1068</v>
      </c>
      <c r="W7" s="172"/>
      <c r="X7" s="15"/>
      <c r="Y7" s="15"/>
      <c r="Z7" s="15"/>
      <c r="AA7" s="15"/>
      <c r="AE7" s="174"/>
      <c r="AG7" s="39" t="s">
        <v>1220</v>
      </c>
      <c r="AI7" s="39" t="s">
        <v>1221</v>
      </c>
    </row>
    <row r="8" spans="1:35" ht="12.75" customHeight="1">
      <c r="A8" s="39" t="s">
        <v>1505</v>
      </c>
      <c r="B8" s="70">
        <v>5</v>
      </c>
      <c r="C8" s="96" t="s">
        <v>1178</v>
      </c>
      <c r="D8" s="73">
        <f t="shared" si="6"/>
        <v>7</v>
      </c>
      <c r="E8" s="13">
        <f t="shared" si="7"/>
        <v>3</v>
      </c>
      <c r="F8" s="13">
        <f t="shared" si="8"/>
        <v>0</v>
      </c>
      <c r="G8" s="62">
        <f t="shared" si="9"/>
        <v>4</v>
      </c>
      <c r="H8" s="74">
        <f t="shared" si="10"/>
        <v>3</v>
      </c>
      <c r="I8" s="13">
        <v>1</v>
      </c>
      <c r="J8" s="13">
        <v>0</v>
      </c>
      <c r="K8" s="27">
        <v>2</v>
      </c>
      <c r="L8" s="73">
        <f t="shared" si="11"/>
        <v>4</v>
      </c>
      <c r="M8" s="13">
        <v>2</v>
      </c>
      <c r="N8" s="13">
        <v>0</v>
      </c>
      <c r="O8" s="62">
        <v>2</v>
      </c>
      <c r="Q8" s="1">
        <v>2018</v>
      </c>
      <c r="R8" s="15" t="s">
        <v>58</v>
      </c>
      <c r="S8" s="15" t="s">
        <v>1065</v>
      </c>
      <c r="T8" s="15" t="s">
        <v>1069</v>
      </c>
      <c r="U8" s="1">
        <v>2</v>
      </c>
      <c r="V8" s="15" t="s">
        <v>1068</v>
      </c>
      <c r="W8" s="39"/>
      <c r="X8" s="15"/>
      <c r="Y8" s="15"/>
      <c r="Z8" s="15"/>
      <c r="AA8" s="15"/>
      <c r="AE8" s="174"/>
    </row>
    <row r="9" spans="1:35" ht="12.75" customHeight="1">
      <c r="A9" s="39"/>
      <c r="B9" s="70">
        <v>6</v>
      </c>
      <c r="C9" s="96" t="s">
        <v>1504</v>
      </c>
      <c r="D9" s="73">
        <f t="shared" si="6"/>
        <v>7</v>
      </c>
      <c r="E9" s="13">
        <f t="shared" si="7"/>
        <v>3</v>
      </c>
      <c r="F9" s="13">
        <f t="shared" si="8"/>
        <v>0</v>
      </c>
      <c r="G9" s="62">
        <f t="shared" si="9"/>
        <v>4</v>
      </c>
      <c r="H9" s="74">
        <f t="shared" si="10"/>
        <v>4</v>
      </c>
      <c r="I9" s="13">
        <v>2</v>
      </c>
      <c r="J9" s="13">
        <v>0</v>
      </c>
      <c r="K9" s="27">
        <v>2</v>
      </c>
      <c r="L9" s="73">
        <f t="shared" si="11"/>
        <v>3</v>
      </c>
      <c r="M9" s="13">
        <v>1</v>
      </c>
      <c r="N9" s="13">
        <v>0</v>
      </c>
      <c r="O9" s="62">
        <v>2</v>
      </c>
      <c r="Q9" s="1">
        <v>2019</v>
      </c>
      <c r="R9" s="15" t="s">
        <v>126</v>
      </c>
      <c r="S9" s="15" t="s">
        <v>1073</v>
      </c>
      <c r="T9" s="15" t="s">
        <v>1072</v>
      </c>
      <c r="U9" s="1">
        <v>1</v>
      </c>
      <c r="V9" s="1" t="s">
        <v>1071</v>
      </c>
      <c r="X9" s="15"/>
      <c r="Y9" s="15"/>
      <c r="Z9" s="15"/>
      <c r="AA9" s="15"/>
      <c r="AE9" s="174"/>
      <c r="AG9" s="165" t="s">
        <v>1206</v>
      </c>
      <c r="AI9" s="39" t="s">
        <v>1222</v>
      </c>
    </row>
    <row r="10" spans="1:35" ht="12.75" customHeight="1">
      <c r="B10" s="70">
        <v>7</v>
      </c>
      <c r="C10" s="97" t="s">
        <v>262</v>
      </c>
      <c r="D10" s="73">
        <f t="shared" si="6"/>
        <v>7</v>
      </c>
      <c r="E10" s="13">
        <f t="shared" si="7"/>
        <v>4</v>
      </c>
      <c r="F10" s="13">
        <f t="shared" si="8"/>
        <v>0</v>
      </c>
      <c r="G10" s="62">
        <f t="shared" si="9"/>
        <v>3</v>
      </c>
      <c r="H10" s="74">
        <f t="shared" si="10"/>
        <v>2</v>
      </c>
      <c r="I10" s="13">
        <v>2</v>
      </c>
      <c r="J10" s="13">
        <v>0</v>
      </c>
      <c r="K10" s="27">
        <v>0</v>
      </c>
      <c r="L10" s="73">
        <f t="shared" si="11"/>
        <v>5</v>
      </c>
      <c r="M10" s="13">
        <v>2</v>
      </c>
      <c r="N10" s="13">
        <v>0</v>
      </c>
      <c r="O10" s="62">
        <v>3</v>
      </c>
      <c r="Q10" s="1">
        <v>2019</v>
      </c>
      <c r="R10" s="15" t="s">
        <v>126</v>
      </c>
      <c r="S10" s="15" t="s">
        <v>1065</v>
      </c>
      <c r="T10" s="15" t="s">
        <v>1074</v>
      </c>
      <c r="U10" s="1">
        <v>0</v>
      </c>
      <c r="V10" s="15" t="s">
        <v>1071</v>
      </c>
      <c r="X10" s="15"/>
      <c r="Y10" s="15"/>
      <c r="Z10" s="15"/>
      <c r="AA10" s="15"/>
      <c r="AE10" s="174"/>
      <c r="AG10" s="39" t="s">
        <v>1207</v>
      </c>
      <c r="AI10" s="39" t="s">
        <v>1223</v>
      </c>
    </row>
    <row r="11" spans="1:35" ht="12.75" customHeight="1">
      <c r="A11" s="39"/>
      <c r="B11" s="70">
        <v>8</v>
      </c>
      <c r="C11" s="97" t="s">
        <v>1567</v>
      </c>
      <c r="D11" s="73">
        <f t="shared" si="6"/>
        <v>6</v>
      </c>
      <c r="E11" s="13">
        <f t="shared" si="7"/>
        <v>5</v>
      </c>
      <c r="F11" s="13">
        <f t="shared" si="8"/>
        <v>0</v>
      </c>
      <c r="G11" s="62">
        <f t="shared" si="9"/>
        <v>1</v>
      </c>
      <c r="H11" s="74">
        <f t="shared" si="10"/>
        <v>3</v>
      </c>
      <c r="I11" s="13">
        <v>2</v>
      </c>
      <c r="J11" s="13">
        <v>0</v>
      </c>
      <c r="K11" s="27">
        <v>1</v>
      </c>
      <c r="L11" s="73">
        <f t="shared" si="11"/>
        <v>3</v>
      </c>
      <c r="M11" s="13">
        <v>3</v>
      </c>
      <c r="N11" s="13">
        <v>0</v>
      </c>
      <c r="O11" s="62">
        <v>0</v>
      </c>
      <c r="Q11" s="1">
        <v>2021</v>
      </c>
      <c r="R11" s="15" t="s">
        <v>260</v>
      </c>
      <c r="S11" s="15" t="s">
        <v>1065</v>
      </c>
      <c r="T11" s="15" t="s">
        <v>1070</v>
      </c>
      <c r="U11" s="1">
        <v>4</v>
      </c>
      <c r="V11" s="1" t="s">
        <v>1071</v>
      </c>
      <c r="W11" s="39"/>
      <c r="AE11" s="174"/>
      <c r="AG11" s="39" t="s">
        <v>190</v>
      </c>
      <c r="AI11" s="39" t="s">
        <v>1224</v>
      </c>
    </row>
    <row r="12" spans="1:35" ht="12.75" customHeight="1">
      <c r="A12" s="39"/>
      <c r="B12" s="70">
        <v>9</v>
      </c>
      <c r="C12" s="100" t="s">
        <v>263</v>
      </c>
      <c r="D12" s="73">
        <f t="shared" si="6"/>
        <v>6</v>
      </c>
      <c r="E12" s="13">
        <f t="shared" si="7"/>
        <v>3</v>
      </c>
      <c r="F12" s="13">
        <f t="shared" si="8"/>
        <v>0</v>
      </c>
      <c r="G12" s="62">
        <f t="shared" si="9"/>
        <v>3</v>
      </c>
      <c r="H12" s="74">
        <f t="shared" si="10"/>
        <v>2</v>
      </c>
      <c r="I12" s="13">
        <v>1</v>
      </c>
      <c r="J12" s="13">
        <v>0</v>
      </c>
      <c r="K12" s="27">
        <v>1</v>
      </c>
      <c r="L12" s="73">
        <f t="shared" si="11"/>
        <v>4</v>
      </c>
      <c r="M12" s="13">
        <v>2</v>
      </c>
      <c r="N12" s="13">
        <v>0</v>
      </c>
      <c r="O12" s="62">
        <v>2</v>
      </c>
      <c r="R12" s="1"/>
      <c r="Y12" s="201"/>
      <c r="AE12" s="174"/>
      <c r="AG12" s="39" t="s">
        <v>1208</v>
      </c>
      <c r="AI12" s="165" t="s">
        <v>1225</v>
      </c>
    </row>
    <row r="13" spans="1:35" ht="12.75" customHeight="1">
      <c r="A13" s="39" t="s">
        <v>1505</v>
      </c>
      <c r="B13" s="70">
        <v>10</v>
      </c>
      <c r="C13" s="97" t="s">
        <v>1330</v>
      </c>
      <c r="D13" s="73">
        <f t="shared" si="6"/>
        <v>6</v>
      </c>
      <c r="E13" s="13">
        <f t="shared" si="7"/>
        <v>4</v>
      </c>
      <c r="F13" s="13">
        <f t="shared" si="8"/>
        <v>0</v>
      </c>
      <c r="G13" s="62">
        <f t="shared" si="9"/>
        <v>2</v>
      </c>
      <c r="H13" s="74">
        <f t="shared" si="10"/>
        <v>4</v>
      </c>
      <c r="I13" s="13">
        <v>3</v>
      </c>
      <c r="J13" s="13">
        <v>0</v>
      </c>
      <c r="K13" s="27">
        <v>1</v>
      </c>
      <c r="L13" s="73">
        <f t="shared" si="11"/>
        <v>2</v>
      </c>
      <c r="M13" s="13">
        <v>1</v>
      </c>
      <c r="N13" s="13">
        <v>0</v>
      </c>
      <c r="O13" s="62">
        <v>1</v>
      </c>
      <c r="R13" s="39"/>
      <c r="AE13" s="174"/>
      <c r="AF13" s="165"/>
      <c r="AG13" s="39" t="s">
        <v>1209</v>
      </c>
      <c r="AI13" s="39" t="s">
        <v>1226</v>
      </c>
    </row>
    <row r="14" spans="1:35" ht="12.75" customHeight="1">
      <c r="A14" s="39" t="s">
        <v>1505</v>
      </c>
      <c r="B14" s="70">
        <v>11</v>
      </c>
      <c r="C14" s="96" t="s">
        <v>249</v>
      </c>
      <c r="D14" s="73">
        <f t="shared" si="6"/>
        <v>5</v>
      </c>
      <c r="E14" s="13">
        <f t="shared" si="7"/>
        <v>2</v>
      </c>
      <c r="F14" s="13">
        <f t="shared" si="8"/>
        <v>0</v>
      </c>
      <c r="G14" s="62">
        <f t="shared" si="9"/>
        <v>3</v>
      </c>
      <c r="H14" s="74">
        <f t="shared" si="10"/>
        <v>4</v>
      </c>
      <c r="I14" s="13">
        <v>2</v>
      </c>
      <c r="J14" s="13">
        <v>0</v>
      </c>
      <c r="K14" s="27">
        <v>2</v>
      </c>
      <c r="L14" s="73">
        <f t="shared" si="11"/>
        <v>1</v>
      </c>
      <c r="M14" s="13">
        <v>0</v>
      </c>
      <c r="N14" s="13">
        <v>0</v>
      </c>
      <c r="O14" s="62">
        <v>1</v>
      </c>
      <c r="R14" s="39"/>
      <c r="W14" s="39"/>
      <c r="X14" s="15"/>
      <c r="AE14" s="174"/>
      <c r="AF14" s="165"/>
      <c r="AG14" s="39" t="s">
        <v>1210</v>
      </c>
      <c r="AI14" s="39" t="s">
        <v>1227</v>
      </c>
    </row>
    <row r="15" spans="1:35" ht="12.75" customHeight="1">
      <c r="A15" s="39" t="s">
        <v>1505</v>
      </c>
      <c r="B15" s="70">
        <v>12</v>
      </c>
      <c r="C15" s="97" t="s">
        <v>275</v>
      </c>
      <c r="D15" s="73">
        <f t="shared" si="6"/>
        <v>5</v>
      </c>
      <c r="E15" s="13">
        <f t="shared" si="7"/>
        <v>4</v>
      </c>
      <c r="F15" s="13">
        <f t="shared" si="8"/>
        <v>0</v>
      </c>
      <c r="G15" s="62">
        <f t="shared" si="9"/>
        <v>1</v>
      </c>
      <c r="H15" s="74">
        <f t="shared" si="10"/>
        <v>4</v>
      </c>
      <c r="I15" s="13">
        <v>3</v>
      </c>
      <c r="J15" s="13">
        <v>0</v>
      </c>
      <c r="K15" s="27">
        <v>1</v>
      </c>
      <c r="L15" s="73">
        <f t="shared" si="11"/>
        <v>1</v>
      </c>
      <c r="M15" s="13">
        <v>1</v>
      </c>
      <c r="N15" s="13">
        <v>0</v>
      </c>
      <c r="O15" s="62">
        <v>0</v>
      </c>
      <c r="R15" s="39"/>
      <c r="X15" s="200"/>
      <c r="Y15" s="15"/>
      <c r="AC15" s="39"/>
      <c r="AE15" s="174"/>
      <c r="AG15" s="39" t="s">
        <v>1211</v>
      </c>
      <c r="AI15" s="39" t="s">
        <v>1228</v>
      </c>
    </row>
    <row r="16" spans="1:35" ht="12.75" customHeight="1">
      <c r="A16" s="39" t="s">
        <v>1505</v>
      </c>
      <c r="B16" s="70">
        <v>13</v>
      </c>
      <c r="C16" s="97" t="s">
        <v>278</v>
      </c>
      <c r="D16" s="73">
        <f t="shared" si="6"/>
        <v>5</v>
      </c>
      <c r="E16" s="13">
        <f t="shared" si="7"/>
        <v>4</v>
      </c>
      <c r="F16" s="13">
        <f t="shared" si="8"/>
        <v>0</v>
      </c>
      <c r="G16" s="62">
        <f t="shared" si="9"/>
        <v>1</v>
      </c>
      <c r="H16" s="74">
        <f t="shared" si="10"/>
        <v>1</v>
      </c>
      <c r="I16" s="13">
        <v>1</v>
      </c>
      <c r="J16" s="13">
        <v>0</v>
      </c>
      <c r="K16" s="27">
        <v>0</v>
      </c>
      <c r="L16" s="73">
        <f t="shared" si="11"/>
        <v>4</v>
      </c>
      <c r="M16" s="13">
        <v>3</v>
      </c>
      <c r="N16" s="13">
        <v>0</v>
      </c>
      <c r="O16" s="62">
        <v>1</v>
      </c>
      <c r="X16" s="200"/>
      <c r="Y16" s="15"/>
      <c r="AC16" s="39"/>
      <c r="AD16" s="1"/>
      <c r="AE16" s="174"/>
      <c r="AG16" s="39" t="s">
        <v>1212</v>
      </c>
      <c r="AI16" s="165" t="s">
        <v>1212</v>
      </c>
    </row>
    <row r="17" spans="1:35" ht="12.75" customHeight="1">
      <c r="A17" s="39" t="s">
        <v>1505</v>
      </c>
      <c r="B17" s="70">
        <v>14</v>
      </c>
      <c r="C17" s="97" t="s">
        <v>1416</v>
      </c>
      <c r="D17" s="73">
        <f t="shared" si="6"/>
        <v>5</v>
      </c>
      <c r="E17" s="13">
        <f t="shared" si="7"/>
        <v>3</v>
      </c>
      <c r="F17" s="13">
        <f t="shared" si="8"/>
        <v>0</v>
      </c>
      <c r="G17" s="62">
        <f t="shared" si="9"/>
        <v>2</v>
      </c>
      <c r="H17" s="74">
        <f t="shared" si="10"/>
        <v>2</v>
      </c>
      <c r="I17" s="13">
        <v>1</v>
      </c>
      <c r="J17" s="13">
        <v>0</v>
      </c>
      <c r="K17" s="27">
        <v>1</v>
      </c>
      <c r="L17" s="73">
        <f t="shared" si="11"/>
        <v>3</v>
      </c>
      <c r="M17" s="13">
        <v>2</v>
      </c>
      <c r="N17" s="13">
        <v>0</v>
      </c>
      <c r="O17" s="62">
        <v>1</v>
      </c>
      <c r="P17" s="39"/>
      <c r="X17" s="172"/>
      <c r="Y17" s="15"/>
      <c r="AC17" s="39"/>
      <c r="AE17" s="174"/>
      <c r="AG17" s="39" t="s">
        <v>1213</v>
      </c>
      <c r="AI17" s="165" t="s">
        <v>1213</v>
      </c>
    </row>
    <row r="18" spans="1:35" ht="12.75" customHeight="1">
      <c r="A18" s="39" t="s">
        <v>1505</v>
      </c>
      <c r="B18" s="70">
        <v>15</v>
      </c>
      <c r="C18" s="97" t="s">
        <v>1392</v>
      </c>
      <c r="D18" s="73">
        <f t="shared" si="6"/>
        <v>5</v>
      </c>
      <c r="E18" s="13">
        <f t="shared" si="7"/>
        <v>3</v>
      </c>
      <c r="F18" s="13">
        <f t="shared" si="8"/>
        <v>0</v>
      </c>
      <c r="G18" s="62">
        <f t="shared" si="9"/>
        <v>2</v>
      </c>
      <c r="H18" s="74">
        <f t="shared" si="10"/>
        <v>1</v>
      </c>
      <c r="I18" s="13">
        <v>1</v>
      </c>
      <c r="J18" s="13">
        <v>0</v>
      </c>
      <c r="K18" s="27">
        <v>0</v>
      </c>
      <c r="L18" s="73">
        <f t="shared" si="11"/>
        <v>4</v>
      </c>
      <c r="M18" s="13">
        <v>2</v>
      </c>
      <c r="N18" s="13">
        <v>0</v>
      </c>
      <c r="O18" s="62">
        <v>2</v>
      </c>
      <c r="X18" s="172"/>
      <c r="Y18" s="15"/>
      <c r="Z18" s="15"/>
      <c r="AA18" s="15"/>
      <c r="AB18" s="15"/>
      <c r="AC18" s="39"/>
      <c r="AE18" s="174"/>
      <c r="AG18" s="39" t="s">
        <v>1214</v>
      </c>
      <c r="AI18" s="165" t="s">
        <v>1214</v>
      </c>
    </row>
    <row r="19" spans="1:35" ht="12.75" customHeight="1">
      <c r="B19" s="70">
        <v>16</v>
      </c>
      <c r="C19" s="96" t="s">
        <v>1461</v>
      </c>
      <c r="D19" s="73">
        <f t="shared" si="6"/>
        <v>5</v>
      </c>
      <c r="E19" s="13">
        <f t="shared" si="7"/>
        <v>2</v>
      </c>
      <c r="F19" s="13">
        <f t="shared" si="8"/>
        <v>0</v>
      </c>
      <c r="G19" s="62">
        <f t="shared" si="9"/>
        <v>3</v>
      </c>
      <c r="H19" s="74">
        <f t="shared" si="10"/>
        <v>4</v>
      </c>
      <c r="I19" s="13">
        <v>2</v>
      </c>
      <c r="J19" s="13">
        <v>0</v>
      </c>
      <c r="K19" s="27">
        <v>2</v>
      </c>
      <c r="L19" s="73">
        <f t="shared" si="11"/>
        <v>1</v>
      </c>
      <c r="M19" s="13">
        <v>0</v>
      </c>
      <c r="N19" s="13">
        <v>0</v>
      </c>
      <c r="O19" s="62">
        <v>1</v>
      </c>
      <c r="X19" s="172"/>
      <c r="AE19" s="174"/>
      <c r="AG19" s="39" t="s">
        <v>1215</v>
      </c>
      <c r="AI19" s="39" t="s">
        <v>1229</v>
      </c>
    </row>
    <row r="20" spans="1:35" ht="12.75" customHeight="1">
      <c r="B20" s="70">
        <v>17</v>
      </c>
      <c r="C20" s="97" t="s">
        <v>315</v>
      </c>
      <c r="D20" s="73">
        <f t="shared" si="6"/>
        <v>5</v>
      </c>
      <c r="E20" s="13">
        <f t="shared" si="7"/>
        <v>5</v>
      </c>
      <c r="F20" s="13">
        <f t="shared" si="8"/>
        <v>0</v>
      </c>
      <c r="G20" s="62">
        <f t="shared" si="9"/>
        <v>0</v>
      </c>
      <c r="H20" s="74">
        <f t="shared" si="10"/>
        <v>3</v>
      </c>
      <c r="I20" s="13">
        <v>3</v>
      </c>
      <c r="J20" s="13">
        <v>0</v>
      </c>
      <c r="K20" s="27">
        <v>0</v>
      </c>
      <c r="L20" s="73">
        <f t="shared" si="11"/>
        <v>2</v>
      </c>
      <c r="M20" s="13">
        <v>2</v>
      </c>
      <c r="N20" s="13">
        <v>0</v>
      </c>
      <c r="O20" s="62">
        <v>0</v>
      </c>
      <c r="X20" s="39"/>
      <c r="AE20" s="174"/>
      <c r="AG20" s="39" t="s">
        <v>1216</v>
      </c>
      <c r="AI20" s="165" t="s">
        <v>1216</v>
      </c>
    </row>
    <row r="21" spans="1:35" ht="12.75" customHeight="1">
      <c r="A21" s="39"/>
      <c r="B21" s="70">
        <v>18</v>
      </c>
      <c r="C21" s="100" t="s">
        <v>1343</v>
      </c>
      <c r="D21" s="73">
        <f t="shared" si="6"/>
        <v>4</v>
      </c>
      <c r="E21" s="13">
        <f t="shared" si="7"/>
        <v>2</v>
      </c>
      <c r="F21" s="13">
        <f t="shared" si="8"/>
        <v>0</v>
      </c>
      <c r="G21" s="62">
        <f t="shared" si="9"/>
        <v>2</v>
      </c>
      <c r="H21" s="74">
        <f t="shared" si="10"/>
        <v>2</v>
      </c>
      <c r="I21" s="13">
        <v>1</v>
      </c>
      <c r="J21" s="13">
        <v>0</v>
      </c>
      <c r="K21" s="27">
        <v>1</v>
      </c>
      <c r="L21" s="73">
        <f t="shared" si="11"/>
        <v>2</v>
      </c>
      <c r="M21" s="13">
        <v>1</v>
      </c>
      <c r="N21" s="13">
        <v>0</v>
      </c>
      <c r="O21" s="62">
        <v>1</v>
      </c>
      <c r="X21" s="165"/>
      <c r="AE21" s="174"/>
      <c r="AG21" s="39" t="s">
        <v>1217</v>
      </c>
      <c r="AI21" s="39" t="s">
        <v>1230</v>
      </c>
    </row>
    <row r="22" spans="1:35" ht="12.75" customHeight="1">
      <c r="A22" s="39" t="s">
        <v>1505</v>
      </c>
      <c r="B22" s="70">
        <v>19</v>
      </c>
      <c r="C22" s="97" t="s">
        <v>1278</v>
      </c>
      <c r="D22" s="73">
        <f t="shared" si="6"/>
        <v>4</v>
      </c>
      <c r="E22" s="13">
        <f t="shared" si="7"/>
        <v>2</v>
      </c>
      <c r="F22" s="13">
        <f t="shared" si="8"/>
        <v>1</v>
      </c>
      <c r="G22" s="62">
        <f t="shared" si="9"/>
        <v>1</v>
      </c>
      <c r="H22" s="74">
        <f t="shared" si="10"/>
        <v>3</v>
      </c>
      <c r="I22" s="13">
        <v>1</v>
      </c>
      <c r="J22" s="13">
        <v>1</v>
      </c>
      <c r="K22" s="27">
        <v>1</v>
      </c>
      <c r="L22" s="73">
        <f t="shared" si="11"/>
        <v>1</v>
      </c>
      <c r="M22" s="13">
        <v>1</v>
      </c>
      <c r="N22" s="13">
        <v>0</v>
      </c>
      <c r="O22" s="62">
        <v>0</v>
      </c>
      <c r="X22" s="172"/>
      <c r="AE22" s="174"/>
      <c r="AG22" s="39" t="s">
        <v>1218</v>
      </c>
      <c r="AI22" s="165" t="s">
        <v>1218</v>
      </c>
    </row>
    <row r="23" spans="1:35" ht="12.75" customHeight="1">
      <c r="A23" s="39" t="s">
        <v>1505</v>
      </c>
      <c r="B23" s="70">
        <v>20</v>
      </c>
      <c r="C23" s="97" t="s">
        <v>289</v>
      </c>
      <c r="D23" s="73">
        <f t="shared" si="6"/>
        <v>4</v>
      </c>
      <c r="E23" s="13">
        <f t="shared" si="7"/>
        <v>2</v>
      </c>
      <c r="F23" s="13">
        <f t="shared" si="8"/>
        <v>1</v>
      </c>
      <c r="G23" s="62">
        <f t="shared" si="9"/>
        <v>1</v>
      </c>
      <c r="H23" s="74">
        <f t="shared" si="10"/>
        <v>1</v>
      </c>
      <c r="I23" s="13">
        <v>0</v>
      </c>
      <c r="J23" s="13">
        <v>1</v>
      </c>
      <c r="K23" s="27">
        <v>0</v>
      </c>
      <c r="L23" s="73">
        <f t="shared" si="11"/>
        <v>3</v>
      </c>
      <c r="M23" s="13">
        <v>2</v>
      </c>
      <c r="N23" s="13">
        <v>0</v>
      </c>
      <c r="O23" s="62">
        <v>1</v>
      </c>
      <c r="X23" s="39"/>
      <c r="Y23" s="273"/>
      <c r="Z23" s="273"/>
      <c r="AE23" s="174"/>
      <c r="AG23" s="39" t="s">
        <v>1219</v>
      </c>
      <c r="AI23" s="39" t="s">
        <v>1231</v>
      </c>
    </row>
    <row r="24" spans="1:35" ht="12.75" customHeight="1">
      <c r="A24" s="39" t="s">
        <v>1505</v>
      </c>
      <c r="B24" s="70">
        <v>21</v>
      </c>
      <c r="C24" s="97" t="s">
        <v>251</v>
      </c>
      <c r="D24" s="73">
        <f t="shared" si="6"/>
        <v>4</v>
      </c>
      <c r="E24" s="13">
        <f t="shared" si="7"/>
        <v>3</v>
      </c>
      <c r="F24" s="13">
        <f t="shared" si="8"/>
        <v>0</v>
      </c>
      <c r="G24" s="62">
        <f t="shared" si="9"/>
        <v>1</v>
      </c>
      <c r="H24" s="74">
        <f t="shared" si="10"/>
        <v>2</v>
      </c>
      <c r="I24" s="13">
        <v>2</v>
      </c>
      <c r="J24" s="13">
        <v>0</v>
      </c>
      <c r="K24" s="27">
        <v>0</v>
      </c>
      <c r="L24" s="73">
        <f t="shared" si="11"/>
        <v>2</v>
      </c>
      <c r="M24" s="13">
        <v>1</v>
      </c>
      <c r="N24" s="13">
        <v>0</v>
      </c>
      <c r="O24" s="62">
        <v>1</v>
      </c>
      <c r="X24" s="165"/>
      <c r="Y24" s="15"/>
      <c r="Z24" s="15"/>
      <c r="AE24" s="174"/>
    </row>
    <row r="25" spans="1:35" ht="12.75" customHeight="1">
      <c r="A25" s="39"/>
      <c r="B25" s="70">
        <v>22</v>
      </c>
      <c r="C25" s="97" t="s">
        <v>302</v>
      </c>
      <c r="D25" s="73">
        <f t="shared" si="6"/>
        <v>4</v>
      </c>
      <c r="E25" s="13">
        <f t="shared" si="7"/>
        <v>3</v>
      </c>
      <c r="F25" s="13">
        <f t="shared" si="8"/>
        <v>0</v>
      </c>
      <c r="G25" s="62">
        <f t="shared" si="9"/>
        <v>1</v>
      </c>
      <c r="H25" s="74">
        <f t="shared" si="10"/>
        <v>1</v>
      </c>
      <c r="I25" s="13">
        <v>1</v>
      </c>
      <c r="J25" s="13">
        <v>0</v>
      </c>
      <c r="K25" s="27">
        <v>0</v>
      </c>
      <c r="L25" s="73">
        <f t="shared" si="11"/>
        <v>3</v>
      </c>
      <c r="M25" s="13">
        <v>2</v>
      </c>
      <c r="N25" s="13">
        <v>0</v>
      </c>
      <c r="O25" s="62">
        <v>1</v>
      </c>
      <c r="X25" s="172"/>
      <c r="Y25" s="15"/>
      <c r="Z25" s="15"/>
      <c r="AE25" s="174"/>
    </row>
    <row r="26" spans="1:35">
      <c r="A26" s="39" t="s">
        <v>1505</v>
      </c>
      <c r="B26" s="70">
        <v>23</v>
      </c>
      <c r="C26" s="97" t="s">
        <v>286</v>
      </c>
      <c r="D26" s="73">
        <f t="shared" si="6"/>
        <v>4</v>
      </c>
      <c r="E26" s="13">
        <f t="shared" si="7"/>
        <v>3</v>
      </c>
      <c r="F26" s="13">
        <f t="shared" si="8"/>
        <v>1</v>
      </c>
      <c r="G26" s="62">
        <f t="shared" si="9"/>
        <v>0</v>
      </c>
      <c r="H26" s="74">
        <f t="shared" si="10"/>
        <v>2</v>
      </c>
      <c r="I26" s="13">
        <v>1</v>
      </c>
      <c r="J26" s="13">
        <v>1</v>
      </c>
      <c r="K26" s="27">
        <v>0</v>
      </c>
      <c r="L26" s="73">
        <f t="shared" si="11"/>
        <v>2</v>
      </c>
      <c r="M26" s="13">
        <v>2</v>
      </c>
      <c r="N26" s="13">
        <v>0</v>
      </c>
      <c r="O26" s="62">
        <v>0</v>
      </c>
      <c r="Q26" s="39"/>
    </row>
    <row r="27" spans="1:35" ht="12.75" customHeight="1">
      <c r="A27" s="39" t="s">
        <v>1505</v>
      </c>
      <c r="B27" s="70">
        <v>24</v>
      </c>
      <c r="C27" s="97" t="s">
        <v>1460</v>
      </c>
      <c r="D27" s="73">
        <f t="shared" si="6"/>
        <v>4</v>
      </c>
      <c r="E27" s="13">
        <f t="shared" si="7"/>
        <v>3</v>
      </c>
      <c r="F27" s="13">
        <f t="shared" si="8"/>
        <v>0</v>
      </c>
      <c r="G27" s="62">
        <f t="shared" si="9"/>
        <v>1</v>
      </c>
      <c r="H27" s="74">
        <f t="shared" si="10"/>
        <v>2</v>
      </c>
      <c r="I27" s="13">
        <v>2</v>
      </c>
      <c r="J27" s="13">
        <v>0</v>
      </c>
      <c r="K27" s="27">
        <v>0</v>
      </c>
      <c r="L27" s="73">
        <f t="shared" si="11"/>
        <v>2</v>
      </c>
      <c r="M27" s="13">
        <v>1</v>
      </c>
      <c r="N27" s="13">
        <v>0</v>
      </c>
      <c r="O27" s="62">
        <v>1</v>
      </c>
      <c r="Q27" s="39"/>
      <c r="W27" s="172"/>
      <c r="AE27" s="174"/>
    </row>
    <row r="28" spans="1:35" ht="12.75" customHeight="1">
      <c r="B28" s="70">
        <v>25</v>
      </c>
      <c r="C28" s="100" t="s">
        <v>375</v>
      </c>
      <c r="D28" s="73">
        <f t="shared" si="6"/>
        <v>4</v>
      </c>
      <c r="E28" s="13">
        <f t="shared" si="7"/>
        <v>2</v>
      </c>
      <c r="F28" s="13">
        <f t="shared" si="8"/>
        <v>0</v>
      </c>
      <c r="G28" s="62">
        <f t="shared" si="9"/>
        <v>2</v>
      </c>
      <c r="H28" s="74">
        <f t="shared" si="10"/>
        <v>1</v>
      </c>
      <c r="I28" s="13">
        <v>1</v>
      </c>
      <c r="J28" s="13">
        <v>0</v>
      </c>
      <c r="K28" s="27">
        <v>0</v>
      </c>
      <c r="L28" s="73">
        <f t="shared" si="11"/>
        <v>3</v>
      </c>
      <c r="M28" s="13">
        <v>1</v>
      </c>
      <c r="N28" s="13">
        <v>0</v>
      </c>
      <c r="O28" s="62">
        <v>2</v>
      </c>
      <c r="P28" s="39"/>
      <c r="R28" s="39"/>
      <c r="AE28" s="174"/>
    </row>
    <row r="29" spans="1:35" ht="12.75" customHeight="1">
      <c r="A29" s="39" t="s">
        <v>1505</v>
      </c>
      <c r="B29" s="70">
        <v>26</v>
      </c>
      <c r="C29" s="97" t="s">
        <v>255</v>
      </c>
      <c r="D29" s="73">
        <f t="shared" si="6"/>
        <v>3</v>
      </c>
      <c r="E29" s="13">
        <f t="shared" si="7"/>
        <v>2</v>
      </c>
      <c r="F29" s="13">
        <f t="shared" si="8"/>
        <v>0</v>
      </c>
      <c r="G29" s="62">
        <f t="shared" si="9"/>
        <v>1</v>
      </c>
      <c r="H29" s="74">
        <f t="shared" si="10"/>
        <v>1</v>
      </c>
      <c r="I29" s="13">
        <v>1</v>
      </c>
      <c r="J29" s="13">
        <v>0</v>
      </c>
      <c r="K29" s="27">
        <v>0</v>
      </c>
      <c r="L29" s="73">
        <f t="shared" si="11"/>
        <v>2</v>
      </c>
      <c r="M29" s="13">
        <v>1</v>
      </c>
      <c r="N29" s="13">
        <v>0</v>
      </c>
      <c r="O29" s="62">
        <v>1</v>
      </c>
      <c r="W29" s="39"/>
      <c r="AE29" s="174"/>
    </row>
    <row r="30" spans="1:35" ht="12.75" customHeight="1">
      <c r="A30" s="39" t="s">
        <v>1505</v>
      </c>
      <c r="B30" s="70">
        <v>27</v>
      </c>
      <c r="C30" s="97" t="s">
        <v>355</v>
      </c>
      <c r="D30" s="73">
        <f t="shared" si="6"/>
        <v>3</v>
      </c>
      <c r="E30" s="13">
        <f t="shared" si="7"/>
        <v>2</v>
      </c>
      <c r="F30" s="13">
        <f t="shared" si="8"/>
        <v>0</v>
      </c>
      <c r="G30" s="62">
        <f t="shared" si="9"/>
        <v>1</v>
      </c>
      <c r="H30" s="74">
        <f t="shared" si="10"/>
        <v>3</v>
      </c>
      <c r="I30" s="13">
        <v>2</v>
      </c>
      <c r="J30" s="13">
        <v>0</v>
      </c>
      <c r="K30" s="27">
        <v>1</v>
      </c>
      <c r="L30" s="73">
        <f t="shared" si="11"/>
        <v>0</v>
      </c>
      <c r="M30" s="13">
        <v>0</v>
      </c>
      <c r="N30" s="13">
        <v>0</v>
      </c>
      <c r="O30" s="62">
        <v>0</v>
      </c>
      <c r="Q30" s="39"/>
      <c r="R30" s="66"/>
      <c r="S30" s="15"/>
      <c r="AE30" s="174"/>
    </row>
    <row r="31" spans="1:35" ht="12.75" customHeight="1">
      <c r="A31" s="39"/>
      <c r="B31" s="70">
        <v>28</v>
      </c>
      <c r="C31" s="96" t="s">
        <v>316</v>
      </c>
      <c r="D31" s="73">
        <f t="shared" si="6"/>
        <v>3</v>
      </c>
      <c r="E31" s="13">
        <f t="shared" si="7"/>
        <v>1</v>
      </c>
      <c r="F31" s="13">
        <f t="shared" si="8"/>
        <v>0</v>
      </c>
      <c r="G31" s="62">
        <f t="shared" si="9"/>
        <v>2</v>
      </c>
      <c r="H31" s="74">
        <f t="shared" si="10"/>
        <v>1</v>
      </c>
      <c r="I31" s="13">
        <v>1</v>
      </c>
      <c r="J31" s="13">
        <v>0</v>
      </c>
      <c r="K31" s="27">
        <v>0</v>
      </c>
      <c r="L31" s="73">
        <f t="shared" si="11"/>
        <v>2</v>
      </c>
      <c r="M31" s="13">
        <v>0</v>
      </c>
      <c r="N31" s="13">
        <v>0</v>
      </c>
      <c r="O31" s="62">
        <v>2</v>
      </c>
      <c r="P31" s="39"/>
      <c r="R31" s="66"/>
      <c r="S31" s="15"/>
      <c r="W31" s="172"/>
      <c r="AC31" s="1"/>
      <c r="AE31" s="174"/>
    </row>
    <row r="32" spans="1:35" ht="12.75" customHeight="1">
      <c r="A32" s="39" t="s">
        <v>1505</v>
      </c>
      <c r="B32" s="70">
        <v>29</v>
      </c>
      <c r="C32" s="98" t="s">
        <v>219</v>
      </c>
      <c r="D32" s="73">
        <f t="shared" si="6"/>
        <v>3</v>
      </c>
      <c r="E32" s="13">
        <f t="shared" si="7"/>
        <v>2</v>
      </c>
      <c r="F32" s="13">
        <f t="shared" si="8"/>
        <v>0</v>
      </c>
      <c r="G32" s="62">
        <f t="shared" si="9"/>
        <v>1</v>
      </c>
      <c r="H32" s="74">
        <f t="shared" si="10"/>
        <v>1</v>
      </c>
      <c r="I32" s="13">
        <v>0</v>
      </c>
      <c r="J32" s="13">
        <v>0</v>
      </c>
      <c r="K32" s="27">
        <v>1</v>
      </c>
      <c r="L32" s="73">
        <f t="shared" si="11"/>
        <v>2</v>
      </c>
      <c r="M32" s="13">
        <v>2</v>
      </c>
      <c r="N32" s="13">
        <v>0</v>
      </c>
      <c r="O32" s="62">
        <v>0</v>
      </c>
      <c r="R32" s="66"/>
      <c r="S32" s="15" t="s">
        <v>268</v>
      </c>
      <c r="W32" s="39"/>
      <c r="AE32" s="174"/>
    </row>
    <row r="33" spans="1:32" ht="12.75" customHeight="1">
      <c r="A33" s="39"/>
      <c r="B33" s="70">
        <v>30</v>
      </c>
      <c r="C33" s="96" t="s">
        <v>304</v>
      </c>
      <c r="D33" s="73">
        <f t="shared" si="6"/>
        <v>3</v>
      </c>
      <c r="E33" s="13">
        <f t="shared" si="7"/>
        <v>0</v>
      </c>
      <c r="F33" s="13">
        <f t="shared" si="8"/>
        <v>0</v>
      </c>
      <c r="G33" s="62">
        <f t="shared" si="9"/>
        <v>3</v>
      </c>
      <c r="H33" s="74">
        <f t="shared" si="10"/>
        <v>2</v>
      </c>
      <c r="I33" s="13">
        <v>0</v>
      </c>
      <c r="J33" s="13">
        <v>0</v>
      </c>
      <c r="K33" s="27">
        <v>2</v>
      </c>
      <c r="L33" s="73">
        <f t="shared" si="11"/>
        <v>1</v>
      </c>
      <c r="M33" s="13">
        <v>0</v>
      </c>
      <c r="N33" s="13">
        <v>0</v>
      </c>
      <c r="O33" s="62">
        <v>1</v>
      </c>
      <c r="R33" s="66"/>
      <c r="S33" s="15"/>
      <c r="W33" s="172"/>
      <c r="AE33" s="174"/>
    </row>
    <row r="34" spans="1:32" ht="12.75" customHeight="1">
      <c r="A34" s="39"/>
      <c r="B34" s="70">
        <v>31</v>
      </c>
      <c r="C34" s="95" t="s">
        <v>228</v>
      </c>
      <c r="D34" s="73">
        <f t="shared" si="6"/>
        <v>3</v>
      </c>
      <c r="E34" s="13">
        <f t="shared" si="7"/>
        <v>0</v>
      </c>
      <c r="F34" s="13">
        <f t="shared" si="8"/>
        <v>0</v>
      </c>
      <c r="G34" s="62">
        <f t="shared" si="9"/>
        <v>3</v>
      </c>
      <c r="H34" s="74">
        <f t="shared" si="10"/>
        <v>1</v>
      </c>
      <c r="I34" s="13">
        <v>0</v>
      </c>
      <c r="J34" s="13">
        <v>0</v>
      </c>
      <c r="K34" s="27">
        <v>1</v>
      </c>
      <c r="L34" s="73">
        <f t="shared" si="11"/>
        <v>2</v>
      </c>
      <c r="M34" s="13">
        <v>0</v>
      </c>
      <c r="N34" s="13">
        <v>0</v>
      </c>
      <c r="O34" s="62">
        <v>2</v>
      </c>
      <c r="R34" s="66"/>
      <c r="S34" s="15"/>
      <c r="W34" s="172"/>
      <c r="AE34" s="174"/>
    </row>
    <row r="35" spans="1:32" ht="12.75" customHeight="1">
      <c r="A35" s="39" t="s">
        <v>1505</v>
      </c>
      <c r="B35" s="70">
        <v>32</v>
      </c>
      <c r="C35" s="96" t="s">
        <v>1507</v>
      </c>
      <c r="D35" s="73">
        <f t="shared" si="6"/>
        <v>3</v>
      </c>
      <c r="E35" s="13">
        <f t="shared" si="7"/>
        <v>1</v>
      </c>
      <c r="F35" s="13">
        <f t="shared" si="8"/>
        <v>0</v>
      </c>
      <c r="G35" s="62">
        <f t="shared" si="9"/>
        <v>2</v>
      </c>
      <c r="H35" s="74">
        <f t="shared" si="10"/>
        <v>1</v>
      </c>
      <c r="I35" s="13">
        <v>1</v>
      </c>
      <c r="J35" s="13">
        <v>0</v>
      </c>
      <c r="K35" s="27">
        <v>0</v>
      </c>
      <c r="L35" s="73">
        <f t="shared" si="11"/>
        <v>2</v>
      </c>
      <c r="M35" s="13">
        <v>0</v>
      </c>
      <c r="N35" s="13">
        <v>0</v>
      </c>
      <c r="O35" s="62">
        <v>2</v>
      </c>
      <c r="R35" s="1"/>
      <c r="W35" s="39"/>
      <c r="AE35" s="174"/>
    </row>
    <row r="36" spans="1:32" ht="12.75" customHeight="1">
      <c r="A36" s="39"/>
      <c r="B36" s="70">
        <v>33</v>
      </c>
      <c r="C36" s="97" t="s">
        <v>305</v>
      </c>
      <c r="D36" s="73">
        <f t="shared" si="6"/>
        <v>3</v>
      </c>
      <c r="E36" s="13">
        <f t="shared" si="7"/>
        <v>2</v>
      </c>
      <c r="F36" s="13">
        <f t="shared" si="8"/>
        <v>0</v>
      </c>
      <c r="G36" s="62">
        <f t="shared" si="9"/>
        <v>1</v>
      </c>
      <c r="H36" s="74">
        <f t="shared" si="10"/>
        <v>2</v>
      </c>
      <c r="I36" s="13">
        <v>1</v>
      </c>
      <c r="J36" s="13">
        <v>0</v>
      </c>
      <c r="K36" s="27">
        <v>1</v>
      </c>
      <c r="L36" s="73">
        <f t="shared" si="11"/>
        <v>1</v>
      </c>
      <c r="M36" s="13">
        <v>1</v>
      </c>
      <c r="N36" s="13">
        <v>0</v>
      </c>
      <c r="O36" s="62">
        <v>0</v>
      </c>
      <c r="W36" s="172"/>
      <c r="AE36" s="174"/>
    </row>
    <row r="37" spans="1:32" ht="12.75" customHeight="1">
      <c r="A37" s="39"/>
      <c r="B37" s="70">
        <v>34</v>
      </c>
      <c r="C37" s="95" t="s">
        <v>213</v>
      </c>
      <c r="D37" s="73">
        <f t="shared" ref="D37:D68" si="12">+H37+L37</f>
        <v>3</v>
      </c>
      <c r="E37" s="13">
        <f t="shared" ref="E37:E68" si="13">+I37+M37</f>
        <v>1</v>
      </c>
      <c r="F37" s="13">
        <f t="shared" ref="F37:F68" si="14">+J37+N37</f>
        <v>0</v>
      </c>
      <c r="G37" s="62">
        <f t="shared" ref="G37:G68" si="15">+K37+O37</f>
        <v>2</v>
      </c>
      <c r="H37" s="74">
        <f t="shared" ref="H37:H68" si="16">+I37+J37+K37</f>
        <v>3</v>
      </c>
      <c r="I37" s="13">
        <v>1</v>
      </c>
      <c r="J37" s="13">
        <v>0</v>
      </c>
      <c r="K37" s="27">
        <v>2</v>
      </c>
      <c r="L37" s="73">
        <f t="shared" ref="L37:L68" si="17">+M37+N37+O37</f>
        <v>0</v>
      </c>
      <c r="M37" s="13">
        <v>0</v>
      </c>
      <c r="N37" s="13">
        <v>0</v>
      </c>
      <c r="O37" s="62">
        <v>0</v>
      </c>
      <c r="AE37" s="174"/>
      <c r="AF37" s="172"/>
    </row>
    <row r="38" spans="1:32" ht="12.75" customHeight="1">
      <c r="A38" s="39" t="s">
        <v>1505</v>
      </c>
      <c r="B38" s="70">
        <v>35</v>
      </c>
      <c r="C38" s="97" t="s">
        <v>1363</v>
      </c>
      <c r="D38" s="73">
        <f t="shared" si="12"/>
        <v>3</v>
      </c>
      <c r="E38" s="13">
        <f t="shared" si="13"/>
        <v>3</v>
      </c>
      <c r="F38" s="13">
        <f t="shared" si="14"/>
        <v>0</v>
      </c>
      <c r="G38" s="62">
        <f t="shared" si="15"/>
        <v>0</v>
      </c>
      <c r="H38" s="74">
        <f t="shared" si="16"/>
        <v>3</v>
      </c>
      <c r="I38" s="13">
        <v>3</v>
      </c>
      <c r="J38" s="13">
        <v>0</v>
      </c>
      <c r="K38" s="27">
        <v>0</v>
      </c>
      <c r="L38" s="73">
        <f t="shared" si="17"/>
        <v>0</v>
      </c>
      <c r="M38" s="13">
        <v>0</v>
      </c>
      <c r="N38" s="13">
        <v>0</v>
      </c>
      <c r="O38" s="62">
        <v>0</v>
      </c>
      <c r="W38" s="39"/>
      <c r="AE38" s="174"/>
      <c r="AF38" s="165"/>
    </row>
    <row r="39" spans="1:32" ht="12.75" customHeight="1">
      <c r="A39" s="39"/>
      <c r="B39" s="70">
        <v>36</v>
      </c>
      <c r="C39" s="97" t="s">
        <v>300</v>
      </c>
      <c r="D39" s="73">
        <f t="shared" si="12"/>
        <v>3</v>
      </c>
      <c r="E39" s="13">
        <f t="shared" si="13"/>
        <v>3</v>
      </c>
      <c r="F39" s="13">
        <f t="shared" si="14"/>
        <v>0</v>
      </c>
      <c r="G39" s="62">
        <f t="shared" si="15"/>
        <v>0</v>
      </c>
      <c r="H39" s="74">
        <f t="shared" si="16"/>
        <v>2</v>
      </c>
      <c r="I39" s="13">
        <v>2</v>
      </c>
      <c r="J39" s="13">
        <v>0</v>
      </c>
      <c r="K39" s="27">
        <v>0</v>
      </c>
      <c r="L39" s="73">
        <f t="shared" si="17"/>
        <v>1</v>
      </c>
      <c r="M39" s="13">
        <v>1</v>
      </c>
      <c r="N39" s="13">
        <v>0</v>
      </c>
      <c r="O39" s="62">
        <v>0</v>
      </c>
      <c r="P39" s="39"/>
      <c r="R39" s="39"/>
      <c r="W39" s="172"/>
      <c r="AE39" s="174"/>
    </row>
    <row r="40" spans="1:32" ht="12.75" customHeight="1">
      <c r="A40" s="39"/>
      <c r="B40" s="70">
        <v>37</v>
      </c>
      <c r="C40" s="97" t="s">
        <v>298</v>
      </c>
      <c r="D40" s="73">
        <f t="shared" si="12"/>
        <v>3</v>
      </c>
      <c r="E40" s="13">
        <f t="shared" si="13"/>
        <v>3</v>
      </c>
      <c r="F40" s="13">
        <f t="shared" si="14"/>
        <v>0</v>
      </c>
      <c r="G40" s="62">
        <f t="shared" si="15"/>
        <v>0</v>
      </c>
      <c r="H40" s="74">
        <f t="shared" si="16"/>
        <v>2</v>
      </c>
      <c r="I40" s="13">
        <v>2</v>
      </c>
      <c r="J40" s="13">
        <v>0</v>
      </c>
      <c r="K40" s="27">
        <v>0</v>
      </c>
      <c r="L40" s="73">
        <f t="shared" si="17"/>
        <v>1</v>
      </c>
      <c r="M40" s="13">
        <v>1</v>
      </c>
      <c r="N40" s="13">
        <v>0</v>
      </c>
      <c r="O40" s="62">
        <v>0</v>
      </c>
      <c r="R40" s="39"/>
      <c r="W40" s="172"/>
      <c r="AE40" s="174"/>
    </row>
    <row r="41" spans="1:32" ht="12.75" customHeight="1">
      <c r="A41" s="39" t="s">
        <v>1505</v>
      </c>
      <c r="B41" s="70">
        <v>38</v>
      </c>
      <c r="C41" s="97" t="s">
        <v>274</v>
      </c>
      <c r="D41" s="73">
        <f t="shared" si="12"/>
        <v>3</v>
      </c>
      <c r="E41" s="13">
        <f t="shared" si="13"/>
        <v>2</v>
      </c>
      <c r="F41" s="13">
        <f t="shared" si="14"/>
        <v>1</v>
      </c>
      <c r="G41" s="62">
        <f t="shared" si="15"/>
        <v>0</v>
      </c>
      <c r="H41" s="74">
        <f t="shared" si="16"/>
        <v>1</v>
      </c>
      <c r="I41" s="13">
        <v>1</v>
      </c>
      <c r="J41" s="13">
        <v>0</v>
      </c>
      <c r="K41" s="27">
        <v>0</v>
      </c>
      <c r="L41" s="73">
        <f t="shared" si="17"/>
        <v>2</v>
      </c>
      <c r="M41" s="13">
        <v>1</v>
      </c>
      <c r="N41" s="13">
        <v>1</v>
      </c>
      <c r="O41" s="62">
        <v>0</v>
      </c>
      <c r="R41" s="39"/>
      <c r="W41" s="39"/>
      <c r="AE41" s="174"/>
    </row>
    <row r="42" spans="1:32" ht="12.75" customHeight="1">
      <c r="A42" s="39" t="s">
        <v>1505</v>
      </c>
      <c r="B42" s="70">
        <v>39</v>
      </c>
      <c r="C42" s="97" t="s">
        <v>273</v>
      </c>
      <c r="D42" s="73">
        <f t="shared" si="12"/>
        <v>3</v>
      </c>
      <c r="E42" s="13">
        <f t="shared" si="13"/>
        <v>3</v>
      </c>
      <c r="F42" s="13">
        <f t="shared" si="14"/>
        <v>0</v>
      </c>
      <c r="G42" s="62">
        <f t="shared" si="15"/>
        <v>0</v>
      </c>
      <c r="H42" s="74">
        <f t="shared" si="16"/>
        <v>2</v>
      </c>
      <c r="I42" s="13">
        <v>2</v>
      </c>
      <c r="J42" s="13">
        <v>0</v>
      </c>
      <c r="K42" s="27">
        <v>0</v>
      </c>
      <c r="L42" s="73">
        <f t="shared" si="17"/>
        <v>1</v>
      </c>
      <c r="M42" s="13">
        <v>1</v>
      </c>
      <c r="N42" s="13">
        <v>0</v>
      </c>
      <c r="O42" s="62">
        <v>0</v>
      </c>
      <c r="P42" s="39"/>
      <c r="R42" s="39"/>
      <c r="W42" s="172"/>
      <c r="AE42" s="174"/>
    </row>
    <row r="43" spans="1:32" ht="12.75" customHeight="1">
      <c r="A43" s="39"/>
      <c r="B43" s="70">
        <v>40</v>
      </c>
      <c r="C43" s="96" t="s">
        <v>1417</v>
      </c>
      <c r="D43" s="73">
        <f t="shared" si="12"/>
        <v>3</v>
      </c>
      <c r="E43" s="13">
        <f t="shared" si="13"/>
        <v>1</v>
      </c>
      <c r="F43" s="13">
        <f t="shared" si="14"/>
        <v>0</v>
      </c>
      <c r="G43" s="62">
        <f t="shared" si="15"/>
        <v>2</v>
      </c>
      <c r="H43" s="74">
        <f t="shared" si="16"/>
        <v>2</v>
      </c>
      <c r="I43" s="13">
        <v>1</v>
      </c>
      <c r="J43" s="13">
        <v>0</v>
      </c>
      <c r="K43" s="27">
        <v>1</v>
      </c>
      <c r="L43" s="73">
        <f t="shared" si="17"/>
        <v>1</v>
      </c>
      <c r="M43" s="13">
        <v>0</v>
      </c>
      <c r="N43" s="13">
        <v>0</v>
      </c>
      <c r="O43" s="62">
        <v>1</v>
      </c>
      <c r="R43" s="39"/>
      <c r="AE43" s="174"/>
    </row>
    <row r="44" spans="1:32" ht="12.75" customHeight="1">
      <c r="A44" s="39"/>
      <c r="B44" s="70">
        <v>41</v>
      </c>
      <c r="C44" s="97" t="s">
        <v>1503</v>
      </c>
      <c r="D44" s="73">
        <f t="shared" si="12"/>
        <v>3</v>
      </c>
      <c r="E44" s="13">
        <f t="shared" si="13"/>
        <v>3</v>
      </c>
      <c r="F44" s="13">
        <f t="shared" si="14"/>
        <v>0</v>
      </c>
      <c r="G44" s="62">
        <f t="shared" si="15"/>
        <v>0</v>
      </c>
      <c r="H44" s="74">
        <f t="shared" si="16"/>
        <v>2</v>
      </c>
      <c r="I44" s="13">
        <v>2</v>
      </c>
      <c r="J44" s="13">
        <v>0</v>
      </c>
      <c r="K44" s="27">
        <v>0</v>
      </c>
      <c r="L44" s="73">
        <f t="shared" si="17"/>
        <v>1</v>
      </c>
      <c r="M44" s="13">
        <v>1</v>
      </c>
      <c r="N44" s="13">
        <v>0</v>
      </c>
      <c r="O44" s="62">
        <v>0</v>
      </c>
      <c r="R44" s="39"/>
      <c r="W44" s="39"/>
      <c r="AE44" s="174"/>
    </row>
    <row r="45" spans="1:32" ht="12.75" customHeight="1">
      <c r="A45" s="39"/>
      <c r="B45" s="70">
        <v>42</v>
      </c>
      <c r="C45" s="96" t="s">
        <v>309</v>
      </c>
      <c r="D45" s="73">
        <f t="shared" si="12"/>
        <v>2</v>
      </c>
      <c r="E45" s="13">
        <f t="shared" si="13"/>
        <v>0</v>
      </c>
      <c r="F45" s="13">
        <f t="shared" si="14"/>
        <v>0</v>
      </c>
      <c r="G45" s="62">
        <f t="shared" si="15"/>
        <v>2</v>
      </c>
      <c r="H45" s="74">
        <f t="shared" si="16"/>
        <v>1</v>
      </c>
      <c r="I45" s="13">
        <v>0</v>
      </c>
      <c r="J45" s="13">
        <v>0</v>
      </c>
      <c r="K45" s="27">
        <v>1</v>
      </c>
      <c r="L45" s="73">
        <f t="shared" si="17"/>
        <v>1</v>
      </c>
      <c r="M45" s="13">
        <v>0</v>
      </c>
      <c r="N45" s="13">
        <v>0</v>
      </c>
      <c r="O45" s="62">
        <v>1</v>
      </c>
      <c r="P45" s="39"/>
      <c r="W45" s="172"/>
      <c r="AE45" s="174"/>
    </row>
    <row r="46" spans="1:32" ht="12.75" customHeight="1">
      <c r="A46" s="39"/>
      <c r="B46" s="70">
        <v>43</v>
      </c>
      <c r="C46" s="97" t="s">
        <v>293</v>
      </c>
      <c r="D46" s="73">
        <f t="shared" si="12"/>
        <v>2</v>
      </c>
      <c r="E46" s="13">
        <f t="shared" si="13"/>
        <v>2</v>
      </c>
      <c r="F46" s="13">
        <f t="shared" si="14"/>
        <v>0</v>
      </c>
      <c r="G46" s="62">
        <f t="shared" si="15"/>
        <v>0</v>
      </c>
      <c r="H46" s="74">
        <f t="shared" si="16"/>
        <v>2</v>
      </c>
      <c r="I46" s="13">
        <v>2</v>
      </c>
      <c r="J46" s="13">
        <v>0</v>
      </c>
      <c r="K46" s="27">
        <v>0</v>
      </c>
      <c r="L46" s="73">
        <f t="shared" si="17"/>
        <v>0</v>
      </c>
      <c r="M46" s="13">
        <v>0</v>
      </c>
      <c r="N46" s="13">
        <v>0</v>
      </c>
      <c r="O46" s="62">
        <v>0</v>
      </c>
      <c r="AE46" s="174"/>
    </row>
    <row r="47" spans="1:32" ht="12.75" customHeight="1">
      <c r="A47" s="39"/>
      <c r="B47" s="70">
        <v>44</v>
      </c>
      <c r="C47" s="96" t="s">
        <v>1188</v>
      </c>
      <c r="D47" s="73">
        <f t="shared" si="12"/>
        <v>2</v>
      </c>
      <c r="E47" s="13">
        <f t="shared" si="13"/>
        <v>0</v>
      </c>
      <c r="F47" s="13">
        <f t="shared" si="14"/>
        <v>0</v>
      </c>
      <c r="G47" s="62">
        <f t="shared" si="15"/>
        <v>2</v>
      </c>
      <c r="H47" s="74">
        <f t="shared" si="16"/>
        <v>1</v>
      </c>
      <c r="I47" s="13">
        <v>0</v>
      </c>
      <c r="J47" s="13">
        <v>0</v>
      </c>
      <c r="K47" s="27">
        <v>1</v>
      </c>
      <c r="L47" s="73">
        <f t="shared" si="17"/>
        <v>1</v>
      </c>
      <c r="M47" s="13">
        <v>0</v>
      </c>
      <c r="N47" s="13">
        <v>0</v>
      </c>
      <c r="O47" s="62">
        <v>1</v>
      </c>
      <c r="W47" s="39"/>
      <c r="AE47" s="174"/>
    </row>
    <row r="48" spans="1:32" ht="12.75" customHeight="1">
      <c r="A48" s="39"/>
      <c r="B48" s="70">
        <v>45</v>
      </c>
      <c r="C48" s="96" t="s">
        <v>310</v>
      </c>
      <c r="D48" s="73">
        <f t="shared" si="12"/>
        <v>2</v>
      </c>
      <c r="E48" s="13">
        <f t="shared" si="13"/>
        <v>0</v>
      </c>
      <c r="F48" s="13">
        <f t="shared" si="14"/>
        <v>0</v>
      </c>
      <c r="G48" s="62">
        <f t="shared" si="15"/>
        <v>2</v>
      </c>
      <c r="H48" s="74">
        <f t="shared" si="16"/>
        <v>0</v>
      </c>
      <c r="I48" s="13">
        <v>0</v>
      </c>
      <c r="J48" s="13">
        <v>0</v>
      </c>
      <c r="K48" s="27">
        <v>0</v>
      </c>
      <c r="L48" s="73">
        <f t="shared" si="17"/>
        <v>2</v>
      </c>
      <c r="M48" s="13">
        <v>0</v>
      </c>
      <c r="N48" s="13">
        <v>0</v>
      </c>
      <c r="O48" s="62">
        <v>2</v>
      </c>
      <c r="AE48" s="174"/>
    </row>
    <row r="49" spans="1:31" ht="12.75" customHeight="1">
      <c r="A49" s="39"/>
      <c r="B49" s="70">
        <v>46</v>
      </c>
      <c r="C49" s="96" t="s">
        <v>308</v>
      </c>
      <c r="D49" s="73">
        <f t="shared" si="12"/>
        <v>2</v>
      </c>
      <c r="E49" s="13">
        <f t="shared" si="13"/>
        <v>0</v>
      </c>
      <c r="F49" s="13">
        <f t="shared" si="14"/>
        <v>0</v>
      </c>
      <c r="G49" s="62">
        <f t="shared" si="15"/>
        <v>2</v>
      </c>
      <c r="H49" s="74">
        <f t="shared" si="16"/>
        <v>0</v>
      </c>
      <c r="I49" s="13">
        <v>0</v>
      </c>
      <c r="J49" s="13">
        <v>0</v>
      </c>
      <c r="K49" s="27">
        <v>0</v>
      </c>
      <c r="L49" s="73">
        <f t="shared" si="17"/>
        <v>2</v>
      </c>
      <c r="M49" s="13">
        <v>0</v>
      </c>
      <c r="N49" s="13">
        <v>0</v>
      </c>
      <c r="O49" s="62">
        <v>2</v>
      </c>
      <c r="AE49" s="174"/>
    </row>
    <row r="50" spans="1:31">
      <c r="A50" s="39"/>
      <c r="B50" s="70">
        <v>47</v>
      </c>
      <c r="C50" s="100" t="s">
        <v>307</v>
      </c>
      <c r="D50" s="73">
        <f t="shared" si="12"/>
        <v>2</v>
      </c>
      <c r="E50" s="13">
        <f t="shared" si="13"/>
        <v>1</v>
      </c>
      <c r="F50" s="13">
        <f t="shared" si="14"/>
        <v>0</v>
      </c>
      <c r="G50" s="62">
        <f t="shared" si="15"/>
        <v>1</v>
      </c>
      <c r="H50" s="74">
        <f t="shared" si="16"/>
        <v>1</v>
      </c>
      <c r="I50" s="13">
        <v>1</v>
      </c>
      <c r="J50" s="13">
        <v>0</v>
      </c>
      <c r="K50" s="27">
        <v>0</v>
      </c>
      <c r="L50" s="73">
        <f t="shared" si="17"/>
        <v>1</v>
      </c>
      <c r="M50" s="13">
        <v>0</v>
      </c>
      <c r="N50" s="13">
        <v>0</v>
      </c>
      <c r="O50" s="62">
        <v>1</v>
      </c>
      <c r="P50" s="39"/>
    </row>
    <row r="51" spans="1:31">
      <c r="A51" s="39"/>
      <c r="B51" s="70">
        <v>48</v>
      </c>
      <c r="C51" s="100" t="s">
        <v>1388</v>
      </c>
      <c r="D51" s="73">
        <f t="shared" si="12"/>
        <v>2</v>
      </c>
      <c r="E51" s="13">
        <f t="shared" si="13"/>
        <v>1</v>
      </c>
      <c r="F51" s="13">
        <f t="shared" si="14"/>
        <v>0</v>
      </c>
      <c r="G51" s="62">
        <f t="shared" si="15"/>
        <v>1</v>
      </c>
      <c r="H51" s="74">
        <f t="shared" si="16"/>
        <v>2</v>
      </c>
      <c r="I51" s="13">
        <v>1</v>
      </c>
      <c r="J51" s="13">
        <v>0</v>
      </c>
      <c r="K51" s="27">
        <v>1</v>
      </c>
      <c r="L51" s="73">
        <f t="shared" si="17"/>
        <v>0</v>
      </c>
      <c r="M51" s="13">
        <v>0</v>
      </c>
      <c r="N51" s="13">
        <v>0</v>
      </c>
      <c r="O51" s="62">
        <v>0</v>
      </c>
    </row>
    <row r="52" spans="1:31">
      <c r="A52" s="39" t="s">
        <v>1505</v>
      </c>
      <c r="B52" s="70">
        <v>49</v>
      </c>
      <c r="C52" s="100" t="s">
        <v>321</v>
      </c>
      <c r="D52" s="73">
        <f t="shared" si="12"/>
        <v>2</v>
      </c>
      <c r="E52" s="13">
        <f t="shared" si="13"/>
        <v>1</v>
      </c>
      <c r="F52" s="13">
        <f t="shared" si="14"/>
        <v>0</v>
      </c>
      <c r="G52" s="62">
        <f t="shared" si="15"/>
        <v>1</v>
      </c>
      <c r="H52" s="74">
        <f t="shared" si="16"/>
        <v>1</v>
      </c>
      <c r="I52" s="13">
        <v>1</v>
      </c>
      <c r="J52" s="13">
        <v>0</v>
      </c>
      <c r="K52" s="27">
        <v>0</v>
      </c>
      <c r="L52" s="73">
        <f t="shared" si="17"/>
        <v>1</v>
      </c>
      <c r="M52" s="13">
        <v>0</v>
      </c>
      <c r="N52" s="13">
        <v>0</v>
      </c>
      <c r="O52" s="62">
        <v>1</v>
      </c>
      <c r="P52" s="39"/>
    </row>
    <row r="53" spans="1:31">
      <c r="B53" s="70">
        <v>50</v>
      </c>
      <c r="C53" s="97" t="s">
        <v>292</v>
      </c>
      <c r="D53" s="73">
        <f t="shared" si="12"/>
        <v>2</v>
      </c>
      <c r="E53" s="13">
        <f t="shared" si="13"/>
        <v>2</v>
      </c>
      <c r="F53" s="13">
        <f t="shared" si="14"/>
        <v>0</v>
      </c>
      <c r="G53" s="62">
        <f t="shared" si="15"/>
        <v>0</v>
      </c>
      <c r="H53" s="74">
        <f t="shared" si="16"/>
        <v>1</v>
      </c>
      <c r="I53" s="13">
        <v>1</v>
      </c>
      <c r="J53" s="13">
        <v>0</v>
      </c>
      <c r="K53" s="27">
        <v>0</v>
      </c>
      <c r="L53" s="73">
        <f t="shared" si="17"/>
        <v>1</v>
      </c>
      <c r="M53" s="13">
        <v>1</v>
      </c>
      <c r="N53" s="13">
        <v>0</v>
      </c>
      <c r="O53" s="62">
        <v>0</v>
      </c>
      <c r="P53" s="39"/>
    </row>
    <row r="54" spans="1:31">
      <c r="A54" s="39"/>
      <c r="B54" s="70">
        <v>51</v>
      </c>
      <c r="C54" s="100" t="s">
        <v>1293</v>
      </c>
      <c r="D54" s="73">
        <f t="shared" si="12"/>
        <v>2</v>
      </c>
      <c r="E54" s="13">
        <f t="shared" si="13"/>
        <v>1</v>
      </c>
      <c r="F54" s="13">
        <f t="shared" si="14"/>
        <v>0</v>
      </c>
      <c r="G54" s="62">
        <f t="shared" si="15"/>
        <v>1</v>
      </c>
      <c r="H54" s="74">
        <f t="shared" si="16"/>
        <v>1</v>
      </c>
      <c r="I54" s="13">
        <v>1</v>
      </c>
      <c r="J54" s="13">
        <v>0</v>
      </c>
      <c r="K54" s="27">
        <v>0</v>
      </c>
      <c r="L54" s="73">
        <f t="shared" si="17"/>
        <v>1</v>
      </c>
      <c r="M54" s="13">
        <v>0</v>
      </c>
      <c r="N54" s="13">
        <v>0</v>
      </c>
      <c r="O54" s="62">
        <v>1</v>
      </c>
    </row>
    <row r="55" spans="1:31">
      <c r="B55" s="70">
        <v>52</v>
      </c>
      <c r="C55" s="99" t="s">
        <v>248</v>
      </c>
      <c r="D55" s="73">
        <f t="shared" si="12"/>
        <v>2</v>
      </c>
      <c r="E55" s="13">
        <f t="shared" si="13"/>
        <v>1</v>
      </c>
      <c r="F55" s="13">
        <f t="shared" si="14"/>
        <v>0</v>
      </c>
      <c r="G55" s="62">
        <f t="shared" si="15"/>
        <v>1</v>
      </c>
      <c r="H55" s="74">
        <f t="shared" si="16"/>
        <v>2</v>
      </c>
      <c r="I55" s="13">
        <v>1</v>
      </c>
      <c r="J55" s="13">
        <v>0</v>
      </c>
      <c r="K55" s="27">
        <v>1</v>
      </c>
      <c r="L55" s="73">
        <f t="shared" si="17"/>
        <v>0</v>
      </c>
      <c r="M55" s="13">
        <v>0</v>
      </c>
      <c r="N55" s="13">
        <v>0</v>
      </c>
      <c r="O55" s="62">
        <v>0</v>
      </c>
      <c r="P55" s="39"/>
    </row>
    <row r="56" spans="1:31">
      <c r="A56" s="39" t="s">
        <v>1505</v>
      </c>
      <c r="B56" s="70">
        <v>53</v>
      </c>
      <c r="C56" s="99" t="s">
        <v>232</v>
      </c>
      <c r="D56" s="73">
        <f t="shared" si="12"/>
        <v>2</v>
      </c>
      <c r="E56" s="13">
        <f t="shared" si="13"/>
        <v>1</v>
      </c>
      <c r="F56" s="13">
        <f t="shared" si="14"/>
        <v>0</v>
      </c>
      <c r="G56" s="62">
        <f t="shared" si="15"/>
        <v>1</v>
      </c>
      <c r="H56" s="74">
        <f t="shared" si="16"/>
        <v>0</v>
      </c>
      <c r="I56" s="13">
        <v>0</v>
      </c>
      <c r="J56" s="13">
        <v>0</v>
      </c>
      <c r="K56" s="27">
        <v>0</v>
      </c>
      <c r="L56" s="73">
        <f t="shared" si="17"/>
        <v>2</v>
      </c>
      <c r="M56" s="13">
        <v>1</v>
      </c>
      <c r="N56" s="13">
        <v>0</v>
      </c>
      <c r="O56" s="62">
        <v>1</v>
      </c>
    </row>
    <row r="57" spans="1:31">
      <c r="B57" s="70">
        <v>54</v>
      </c>
      <c r="C57" s="97" t="s">
        <v>280</v>
      </c>
      <c r="D57" s="73">
        <f t="shared" si="12"/>
        <v>2</v>
      </c>
      <c r="E57" s="13">
        <f t="shared" si="13"/>
        <v>2</v>
      </c>
      <c r="F57" s="13">
        <f t="shared" si="14"/>
        <v>0</v>
      </c>
      <c r="G57" s="62">
        <f t="shared" si="15"/>
        <v>0</v>
      </c>
      <c r="H57" s="74">
        <f t="shared" si="16"/>
        <v>0</v>
      </c>
      <c r="I57" s="13">
        <v>0</v>
      </c>
      <c r="J57" s="13">
        <v>0</v>
      </c>
      <c r="K57" s="27">
        <v>0</v>
      </c>
      <c r="L57" s="73">
        <f t="shared" si="17"/>
        <v>2</v>
      </c>
      <c r="M57" s="13">
        <v>2</v>
      </c>
      <c r="N57" s="13">
        <v>0</v>
      </c>
      <c r="O57" s="62">
        <v>0</v>
      </c>
      <c r="P57" s="39"/>
    </row>
    <row r="58" spans="1:31">
      <c r="B58" s="70">
        <v>55</v>
      </c>
      <c r="C58" s="96" t="s">
        <v>297</v>
      </c>
      <c r="D58" s="73">
        <f t="shared" si="12"/>
        <v>2</v>
      </c>
      <c r="E58" s="13">
        <f t="shared" si="13"/>
        <v>0</v>
      </c>
      <c r="F58" s="13">
        <f t="shared" si="14"/>
        <v>0</v>
      </c>
      <c r="G58" s="13">
        <f t="shared" si="15"/>
        <v>2</v>
      </c>
      <c r="H58" s="74">
        <f t="shared" si="16"/>
        <v>0</v>
      </c>
      <c r="I58" s="13">
        <v>0</v>
      </c>
      <c r="J58" s="13">
        <v>0</v>
      </c>
      <c r="K58" s="27">
        <v>0</v>
      </c>
      <c r="L58" s="73">
        <f t="shared" si="17"/>
        <v>2</v>
      </c>
      <c r="M58" s="13">
        <v>0</v>
      </c>
      <c r="N58" s="13">
        <v>0</v>
      </c>
      <c r="O58" s="62">
        <v>2</v>
      </c>
      <c r="P58" s="39"/>
    </row>
    <row r="59" spans="1:31">
      <c r="A59" s="39" t="s">
        <v>1505</v>
      </c>
      <c r="B59" s="70">
        <v>56</v>
      </c>
      <c r="C59" s="99" t="s">
        <v>246</v>
      </c>
      <c r="D59" s="73">
        <f t="shared" si="12"/>
        <v>2</v>
      </c>
      <c r="E59" s="13">
        <f t="shared" si="13"/>
        <v>1</v>
      </c>
      <c r="F59" s="13">
        <f t="shared" si="14"/>
        <v>0</v>
      </c>
      <c r="G59" s="13">
        <f t="shared" si="15"/>
        <v>1</v>
      </c>
      <c r="H59" s="74">
        <f t="shared" si="16"/>
        <v>0</v>
      </c>
      <c r="I59" s="13">
        <v>0</v>
      </c>
      <c r="J59" s="13">
        <v>0</v>
      </c>
      <c r="K59" s="27">
        <v>0</v>
      </c>
      <c r="L59" s="73">
        <f t="shared" si="17"/>
        <v>2</v>
      </c>
      <c r="M59" s="13">
        <v>1</v>
      </c>
      <c r="N59" s="13">
        <v>0</v>
      </c>
      <c r="O59" s="62">
        <v>1</v>
      </c>
    </row>
    <row r="60" spans="1:31">
      <c r="A60" s="39" t="s">
        <v>1505</v>
      </c>
      <c r="B60" s="70">
        <v>57</v>
      </c>
      <c r="C60" s="97" t="s">
        <v>322</v>
      </c>
      <c r="D60" s="73">
        <f t="shared" si="12"/>
        <v>2</v>
      </c>
      <c r="E60" s="13">
        <f t="shared" si="13"/>
        <v>2</v>
      </c>
      <c r="F60" s="13">
        <f t="shared" si="14"/>
        <v>0</v>
      </c>
      <c r="G60" s="62">
        <f t="shared" si="15"/>
        <v>0</v>
      </c>
      <c r="H60" s="74">
        <f t="shared" si="16"/>
        <v>2</v>
      </c>
      <c r="I60" s="13">
        <v>2</v>
      </c>
      <c r="J60" s="13">
        <v>0</v>
      </c>
      <c r="K60" s="27">
        <v>0</v>
      </c>
      <c r="L60" s="73">
        <f t="shared" si="17"/>
        <v>0</v>
      </c>
      <c r="M60" s="13">
        <v>0</v>
      </c>
      <c r="N60" s="13">
        <v>0</v>
      </c>
      <c r="O60" s="62">
        <v>0</v>
      </c>
      <c r="P60" s="39"/>
    </row>
    <row r="61" spans="1:31">
      <c r="A61" s="39"/>
      <c r="B61" s="70">
        <v>58</v>
      </c>
      <c r="C61" s="97" t="s">
        <v>303</v>
      </c>
      <c r="D61" s="73">
        <f t="shared" si="12"/>
        <v>2</v>
      </c>
      <c r="E61" s="13">
        <f t="shared" si="13"/>
        <v>2</v>
      </c>
      <c r="F61" s="13">
        <f t="shared" si="14"/>
        <v>0</v>
      </c>
      <c r="G61" s="62">
        <f t="shared" si="15"/>
        <v>0</v>
      </c>
      <c r="H61" s="74">
        <f t="shared" si="16"/>
        <v>0</v>
      </c>
      <c r="I61" s="13">
        <v>0</v>
      </c>
      <c r="J61" s="13">
        <v>0</v>
      </c>
      <c r="K61" s="27">
        <v>0</v>
      </c>
      <c r="L61" s="73">
        <f t="shared" si="17"/>
        <v>2</v>
      </c>
      <c r="M61" s="13">
        <v>2</v>
      </c>
      <c r="N61" s="13">
        <v>0</v>
      </c>
      <c r="O61" s="62">
        <v>0</v>
      </c>
    </row>
    <row r="62" spans="1:31">
      <c r="B62" s="70">
        <v>59</v>
      </c>
      <c r="C62" s="98" t="s">
        <v>245</v>
      </c>
      <c r="D62" s="73">
        <f t="shared" si="12"/>
        <v>2</v>
      </c>
      <c r="E62" s="13">
        <f t="shared" si="13"/>
        <v>2</v>
      </c>
      <c r="F62" s="13">
        <f t="shared" si="14"/>
        <v>0</v>
      </c>
      <c r="G62" s="62">
        <f t="shared" si="15"/>
        <v>0</v>
      </c>
      <c r="H62" s="74">
        <f t="shared" si="16"/>
        <v>2</v>
      </c>
      <c r="I62" s="13">
        <v>2</v>
      </c>
      <c r="J62" s="13">
        <v>0</v>
      </c>
      <c r="K62" s="27">
        <v>0</v>
      </c>
      <c r="L62" s="73">
        <f t="shared" si="17"/>
        <v>0</v>
      </c>
      <c r="M62" s="13">
        <v>0</v>
      </c>
      <c r="N62" s="13">
        <v>0</v>
      </c>
      <c r="O62" s="62">
        <v>0</v>
      </c>
    </row>
    <row r="63" spans="1:31">
      <c r="A63" s="39" t="s">
        <v>1505</v>
      </c>
      <c r="B63" s="70">
        <v>60</v>
      </c>
      <c r="C63" s="98" t="s">
        <v>226</v>
      </c>
      <c r="D63" s="73">
        <f t="shared" si="12"/>
        <v>2</v>
      </c>
      <c r="E63" s="13">
        <f t="shared" si="13"/>
        <v>2</v>
      </c>
      <c r="F63" s="13">
        <f t="shared" si="14"/>
        <v>0</v>
      </c>
      <c r="G63" s="62">
        <f t="shared" si="15"/>
        <v>0</v>
      </c>
      <c r="H63" s="74">
        <f t="shared" si="16"/>
        <v>1</v>
      </c>
      <c r="I63" s="13">
        <v>1</v>
      </c>
      <c r="J63" s="13">
        <v>0</v>
      </c>
      <c r="K63" s="27">
        <v>0</v>
      </c>
      <c r="L63" s="73">
        <f t="shared" si="17"/>
        <v>1</v>
      </c>
      <c r="M63" s="13">
        <v>1</v>
      </c>
      <c r="N63" s="13">
        <v>0</v>
      </c>
      <c r="O63" s="62">
        <v>0</v>
      </c>
    </row>
    <row r="64" spans="1:31">
      <c r="B64" s="70">
        <v>61</v>
      </c>
      <c r="C64" s="100" t="s">
        <v>319</v>
      </c>
      <c r="D64" s="73">
        <f t="shared" si="12"/>
        <v>2</v>
      </c>
      <c r="E64" s="13">
        <f t="shared" si="13"/>
        <v>1</v>
      </c>
      <c r="F64" s="13">
        <f t="shared" si="14"/>
        <v>0</v>
      </c>
      <c r="G64" s="62">
        <f t="shared" si="15"/>
        <v>1</v>
      </c>
      <c r="H64" s="74">
        <f t="shared" si="16"/>
        <v>1</v>
      </c>
      <c r="I64" s="13">
        <v>1</v>
      </c>
      <c r="J64" s="13">
        <v>0</v>
      </c>
      <c r="K64" s="27">
        <v>0</v>
      </c>
      <c r="L64" s="73">
        <f t="shared" si="17"/>
        <v>1</v>
      </c>
      <c r="M64" s="13">
        <v>0</v>
      </c>
      <c r="N64" s="13">
        <v>0</v>
      </c>
      <c r="O64" s="62">
        <v>1</v>
      </c>
    </row>
    <row r="65" spans="1:15">
      <c r="B65" s="70">
        <v>62</v>
      </c>
      <c r="C65" s="97" t="s">
        <v>250</v>
      </c>
      <c r="D65" s="73">
        <f t="shared" si="12"/>
        <v>2</v>
      </c>
      <c r="E65" s="13">
        <f t="shared" si="13"/>
        <v>2</v>
      </c>
      <c r="F65" s="13">
        <f t="shared" si="14"/>
        <v>0</v>
      </c>
      <c r="G65" s="62">
        <f t="shared" si="15"/>
        <v>0</v>
      </c>
      <c r="H65" s="74">
        <f t="shared" si="16"/>
        <v>1</v>
      </c>
      <c r="I65" s="13">
        <v>1</v>
      </c>
      <c r="J65" s="13">
        <v>0</v>
      </c>
      <c r="K65" s="27">
        <v>0</v>
      </c>
      <c r="L65" s="73">
        <f t="shared" si="17"/>
        <v>1</v>
      </c>
      <c r="M65" s="13">
        <v>1</v>
      </c>
      <c r="N65" s="13">
        <v>0</v>
      </c>
      <c r="O65" s="62">
        <v>0</v>
      </c>
    </row>
    <row r="66" spans="1:15">
      <c r="A66" s="39" t="s">
        <v>1505</v>
      </c>
      <c r="B66" s="70">
        <v>63</v>
      </c>
      <c r="C66" s="100" t="s">
        <v>1317</v>
      </c>
      <c r="D66" s="73">
        <f t="shared" si="12"/>
        <v>2</v>
      </c>
      <c r="E66" s="13">
        <f t="shared" si="13"/>
        <v>1</v>
      </c>
      <c r="F66" s="13">
        <f t="shared" si="14"/>
        <v>0</v>
      </c>
      <c r="G66" s="62">
        <f t="shared" si="15"/>
        <v>1</v>
      </c>
      <c r="H66" s="74">
        <f t="shared" si="16"/>
        <v>1</v>
      </c>
      <c r="I66" s="13">
        <v>1</v>
      </c>
      <c r="J66" s="13">
        <v>0</v>
      </c>
      <c r="K66" s="27">
        <v>0</v>
      </c>
      <c r="L66" s="73">
        <f t="shared" si="17"/>
        <v>1</v>
      </c>
      <c r="M66" s="13">
        <v>0</v>
      </c>
      <c r="N66" s="13">
        <v>0</v>
      </c>
      <c r="O66" s="62">
        <v>1</v>
      </c>
    </row>
    <row r="67" spans="1:15">
      <c r="B67" s="70">
        <v>64</v>
      </c>
      <c r="C67" s="96" t="s">
        <v>1130</v>
      </c>
      <c r="D67" s="73">
        <f t="shared" si="12"/>
        <v>2</v>
      </c>
      <c r="E67" s="13">
        <f t="shared" si="13"/>
        <v>0</v>
      </c>
      <c r="F67" s="13">
        <f t="shared" si="14"/>
        <v>0</v>
      </c>
      <c r="G67" s="62">
        <f t="shared" si="15"/>
        <v>2</v>
      </c>
      <c r="H67" s="74">
        <f t="shared" si="16"/>
        <v>0</v>
      </c>
      <c r="I67" s="13">
        <v>0</v>
      </c>
      <c r="J67" s="13">
        <v>0</v>
      </c>
      <c r="K67" s="27">
        <v>0</v>
      </c>
      <c r="L67" s="73">
        <f t="shared" si="17"/>
        <v>2</v>
      </c>
      <c r="M67" s="13">
        <v>0</v>
      </c>
      <c r="N67" s="13">
        <v>0</v>
      </c>
      <c r="O67" s="62">
        <v>2</v>
      </c>
    </row>
    <row r="68" spans="1:15">
      <c r="A68" s="39" t="s">
        <v>1505</v>
      </c>
      <c r="B68" s="70">
        <v>65</v>
      </c>
      <c r="C68" s="96" t="s">
        <v>1180</v>
      </c>
      <c r="D68" s="73">
        <f t="shared" si="12"/>
        <v>2</v>
      </c>
      <c r="E68" s="13">
        <f t="shared" si="13"/>
        <v>0</v>
      </c>
      <c r="F68" s="13">
        <f t="shared" si="14"/>
        <v>0</v>
      </c>
      <c r="G68" s="62">
        <f t="shared" si="15"/>
        <v>2</v>
      </c>
      <c r="H68" s="74">
        <f t="shared" si="16"/>
        <v>1</v>
      </c>
      <c r="I68" s="13">
        <v>0</v>
      </c>
      <c r="J68" s="13">
        <v>0</v>
      </c>
      <c r="K68" s="27">
        <v>1</v>
      </c>
      <c r="L68" s="73">
        <f t="shared" si="17"/>
        <v>1</v>
      </c>
      <c r="M68" s="13">
        <v>0</v>
      </c>
      <c r="N68" s="13">
        <v>0</v>
      </c>
      <c r="O68" s="62">
        <v>1</v>
      </c>
    </row>
    <row r="69" spans="1:15">
      <c r="B69" s="70">
        <v>66</v>
      </c>
      <c r="C69" s="100" t="s">
        <v>1410</v>
      </c>
      <c r="D69" s="73">
        <f t="shared" ref="D69:D100" si="18">+H69+L69</f>
        <v>2</v>
      </c>
      <c r="E69" s="13">
        <f t="shared" ref="E69:E100" si="19">+I69+M69</f>
        <v>1</v>
      </c>
      <c r="F69" s="13">
        <f t="shared" ref="F69:F100" si="20">+J69+N69</f>
        <v>0</v>
      </c>
      <c r="G69" s="62">
        <f t="shared" ref="G69:G100" si="21">+K69+O69</f>
        <v>1</v>
      </c>
      <c r="H69" s="74">
        <f t="shared" ref="H69:H100" si="22">+I69+J69+K69</f>
        <v>0</v>
      </c>
      <c r="I69" s="13">
        <v>0</v>
      </c>
      <c r="J69" s="13">
        <v>0</v>
      </c>
      <c r="K69" s="27">
        <v>0</v>
      </c>
      <c r="L69" s="73">
        <f t="shared" ref="L69:L100" si="23">+M69+N69+O69</f>
        <v>2</v>
      </c>
      <c r="M69" s="13">
        <v>1</v>
      </c>
      <c r="N69" s="13">
        <v>0</v>
      </c>
      <c r="O69" s="62">
        <v>1</v>
      </c>
    </row>
    <row r="70" spans="1:15">
      <c r="B70" s="70">
        <v>67</v>
      </c>
      <c r="C70" s="100" t="s">
        <v>313</v>
      </c>
      <c r="D70" s="73">
        <f t="shared" si="18"/>
        <v>2</v>
      </c>
      <c r="E70" s="13">
        <f t="shared" si="19"/>
        <v>1</v>
      </c>
      <c r="F70" s="13">
        <f t="shared" si="20"/>
        <v>0</v>
      </c>
      <c r="G70" s="62">
        <f t="shared" si="21"/>
        <v>1</v>
      </c>
      <c r="H70" s="74">
        <f t="shared" si="22"/>
        <v>1</v>
      </c>
      <c r="I70" s="13">
        <v>0</v>
      </c>
      <c r="J70" s="13">
        <v>0</v>
      </c>
      <c r="K70" s="27">
        <v>1</v>
      </c>
      <c r="L70" s="73">
        <f t="shared" si="23"/>
        <v>1</v>
      </c>
      <c r="M70" s="13">
        <v>1</v>
      </c>
      <c r="N70" s="13">
        <v>0</v>
      </c>
      <c r="O70" s="62">
        <v>0</v>
      </c>
    </row>
    <row r="71" spans="1:15">
      <c r="A71" s="39" t="s">
        <v>1505</v>
      </c>
      <c r="B71" s="70">
        <v>68</v>
      </c>
      <c r="C71" s="96" t="s">
        <v>287</v>
      </c>
      <c r="D71" s="73">
        <f t="shared" si="18"/>
        <v>1</v>
      </c>
      <c r="E71" s="13">
        <f t="shared" si="19"/>
        <v>0</v>
      </c>
      <c r="F71" s="13">
        <f t="shared" si="20"/>
        <v>0</v>
      </c>
      <c r="G71" s="62">
        <f t="shared" si="21"/>
        <v>1</v>
      </c>
      <c r="H71" s="74">
        <f t="shared" si="22"/>
        <v>0</v>
      </c>
      <c r="I71" s="13">
        <v>0</v>
      </c>
      <c r="J71" s="13">
        <v>0</v>
      </c>
      <c r="K71" s="27">
        <v>0</v>
      </c>
      <c r="L71" s="73">
        <f t="shared" si="23"/>
        <v>1</v>
      </c>
      <c r="M71" s="13">
        <v>0</v>
      </c>
      <c r="N71" s="13">
        <v>0</v>
      </c>
      <c r="O71" s="62">
        <v>1</v>
      </c>
    </row>
    <row r="72" spans="1:15">
      <c r="B72" s="70">
        <v>69</v>
      </c>
      <c r="C72" s="97" t="s">
        <v>314</v>
      </c>
      <c r="D72" s="73">
        <f t="shared" si="18"/>
        <v>1</v>
      </c>
      <c r="E72" s="13">
        <f t="shared" si="19"/>
        <v>1</v>
      </c>
      <c r="F72" s="13">
        <f t="shared" si="20"/>
        <v>0</v>
      </c>
      <c r="G72" s="62">
        <f t="shared" si="21"/>
        <v>0</v>
      </c>
      <c r="H72" s="74">
        <f t="shared" si="22"/>
        <v>1</v>
      </c>
      <c r="I72" s="13">
        <v>1</v>
      </c>
      <c r="J72" s="13">
        <v>0</v>
      </c>
      <c r="K72" s="27">
        <v>0</v>
      </c>
      <c r="L72" s="73">
        <f t="shared" si="23"/>
        <v>0</v>
      </c>
      <c r="M72" s="13">
        <v>0</v>
      </c>
      <c r="N72" s="13">
        <v>0</v>
      </c>
      <c r="O72" s="62">
        <v>0</v>
      </c>
    </row>
    <row r="73" spans="1:15">
      <c r="A73" s="39"/>
      <c r="B73" s="70">
        <v>70</v>
      </c>
      <c r="C73" s="96" t="s">
        <v>312</v>
      </c>
      <c r="D73" s="73">
        <f t="shared" si="18"/>
        <v>1</v>
      </c>
      <c r="E73" s="13">
        <f t="shared" si="19"/>
        <v>0</v>
      </c>
      <c r="F73" s="13">
        <f t="shared" si="20"/>
        <v>0</v>
      </c>
      <c r="G73" s="62">
        <f t="shared" si="21"/>
        <v>1</v>
      </c>
      <c r="H73" s="74">
        <f t="shared" si="22"/>
        <v>1</v>
      </c>
      <c r="I73" s="13">
        <v>0</v>
      </c>
      <c r="J73" s="13">
        <v>0</v>
      </c>
      <c r="K73" s="27">
        <v>1</v>
      </c>
      <c r="L73" s="73">
        <f t="shared" si="23"/>
        <v>0</v>
      </c>
      <c r="M73" s="13">
        <v>0</v>
      </c>
      <c r="N73" s="13">
        <v>0</v>
      </c>
      <c r="O73" s="62">
        <v>0</v>
      </c>
    </row>
    <row r="74" spans="1:15">
      <c r="B74" s="70">
        <v>71</v>
      </c>
      <c r="C74" s="95" t="s">
        <v>235</v>
      </c>
      <c r="D74" s="73">
        <f t="shared" si="18"/>
        <v>1</v>
      </c>
      <c r="E74" s="13">
        <f t="shared" si="19"/>
        <v>0</v>
      </c>
      <c r="F74" s="13">
        <f t="shared" si="20"/>
        <v>0</v>
      </c>
      <c r="G74" s="62">
        <f t="shared" si="21"/>
        <v>1</v>
      </c>
      <c r="H74" s="74">
        <f t="shared" si="22"/>
        <v>1</v>
      </c>
      <c r="I74" s="13">
        <v>0</v>
      </c>
      <c r="J74" s="13">
        <v>0</v>
      </c>
      <c r="K74" s="27">
        <v>1</v>
      </c>
      <c r="L74" s="73">
        <f t="shared" si="23"/>
        <v>0</v>
      </c>
      <c r="M74" s="13">
        <v>0</v>
      </c>
      <c r="N74" s="13">
        <v>0</v>
      </c>
      <c r="O74" s="62">
        <v>0</v>
      </c>
    </row>
    <row r="75" spans="1:15">
      <c r="A75" s="39"/>
      <c r="B75" s="70">
        <v>72</v>
      </c>
      <c r="C75" s="96" t="s">
        <v>296</v>
      </c>
      <c r="D75" s="73">
        <f t="shared" si="18"/>
        <v>1</v>
      </c>
      <c r="E75" s="13">
        <f t="shared" si="19"/>
        <v>0</v>
      </c>
      <c r="F75" s="13">
        <f t="shared" si="20"/>
        <v>0</v>
      </c>
      <c r="G75" s="62">
        <f t="shared" si="21"/>
        <v>1</v>
      </c>
      <c r="H75" s="74">
        <f t="shared" si="22"/>
        <v>1</v>
      </c>
      <c r="I75" s="13">
        <v>0</v>
      </c>
      <c r="J75" s="13">
        <v>0</v>
      </c>
      <c r="K75" s="27">
        <v>1</v>
      </c>
      <c r="L75" s="73">
        <f t="shared" si="23"/>
        <v>0</v>
      </c>
      <c r="M75" s="13">
        <v>0</v>
      </c>
      <c r="N75" s="13">
        <v>0</v>
      </c>
      <c r="O75" s="62">
        <v>0</v>
      </c>
    </row>
    <row r="76" spans="1:15">
      <c r="A76" s="39"/>
      <c r="B76" s="70">
        <v>73</v>
      </c>
      <c r="C76" s="97" t="s">
        <v>288</v>
      </c>
      <c r="D76" s="73">
        <f t="shared" si="18"/>
        <v>1</v>
      </c>
      <c r="E76" s="13">
        <f t="shared" si="19"/>
        <v>1</v>
      </c>
      <c r="F76" s="13">
        <f t="shared" si="20"/>
        <v>0</v>
      </c>
      <c r="G76" s="62">
        <f t="shared" si="21"/>
        <v>0</v>
      </c>
      <c r="H76" s="74">
        <f t="shared" si="22"/>
        <v>1</v>
      </c>
      <c r="I76" s="13">
        <v>1</v>
      </c>
      <c r="J76" s="13">
        <v>0</v>
      </c>
      <c r="K76" s="27">
        <v>0</v>
      </c>
      <c r="L76" s="73">
        <f t="shared" si="23"/>
        <v>0</v>
      </c>
      <c r="M76" s="13">
        <v>0</v>
      </c>
      <c r="N76" s="13">
        <v>0</v>
      </c>
      <c r="O76" s="62">
        <v>0</v>
      </c>
    </row>
    <row r="77" spans="1:15">
      <c r="B77" s="70">
        <v>74</v>
      </c>
      <c r="C77" s="95" t="s">
        <v>270</v>
      </c>
      <c r="D77" s="73">
        <f t="shared" si="18"/>
        <v>1</v>
      </c>
      <c r="E77" s="13">
        <f t="shared" si="19"/>
        <v>0</v>
      </c>
      <c r="F77" s="13">
        <f t="shared" si="20"/>
        <v>0</v>
      </c>
      <c r="G77" s="62">
        <f t="shared" si="21"/>
        <v>1</v>
      </c>
      <c r="H77" s="74">
        <f t="shared" si="22"/>
        <v>0</v>
      </c>
      <c r="I77" s="13">
        <v>0</v>
      </c>
      <c r="J77" s="13">
        <v>0</v>
      </c>
      <c r="K77" s="27">
        <v>0</v>
      </c>
      <c r="L77" s="73">
        <f t="shared" si="23"/>
        <v>1</v>
      </c>
      <c r="M77" s="13">
        <v>0</v>
      </c>
      <c r="N77" s="13">
        <v>0</v>
      </c>
      <c r="O77" s="62">
        <v>1</v>
      </c>
    </row>
    <row r="78" spans="1:15">
      <c r="B78" s="70">
        <v>75</v>
      </c>
      <c r="C78" s="97" t="s">
        <v>320</v>
      </c>
      <c r="D78" s="73">
        <f t="shared" si="18"/>
        <v>1</v>
      </c>
      <c r="E78" s="13">
        <f t="shared" si="19"/>
        <v>1</v>
      </c>
      <c r="F78" s="13">
        <f t="shared" si="20"/>
        <v>0</v>
      </c>
      <c r="G78" s="62">
        <f t="shared" si="21"/>
        <v>0</v>
      </c>
      <c r="H78" s="74">
        <f t="shared" si="22"/>
        <v>0</v>
      </c>
      <c r="I78" s="13">
        <v>0</v>
      </c>
      <c r="J78" s="13">
        <v>0</v>
      </c>
      <c r="K78" s="27">
        <v>0</v>
      </c>
      <c r="L78" s="73">
        <f t="shared" si="23"/>
        <v>1</v>
      </c>
      <c r="M78" s="13">
        <v>1</v>
      </c>
      <c r="N78" s="13">
        <v>0</v>
      </c>
      <c r="O78" s="62">
        <v>0</v>
      </c>
    </row>
    <row r="79" spans="1:15">
      <c r="B79" s="70">
        <v>75</v>
      </c>
      <c r="C79" s="97" t="s">
        <v>295</v>
      </c>
      <c r="D79" s="73">
        <f t="shared" si="18"/>
        <v>1</v>
      </c>
      <c r="E79" s="13">
        <f t="shared" si="19"/>
        <v>1</v>
      </c>
      <c r="F79" s="13">
        <f t="shared" si="20"/>
        <v>0</v>
      </c>
      <c r="G79" s="62">
        <f t="shared" si="21"/>
        <v>0</v>
      </c>
      <c r="H79" s="74">
        <f t="shared" si="22"/>
        <v>0</v>
      </c>
      <c r="I79" s="13">
        <v>0</v>
      </c>
      <c r="J79" s="13">
        <v>0</v>
      </c>
      <c r="K79" s="27">
        <v>0</v>
      </c>
      <c r="L79" s="73">
        <f t="shared" si="23"/>
        <v>1</v>
      </c>
      <c r="M79" s="13">
        <v>1</v>
      </c>
      <c r="N79" s="13">
        <v>0</v>
      </c>
      <c r="O79" s="62">
        <v>0</v>
      </c>
    </row>
    <row r="80" spans="1:15">
      <c r="B80" s="70">
        <v>76</v>
      </c>
      <c r="C80" s="96" t="s">
        <v>318</v>
      </c>
      <c r="D80" s="73">
        <f t="shared" si="18"/>
        <v>1</v>
      </c>
      <c r="E80" s="13">
        <f t="shared" si="19"/>
        <v>0</v>
      </c>
      <c r="F80" s="13">
        <f t="shared" si="20"/>
        <v>0</v>
      </c>
      <c r="G80" s="62">
        <f t="shared" si="21"/>
        <v>1</v>
      </c>
      <c r="H80" s="74">
        <f t="shared" si="22"/>
        <v>0</v>
      </c>
      <c r="I80" s="13">
        <v>0</v>
      </c>
      <c r="J80" s="13">
        <v>0</v>
      </c>
      <c r="K80" s="27">
        <v>0</v>
      </c>
      <c r="L80" s="73">
        <f t="shared" si="23"/>
        <v>1</v>
      </c>
      <c r="M80" s="13">
        <v>0</v>
      </c>
      <c r="N80" s="13">
        <v>0</v>
      </c>
      <c r="O80" s="62">
        <v>1</v>
      </c>
    </row>
    <row r="81" spans="1:15">
      <c r="B81" s="70">
        <v>77</v>
      </c>
      <c r="C81" s="97" t="s">
        <v>291</v>
      </c>
      <c r="D81" s="73">
        <f t="shared" si="18"/>
        <v>1</v>
      </c>
      <c r="E81" s="13">
        <f t="shared" si="19"/>
        <v>1</v>
      </c>
      <c r="F81" s="13">
        <f t="shared" si="20"/>
        <v>0</v>
      </c>
      <c r="G81" s="62">
        <f t="shared" si="21"/>
        <v>0</v>
      </c>
      <c r="H81" s="74">
        <f t="shared" si="22"/>
        <v>1</v>
      </c>
      <c r="I81" s="13">
        <v>1</v>
      </c>
      <c r="J81" s="13">
        <v>0</v>
      </c>
      <c r="K81" s="27">
        <v>0</v>
      </c>
      <c r="L81" s="73">
        <f t="shared" si="23"/>
        <v>0</v>
      </c>
      <c r="M81" s="13">
        <v>0</v>
      </c>
      <c r="N81" s="13">
        <v>0</v>
      </c>
      <c r="O81" s="62">
        <v>0</v>
      </c>
    </row>
    <row r="82" spans="1:15">
      <c r="A82" s="39" t="s">
        <v>1505</v>
      </c>
      <c r="B82" s="70">
        <v>78</v>
      </c>
      <c r="C82" s="97" t="s">
        <v>371</v>
      </c>
      <c r="D82" s="73">
        <f t="shared" si="18"/>
        <v>1</v>
      </c>
      <c r="E82" s="13">
        <f t="shared" si="19"/>
        <v>1</v>
      </c>
      <c r="F82" s="13">
        <f t="shared" si="20"/>
        <v>0</v>
      </c>
      <c r="G82" s="62">
        <f t="shared" si="21"/>
        <v>0</v>
      </c>
      <c r="H82" s="74">
        <f t="shared" si="22"/>
        <v>0</v>
      </c>
      <c r="I82" s="13">
        <v>0</v>
      </c>
      <c r="J82" s="13">
        <v>0</v>
      </c>
      <c r="K82" s="27">
        <v>0</v>
      </c>
      <c r="L82" s="73">
        <f t="shared" si="23"/>
        <v>1</v>
      </c>
      <c r="M82" s="13">
        <v>1</v>
      </c>
      <c r="N82" s="13">
        <v>0</v>
      </c>
      <c r="O82" s="62">
        <v>0</v>
      </c>
    </row>
    <row r="83" spans="1:15">
      <c r="B83" s="70">
        <v>79</v>
      </c>
      <c r="C83" s="95" t="s">
        <v>271</v>
      </c>
      <c r="D83" s="73">
        <f t="shared" si="18"/>
        <v>1</v>
      </c>
      <c r="E83" s="13">
        <f t="shared" si="19"/>
        <v>0</v>
      </c>
      <c r="F83" s="13">
        <f t="shared" si="20"/>
        <v>0</v>
      </c>
      <c r="G83" s="62">
        <f t="shared" si="21"/>
        <v>1</v>
      </c>
      <c r="H83" s="74">
        <f t="shared" si="22"/>
        <v>1</v>
      </c>
      <c r="I83" s="13">
        <v>0</v>
      </c>
      <c r="J83" s="13">
        <v>0</v>
      </c>
      <c r="K83" s="27">
        <v>1</v>
      </c>
      <c r="L83" s="73">
        <f t="shared" si="23"/>
        <v>0</v>
      </c>
      <c r="M83" s="13">
        <v>0</v>
      </c>
      <c r="N83" s="13">
        <v>0</v>
      </c>
      <c r="O83" s="62">
        <v>0</v>
      </c>
    </row>
    <row r="84" spans="1:15">
      <c r="B84" s="70">
        <v>80</v>
      </c>
      <c r="C84" s="96" t="s">
        <v>283</v>
      </c>
      <c r="D84" s="73">
        <f t="shared" si="18"/>
        <v>1</v>
      </c>
      <c r="E84" s="13">
        <f t="shared" si="19"/>
        <v>0</v>
      </c>
      <c r="F84" s="13">
        <f t="shared" si="20"/>
        <v>0</v>
      </c>
      <c r="G84" s="62">
        <f t="shared" si="21"/>
        <v>1</v>
      </c>
      <c r="H84" s="74">
        <f t="shared" si="22"/>
        <v>0</v>
      </c>
      <c r="I84" s="13">
        <v>0</v>
      </c>
      <c r="J84" s="13">
        <v>0</v>
      </c>
      <c r="K84" s="27">
        <v>0</v>
      </c>
      <c r="L84" s="73">
        <f t="shared" si="23"/>
        <v>1</v>
      </c>
      <c r="M84" s="13">
        <v>0</v>
      </c>
      <c r="N84" s="13">
        <v>0</v>
      </c>
      <c r="O84" s="62">
        <v>1</v>
      </c>
    </row>
    <row r="85" spans="1:15">
      <c r="B85" s="70">
        <v>81</v>
      </c>
      <c r="C85" s="97" t="s">
        <v>272</v>
      </c>
      <c r="D85" s="73">
        <f t="shared" si="18"/>
        <v>1</v>
      </c>
      <c r="E85" s="13">
        <f t="shared" si="19"/>
        <v>1</v>
      </c>
      <c r="F85" s="13">
        <f t="shared" si="20"/>
        <v>0</v>
      </c>
      <c r="G85" s="62">
        <f t="shared" si="21"/>
        <v>0</v>
      </c>
      <c r="H85" s="74">
        <f t="shared" si="22"/>
        <v>0</v>
      </c>
      <c r="I85" s="13">
        <v>0</v>
      </c>
      <c r="J85" s="13">
        <v>0</v>
      </c>
      <c r="K85" s="27">
        <v>0</v>
      </c>
      <c r="L85" s="73">
        <f t="shared" si="23"/>
        <v>1</v>
      </c>
      <c r="M85" s="13">
        <v>1</v>
      </c>
      <c r="N85" s="13">
        <v>0</v>
      </c>
      <c r="O85" s="62">
        <v>0</v>
      </c>
    </row>
    <row r="86" spans="1:15">
      <c r="B86" s="70">
        <v>82</v>
      </c>
      <c r="C86" s="97" t="s">
        <v>285</v>
      </c>
      <c r="D86" s="73">
        <f t="shared" si="18"/>
        <v>1</v>
      </c>
      <c r="E86" s="13">
        <f t="shared" si="19"/>
        <v>1</v>
      </c>
      <c r="F86" s="13">
        <f t="shared" si="20"/>
        <v>0</v>
      </c>
      <c r="G86" s="62">
        <f t="shared" si="21"/>
        <v>0</v>
      </c>
      <c r="H86" s="74">
        <f t="shared" si="22"/>
        <v>1</v>
      </c>
      <c r="I86" s="13">
        <v>1</v>
      </c>
      <c r="J86" s="13">
        <v>0</v>
      </c>
      <c r="K86" s="27">
        <v>0</v>
      </c>
      <c r="L86" s="73">
        <f t="shared" si="23"/>
        <v>0</v>
      </c>
      <c r="M86" s="13">
        <v>0</v>
      </c>
      <c r="N86" s="13">
        <v>0</v>
      </c>
      <c r="O86" s="62">
        <v>0</v>
      </c>
    </row>
    <row r="87" spans="1:15">
      <c r="B87" s="70">
        <v>83</v>
      </c>
      <c r="C87" s="96" t="s">
        <v>284</v>
      </c>
      <c r="D87" s="73">
        <f t="shared" si="18"/>
        <v>1</v>
      </c>
      <c r="E87" s="13">
        <f t="shared" si="19"/>
        <v>0</v>
      </c>
      <c r="F87" s="13">
        <f t="shared" si="20"/>
        <v>0</v>
      </c>
      <c r="G87" s="62">
        <f t="shared" si="21"/>
        <v>1</v>
      </c>
      <c r="H87" s="74">
        <f t="shared" si="22"/>
        <v>1</v>
      </c>
      <c r="I87" s="13">
        <v>0</v>
      </c>
      <c r="J87" s="13">
        <v>0</v>
      </c>
      <c r="K87" s="27">
        <v>1</v>
      </c>
      <c r="L87" s="73">
        <f t="shared" si="23"/>
        <v>0</v>
      </c>
      <c r="M87" s="13">
        <v>0</v>
      </c>
      <c r="N87" s="13">
        <v>0</v>
      </c>
      <c r="O87" s="62">
        <v>0</v>
      </c>
    </row>
    <row r="88" spans="1:15">
      <c r="B88" s="70">
        <v>84</v>
      </c>
      <c r="C88" s="97" t="s">
        <v>345</v>
      </c>
      <c r="D88" s="73">
        <f t="shared" si="18"/>
        <v>1</v>
      </c>
      <c r="E88" s="13">
        <f t="shared" si="19"/>
        <v>1</v>
      </c>
      <c r="F88" s="13">
        <f t="shared" si="20"/>
        <v>0</v>
      </c>
      <c r="G88" s="62">
        <f t="shared" si="21"/>
        <v>0</v>
      </c>
      <c r="H88" s="74">
        <f t="shared" si="22"/>
        <v>0</v>
      </c>
      <c r="I88" s="13">
        <v>0</v>
      </c>
      <c r="J88" s="13">
        <v>0</v>
      </c>
      <c r="K88" s="27">
        <v>0</v>
      </c>
      <c r="L88" s="73">
        <f t="shared" si="23"/>
        <v>1</v>
      </c>
      <c r="M88" s="13">
        <v>1</v>
      </c>
      <c r="N88" s="13">
        <v>0</v>
      </c>
      <c r="O88" s="62">
        <v>0</v>
      </c>
    </row>
    <row r="89" spans="1:15">
      <c r="A89" s="39" t="s">
        <v>1505</v>
      </c>
      <c r="B89" s="70">
        <v>85</v>
      </c>
      <c r="C89" s="96" t="s">
        <v>311</v>
      </c>
      <c r="D89" s="73">
        <f t="shared" si="18"/>
        <v>1</v>
      </c>
      <c r="E89" s="13">
        <f t="shared" si="19"/>
        <v>0</v>
      </c>
      <c r="F89" s="13">
        <f t="shared" si="20"/>
        <v>0</v>
      </c>
      <c r="G89" s="62">
        <f t="shared" si="21"/>
        <v>1</v>
      </c>
      <c r="H89" s="74">
        <f t="shared" si="22"/>
        <v>0</v>
      </c>
      <c r="I89" s="13">
        <v>0</v>
      </c>
      <c r="J89" s="13">
        <v>0</v>
      </c>
      <c r="K89" s="27">
        <v>0</v>
      </c>
      <c r="L89" s="73">
        <f t="shared" si="23"/>
        <v>1</v>
      </c>
      <c r="M89" s="13">
        <v>0</v>
      </c>
      <c r="N89" s="13">
        <v>0</v>
      </c>
      <c r="O89" s="62">
        <v>1</v>
      </c>
    </row>
    <row r="90" spans="1:15">
      <c r="B90" s="70">
        <v>86</v>
      </c>
      <c r="C90" s="96" t="s">
        <v>324</v>
      </c>
      <c r="D90" s="73">
        <f t="shared" si="18"/>
        <v>1</v>
      </c>
      <c r="E90" s="13">
        <f t="shared" si="19"/>
        <v>0</v>
      </c>
      <c r="F90" s="13">
        <f t="shared" si="20"/>
        <v>0</v>
      </c>
      <c r="G90" s="62">
        <f t="shared" si="21"/>
        <v>1</v>
      </c>
      <c r="H90" s="74">
        <f t="shared" si="22"/>
        <v>0</v>
      </c>
      <c r="I90" s="13">
        <v>0</v>
      </c>
      <c r="J90" s="13">
        <v>0</v>
      </c>
      <c r="K90" s="27">
        <v>0</v>
      </c>
      <c r="L90" s="73">
        <f t="shared" si="23"/>
        <v>1</v>
      </c>
      <c r="M90" s="13">
        <v>0</v>
      </c>
      <c r="N90" s="13">
        <v>0</v>
      </c>
      <c r="O90" s="62">
        <v>1</v>
      </c>
    </row>
    <row r="91" spans="1:15">
      <c r="B91" s="70">
        <v>87</v>
      </c>
      <c r="C91" s="96" t="s">
        <v>306</v>
      </c>
      <c r="D91" s="73">
        <f t="shared" si="18"/>
        <v>1</v>
      </c>
      <c r="E91" s="13">
        <f t="shared" si="19"/>
        <v>0</v>
      </c>
      <c r="F91" s="13">
        <f t="shared" si="20"/>
        <v>0</v>
      </c>
      <c r="G91" s="62">
        <f t="shared" si="21"/>
        <v>1</v>
      </c>
      <c r="H91" s="74">
        <f t="shared" si="22"/>
        <v>1</v>
      </c>
      <c r="I91" s="13">
        <v>0</v>
      </c>
      <c r="J91" s="13">
        <v>0</v>
      </c>
      <c r="K91" s="27">
        <v>1</v>
      </c>
      <c r="L91" s="73">
        <f t="shared" si="23"/>
        <v>0</v>
      </c>
      <c r="M91" s="13">
        <v>0</v>
      </c>
      <c r="N91" s="13">
        <v>0</v>
      </c>
      <c r="O91" s="62">
        <v>0</v>
      </c>
    </row>
    <row r="92" spans="1:15">
      <c r="B92" s="70">
        <v>88</v>
      </c>
      <c r="C92" s="97" t="s">
        <v>281</v>
      </c>
      <c r="D92" s="73">
        <f t="shared" si="18"/>
        <v>1</v>
      </c>
      <c r="E92" s="13">
        <f t="shared" si="19"/>
        <v>1</v>
      </c>
      <c r="F92" s="13">
        <f t="shared" si="20"/>
        <v>0</v>
      </c>
      <c r="G92" s="62">
        <f t="shared" si="21"/>
        <v>0</v>
      </c>
      <c r="H92" s="74">
        <f t="shared" si="22"/>
        <v>1</v>
      </c>
      <c r="I92" s="13">
        <v>1</v>
      </c>
      <c r="J92" s="13">
        <v>0</v>
      </c>
      <c r="K92" s="27">
        <v>0</v>
      </c>
      <c r="L92" s="73">
        <f t="shared" si="23"/>
        <v>0</v>
      </c>
      <c r="M92" s="13">
        <v>0</v>
      </c>
      <c r="N92" s="13">
        <v>0</v>
      </c>
      <c r="O92" s="62">
        <v>0</v>
      </c>
    </row>
    <row r="93" spans="1:15">
      <c r="A93" s="39" t="s">
        <v>1505</v>
      </c>
      <c r="B93" s="70">
        <v>89</v>
      </c>
      <c r="C93" s="97" t="s">
        <v>301</v>
      </c>
      <c r="D93" s="73">
        <f t="shared" si="18"/>
        <v>1</v>
      </c>
      <c r="E93" s="13">
        <f t="shared" si="19"/>
        <v>1</v>
      </c>
      <c r="F93" s="13">
        <f t="shared" si="20"/>
        <v>0</v>
      </c>
      <c r="G93" s="62">
        <f t="shared" si="21"/>
        <v>0</v>
      </c>
      <c r="H93" s="74">
        <f t="shared" si="22"/>
        <v>0</v>
      </c>
      <c r="I93" s="13">
        <v>0</v>
      </c>
      <c r="J93" s="13">
        <v>0</v>
      </c>
      <c r="K93" s="27">
        <v>0</v>
      </c>
      <c r="L93" s="73">
        <f t="shared" si="23"/>
        <v>1</v>
      </c>
      <c r="M93" s="13">
        <v>1</v>
      </c>
      <c r="N93" s="13">
        <v>0</v>
      </c>
      <c r="O93" s="62">
        <v>0</v>
      </c>
    </row>
    <row r="94" spans="1:15">
      <c r="A94" s="39" t="s">
        <v>1505</v>
      </c>
      <c r="B94" s="70">
        <v>90</v>
      </c>
      <c r="C94" s="96" t="s">
        <v>290</v>
      </c>
      <c r="D94" s="73">
        <f t="shared" si="18"/>
        <v>1</v>
      </c>
      <c r="E94" s="13">
        <f t="shared" si="19"/>
        <v>0</v>
      </c>
      <c r="F94" s="13">
        <f t="shared" si="20"/>
        <v>0</v>
      </c>
      <c r="G94" s="62">
        <f t="shared" si="21"/>
        <v>1</v>
      </c>
      <c r="H94" s="74">
        <f t="shared" si="22"/>
        <v>1</v>
      </c>
      <c r="I94" s="13">
        <v>0</v>
      </c>
      <c r="J94" s="13">
        <v>0</v>
      </c>
      <c r="K94" s="27">
        <v>1</v>
      </c>
      <c r="L94" s="73">
        <f t="shared" si="23"/>
        <v>0</v>
      </c>
      <c r="M94" s="13">
        <v>0</v>
      </c>
      <c r="N94" s="13">
        <v>0</v>
      </c>
      <c r="O94" s="62">
        <v>0</v>
      </c>
    </row>
    <row r="95" spans="1:15">
      <c r="B95" s="70">
        <v>91</v>
      </c>
      <c r="C95" s="97" t="s">
        <v>1377</v>
      </c>
      <c r="D95" s="73">
        <f t="shared" si="18"/>
        <v>1</v>
      </c>
      <c r="E95" s="13">
        <f t="shared" si="19"/>
        <v>1</v>
      </c>
      <c r="F95" s="13">
        <f t="shared" si="20"/>
        <v>0</v>
      </c>
      <c r="G95" s="62">
        <f t="shared" si="21"/>
        <v>0</v>
      </c>
      <c r="H95" s="74">
        <f t="shared" si="22"/>
        <v>0</v>
      </c>
      <c r="I95" s="13">
        <v>0</v>
      </c>
      <c r="J95" s="13">
        <v>0</v>
      </c>
      <c r="K95" s="27">
        <v>0</v>
      </c>
      <c r="L95" s="73">
        <f t="shared" si="23"/>
        <v>1</v>
      </c>
      <c r="M95" s="13">
        <v>1</v>
      </c>
      <c r="N95" s="13">
        <v>0</v>
      </c>
      <c r="O95" s="62">
        <v>0</v>
      </c>
    </row>
    <row r="96" spans="1:15">
      <c r="B96" s="70">
        <v>92</v>
      </c>
      <c r="C96" s="97" t="s">
        <v>279</v>
      </c>
      <c r="D96" s="73">
        <f t="shared" si="18"/>
        <v>1</v>
      </c>
      <c r="E96" s="13">
        <f t="shared" si="19"/>
        <v>1</v>
      </c>
      <c r="F96" s="13">
        <f t="shared" si="20"/>
        <v>0</v>
      </c>
      <c r="G96" s="62">
        <f t="shared" si="21"/>
        <v>0</v>
      </c>
      <c r="H96" s="74">
        <f t="shared" si="22"/>
        <v>1</v>
      </c>
      <c r="I96" s="13">
        <v>1</v>
      </c>
      <c r="J96" s="13">
        <v>0</v>
      </c>
      <c r="K96" s="27">
        <v>0</v>
      </c>
      <c r="L96" s="73">
        <f t="shared" si="23"/>
        <v>0</v>
      </c>
      <c r="M96" s="13">
        <v>0</v>
      </c>
      <c r="N96" s="13">
        <v>0</v>
      </c>
      <c r="O96" s="62">
        <v>0</v>
      </c>
    </row>
    <row r="97" spans="1:15">
      <c r="A97" s="39" t="s">
        <v>1505</v>
      </c>
      <c r="B97" s="70">
        <v>93</v>
      </c>
      <c r="C97" s="100" t="s">
        <v>1501</v>
      </c>
      <c r="D97" s="73">
        <f t="shared" si="18"/>
        <v>1</v>
      </c>
      <c r="E97" s="13">
        <f t="shared" si="19"/>
        <v>0</v>
      </c>
      <c r="F97" s="13">
        <f t="shared" si="20"/>
        <v>1</v>
      </c>
      <c r="G97" s="62">
        <f t="shared" si="21"/>
        <v>0</v>
      </c>
      <c r="H97" s="74">
        <f t="shared" si="22"/>
        <v>1</v>
      </c>
      <c r="I97" s="13">
        <v>0</v>
      </c>
      <c r="J97" s="13">
        <v>1</v>
      </c>
      <c r="K97" s="27">
        <v>0</v>
      </c>
      <c r="L97" s="73">
        <f t="shared" si="23"/>
        <v>0</v>
      </c>
      <c r="M97" s="13">
        <v>0</v>
      </c>
      <c r="N97" s="13">
        <v>0</v>
      </c>
      <c r="O97" s="62">
        <v>0</v>
      </c>
    </row>
    <row r="98" spans="1:15">
      <c r="B98" s="70">
        <v>94</v>
      </c>
      <c r="C98" s="97" t="s">
        <v>276</v>
      </c>
      <c r="D98" s="73">
        <f t="shared" si="18"/>
        <v>1</v>
      </c>
      <c r="E98" s="13">
        <f t="shared" si="19"/>
        <v>1</v>
      </c>
      <c r="F98" s="13">
        <f t="shared" si="20"/>
        <v>0</v>
      </c>
      <c r="G98" s="62">
        <f t="shared" si="21"/>
        <v>0</v>
      </c>
      <c r="H98" s="74">
        <f t="shared" si="22"/>
        <v>0</v>
      </c>
      <c r="I98" s="13">
        <v>0</v>
      </c>
      <c r="J98" s="13">
        <v>0</v>
      </c>
      <c r="K98" s="27">
        <v>0</v>
      </c>
      <c r="L98" s="73">
        <f t="shared" si="23"/>
        <v>1</v>
      </c>
      <c r="M98" s="13">
        <v>1</v>
      </c>
      <c r="N98" s="13">
        <v>0</v>
      </c>
      <c r="O98" s="62">
        <v>0</v>
      </c>
    </row>
    <row r="99" spans="1:15">
      <c r="B99" s="70">
        <v>95</v>
      </c>
      <c r="C99" s="97" t="s">
        <v>277</v>
      </c>
      <c r="D99" s="73">
        <f t="shared" si="18"/>
        <v>1</v>
      </c>
      <c r="E99" s="13">
        <f t="shared" si="19"/>
        <v>1</v>
      </c>
      <c r="F99" s="13">
        <f t="shared" si="20"/>
        <v>0</v>
      </c>
      <c r="G99" s="62">
        <f t="shared" si="21"/>
        <v>0</v>
      </c>
      <c r="H99" s="74">
        <f t="shared" si="22"/>
        <v>1</v>
      </c>
      <c r="I99" s="13">
        <v>1</v>
      </c>
      <c r="J99" s="13">
        <v>0</v>
      </c>
      <c r="K99" s="27">
        <v>0</v>
      </c>
      <c r="L99" s="73">
        <f t="shared" si="23"/>
        <v>0</v>
      </c>
      <c r="M99" s="13">
        <v>0</v>
      </c>
      <c r="N99" s="13">
        <v>0</v>
      </c>
      <c r="O99" s="62">
        <v>0</v>
      </c>
    </row>
    <row r="100" spans="1:15">
      <c r="B100" s="70">
        <v>96</v>
      </c>
      <c r="C100" s="97" t="s">
        <v>294</v>
      </c>
      <c r="D100" s="73">
        <f t="shared" si="18"/>
        <v>1</v>
      </c>
      <c r="E100" s="13">
        <f t="shared" si="19"/>
        <v>1</v>
      </c>
      <c r="F100" s="13">
        <f t="shared" si="20"/>
        <v>0</v>
      </c>
      <c r="G100" s="62">
        <f t="shared" si="21"/>
        <v>0</v>
      </c>
      <c r="H100" s="74">
        <f t="shared" si="22"/>
        <v>0</v>
      </c>
      <c r="I100" s="13">
        <v>0</v>
      </c>
      <c r="J100" s="13">
        <v>0</v>
      </c>
      <c r="K100" s="27">
        <v>0</v>
      </c>
      <c r="L100" s="73">
        <f t="shared" si="23"/>
        <v>1</v>
      </c>
      <c r="M100" s="13">
        <v>1</v>
      </c>
      <c r="N100" s="13">
        <v>0</v>
      </c>
      <c r="O100" s="62">
        <v>0</v>
      </c>
    </row>
    <row r="101" spans="1:15">
      <c r="B101" s="70">
        <v>97</v>
      </c>
      <c r="C101" s="96" t="s">
        <v>257</v>
      </c>
      <c r="D101" s="73">
        <f t="shared" ref="D101:D108" si="24">+H101+L101</f>
        <v>1</v>
      </c>
      <c r="E101" s="13">
        <f t="shared" ref="E101:E108" si="25">+I101+M101</f>
        <v>0</v>
      </c>
      <c r="F101" s="13">
        <f t="shared" ref="F101:F108" si="26">+J101+N101</f>
        <v>0</v>
      </c>
      <c r="G101" s="62">
        <f t="shared" ref="G101:G108" si="27">+K101+O101</f>
        <v>1</v>
      </c>
      <c r="H101" s="74">
        <f t="shared" ref="H101:H134" si="28">+I101+J101+K101</f>
        <v>1</v>
      </c>
      <c r="I101" s="13">
        <v>0</v>
      </c>
      <c r="J101" s="13">
        <v>0</v>
      </c>
      <c r="K101" s="27">
        <v>1</v>
      </c>
      <c r="L101" s="73">
        <f t="shared" ref="L101:L134" si="29">+M101+N101+O101</f>
        <v>0</v>
      </c>
      <c r="M101" s="13">
        <v>0</v>
      </c>
      <c r="N101" s="13">
        <v>0</v>
      </c>
      <c r="O101" s="62">
        <v>0</v>
      </c>
    </row>
    <row r="102" spans="1:15">
      <c r="B102" s="70">
        <v>98</v>
      </c>
      <c r="C102" s="96" t="s">
        <v>252</v>
      </c>
      <c r="D102" s="73">
        <f t="shared" si="24"/>
        <v>1</v>
      </c>
      <c r="E102" s="13">
        <f t="shared" si="25"/>
        <v>0</v>
      </c>
      <c r="F102" s="13">
        <f t="shared" si="26"/>
        <v>0</v>
      </c>
      <c r="G102" s="62">
        <f t="shared" si="27"/>
        <v>1</v>
      </c>
      <c r="H102" s="74">
        <f t="shared" si="28"/>
        <v>0</v>
      </c>
      <c r="I102" s="13">
        <v>0</v>
      </c>
      <c r="J102" s="13">
        <v>0</v>
      </c>
      <c r="K102" s="27">
        <v>0</v>
      </c>
      <c r="L102" s="73">
        <f t="shared" si="29"/>
        <v>1</v>
      </c>
      <c r="M102" s="13">
        <v>0</v>
      </c>
      <c r="N102" s="13">
        <v>0</v>
      </c>
      <c r="O102" s="62">
        <v>1</v>
      </c>
    </row>
    <row r="103" spans="1:15">
      <c r="B103" s="70">
        <v>99</v>
      </c>
      <c r="C103" s="97" t="s">
        <v>323</v>
      </c>
      <c r="D103" s="73">
        <f t="shared" si="24"/>
        <v>1</v>
      </c>
      <c r="E103" s="13">
        <f t="shared" si="25"/>
        <v>1</v>
      </c>
      <c r="F103" s="13">
        <f t="shared" si="26"/>
        <v>0</v>
      </c>
      <c r="G103" s="62">
        <f t="shared" si="27"/>
        <v>0</v>
      </c>
      <c r="H103" s="74">
        <f t="shared" si="28"/>
        <v>0</v>
      </c>
      <c r="I103" s="13">
        <v>0</v>
      </c>
      <c r="J103" s="13">
        <v>0</v>
      </c>
      <c r="K103" s="27">
        <v>0</v>
      </c>
      <c r="L103" s="73">
        <f t="shared" si="29"/>
        <v>1</v>
      </c>
      <c r="M103" s="13">
        <v>1</v>
      </c>
      <c r="N103" s="13">
        <v>0</v>
      </c>
      <c r="O103" s="62">
        <v>0</v>
      </c>
    </row>
    <row r="104" spans="1:15">
      <c r="B104" s="70">
        <v>100</v>
      </c>
      <c r="C104" s="97" t="s">
        <v>1104</v>
      </c>
      <c r="D104" s="73">
        <f t="shared" si="24"/>
        <v>1</v>
      </c>
      <c r="E104" s="13">
        <f t="shared" si="25"/>
        <v>1</v>
      </c>
      <c r="F104" s="13">
        <f t="shared" si="26"/>
        <v>0</v>
      </c>
      <c r="G104" s="62">
        <f t="shared" si="27"/>
        <v>0</v>
      </c>
      <c r="H104" s="74">
        <f t="shared" si="28"/>
        <v>0</v>
      </c>
      <c r="I104" s="13">
        <v>0</v>
      </c>
      <c r="J104" s="13">
        <v>0</v>
      </c>
      <c r="K104" s="27">
        <v>0</v>
      </c>
      <c r="L104" s="73">
        <f t="shared" si="29"/>
        <v>1</v>
      </c>
      <c r="M104" s="13">
        <v>1</v>
      </c>
      <c r="N104" s="13">
        <v>0</v>
      </c>
      <c r="O104" s="62">
        <v>0</v>
      </c>
    </row>
    <row r="105" spans="1:15">
      <c r="B105" s="70">
        <v>101</v>
      </c>
      <c r="C105" s="96" t="s">
        <v>1515</v>
      </c>
      <c r="D105" s="73">
        <f t="shared" si="24"/>
        <v>1</v>
      </c>
      <c r="E105" s="13">
        <f t="shared" si="25"/>
        <v>0</v>
      </c>
      <c r="F105" s="13">
        <f t="shared" si="26"/>
        <v>0</v>
      </c>
      <c r="G105" s="62">
        <f t="shared" si="27"/>
        <v>1</v>
      </c>
      <c r="H105" s="74">
        <f t="shared" si="28"/>
        <v>1</v>
      </c>
      <c r="I105" s="13">
        <v>0</v>
      </c>
      <c r="J105" s="13">
        <v>0</v>
      </c>
      <c r="K105" s="27">
        <v>1</v>
      </c>
      <c r="L105" s="73">
        <f t="shared" si="29"/>
        <v>0</v>
      </c>
      <c r="M105" s="13">
        <v>0</v>
      </c>
      <c r="N105" s="13">
        <v>0</v>
      </c>
      <c r="O105" s="62">
        <v>0</v>
      </c>
    </row>
    <row r="106" spans="1:15">
      <c r="B106" s="70">
        <v>102</v>
      </c>
      <c r="C106" s="96" t="s">
        <v>1558</v>
      </c>
      <c r="D106" s="73">
        <f t="shared" ref="D106" si="30">+H106+L106</f>
        <v>1</v>
      </c>
      <c r="E106" s="13">
        <f t="shared" ref="E106" si="31">+I106+M106</f>
        <v>0</v>
      </c>
      <c r="F106" s="13">
        <f t="shared" ref="F106" si="32">+J106+N106</f>
        <v>0</v>
      </c>
      <c r="G106" s="62">
        <f t="shared" ref="G106" si="33">+K106+O106</f>
        <v>1</v>
      </c>
      <c r="H106" s="74">
        <f t="shared" ref="H106" si="34">+I106+J106+K106</f>
        <v>0</v>
      </c>
      <c r="I106" s="13">
        <v>0</v>
      </c>
      <c r="J106" s="13">
        <v>0</v>
      </c>
      <c r="K106" s="27">
        <v>0</v>
      </c>
      <c r="L106" s="73">
        <f t="shared" ref="L106" si="35">+M106+N106+O106</f>
        <v>1</v>
      </c>
      <c r="M106" s="13">
        <v>0</v>
      </c>
      <c r="N106" s="13">
        <v>0</v>
      </c>
      <c r="O106" s="62">
        <v>1</v>
      </c>
    </row>
    <row r="107" spans="1:15">
      <c r="B107" s="70">
        <v>103</v>
      </c>
      <c r="C107" s="96" t="s">
        <v>1562</v>
      </c>
      <c r="D107" s="73">
        <f t="shared" ref="D107" si="36">+H107+L107</f>
        <v>1</v>
      </c>
      <c r="E107" s="13">
        <f t="shared" ref="E107" si="37">+I107+M107</f>
        <v>0</v>
      </c>
      <c r="F107" s="13">
        <f t="shared" ref="F107" si="38">+J107+N107</f>
        <v>0</v>
      </c>
      <c r="G107" s="62">
        <f t="shared" ref="G107" si="39">+K107+O107</f>
        <v>1</v>
      </c>
      <c r="H107" s="74">
        <f t="shared" ref="H107" si="40">+I107+J107+K107</f>
        <v>1</v>
      </c>
      <c r="I107" s="13">
        <v>0</v>
      </c>
      <c r="J107" s="13">
        <v>0</v>
      </c>
      <c r="K107" s="27">
        <v>1</v>
      </c>
      <c r="L107" s="73">
        <f t="shared" ref="L107" si="41">+M107+N107+O107</f>
        <v>0</v>
      </c>
      <c r="M107" s="13">
        <v>0</v>
      </c>
      <c r="N107" s="13">
        <v>0</v>
      </c>
      <c r="O107" s="62">
        <v>0</v>
      </c>
    </row>
    <row r="108" spans="1:15">
      <c r="B108" s="173">
        <v>104</v>
      </c>
      <c r="C108" s="97" t="s">
        <v>282</v>
      </c>
      <c r="D108" s="73">
        <f t="shared" si="24"/>
        <v>1</v>
      </c>
      <c r="E108" s="13">
        <f t="shared" si="25"/>
        <v>1</v>
      </c>
      <c r="F108" s="13">
        <f t="shared" si="26"/>
        <v>0</v>
      </c>
      <c r="G108" s="62">
        <f t="shared" si="27"/>
        <v>0</v>
      </c>
      <c r="H108" s="74">
        <f t="shared" si="28"/>
        <v>1</v>
      </c>
      <c r="I108" s="13">
        <v>1</v>
      </c>
      <c r="J108" s="13">
        <v>0</v>
      </c>
      <c r="K108" s="27">
        <v>0</v>
      </c>
      <c r="L108" s="73">
        <f t="shared" si="29"/>
        <v>0</v>
      </c>
      <c r="M108" s="13">
        <v>0</v>
      </c>
      <c r="N108" s="13">
        <v>0</v>
      </c>
      <c r="O108" s="62">
        <v>0</v>
      </c>
    </row>
    <row r="109" spans="1:15" ht="13.5" thickBot="1">
      <c r="B109" s="86"/>
      <c r="C109" s="274"/>
      <c r="D109" s="73"/>
      <c r="E109" s="13"/>
      <c r="F109" s="13"/>
      <c r="G109" s="62"/>
      <c r="H109" s="74"/>
      <c r="I109" s="13"/>
      <c r="J109" s="13"/>
      <c r="K109" s="27"/>
      <c r="L109" s="94"/>
      <c r="M109" s="13"/>
      <c r="N109" s="13"/>
      <c r="O109" s="62"/>
    </row>
    <row r="110" spans="1:15" ht="13.5" thickBot="1">
      <c r="C110" s="79" t="s">
        <v>195</v>
      </c>
      <c r="D110" s="71">
        <f>SUM(D4:D109)</f>
        <v>285</v>
      </c>
      <c r="E110" s="11">
        <f>SUM(E4:E109)</f>
        <v>157</v>
      </c>
      <c r="F110" s="11">
        <f>SUM(F4:F109)</f>
        <v>5</v>
      </c>
      <c r="G110" s="12">
        <f>SUM(G4:G109)</f>
        <v>123</v>
      </c>
      <c r="H110" s="72">
        <f>+I110+J110+K110</f>
        <v>143</v>
      </c>
      <c r="I110" s="11">
        <f>SUM(I4:I109)</f>
        <v>88</v>
      </c>
      <c r="J110" s="11">
        <f>SUM(J4:J109)</f>
        <v>4</v>
      </c>
      <c r="K110" s="26">
        <f>SUM(K4:K109)</f>
        <v>51</v>
      </c>
      <c r="L110" s="71">
        <f>+M110+N110+O110</f>
        <v>142</v>
      </c>
      <c r="M110" s="11">
        <f>SUM(M4:M109)</f>
        <v>69</v>
      </c>
      <c r="N110" s="11">
        <f>SUM(N4:N109)</f>
        <v>1</v>
      </c>
      <c r="O110" s="12">
        <f>SUM(O4:O109)</f>
        <v>72</v>
      </c>
    </row>
    <row r="112" spans="1:15">
      <c r="A112">
        <v>35</v>
      </c>
    </row>
    <row r="115" spans="1:35" ht="13.5" customHeight="1">
      <c r="AE115" s="174"/>
    </row>
    <row r="116" spans="1:35" ht="12.75" hidden="1" customHeight="1">
      <c r="A116" s="39"/>
      <c r="Q116" s="273" t="s">
        <v>216</v>
      </c>
      <c r="R116" s="273"/>
      <c r="S116" s="273"/>
      <c r="T116" s="273"/>
      <c r="U116" s="273"/>
      <c r="AE116" s="174"/>
    </row>
    <row r="117" spans="1:35" ht="12.75" customHeight="1">
      <c r="Q117" s="15" t="s">
        <v>1061</v>
      </c>
      <c r="R117" s="15" t="s">
        <v>1062</v>
      </c>
      <c r="S117" s="15" t="s">
        <v>1063</v>
      </c>
      <c r="T117" s="15" t="s">
        <v>1064</v>
      </c>
      <c r="U117" s="15" t="s">
        <v>23</v>
      </c>
      <c r="V117" s="15" t="s">
        <v>1067</v>
      </c>
      <c r="W117" s="39"/>
      <c r="AE117" s="174"/>
    </row>
    <row r="118" spans="1:35" ht="12.75" customHeight="1">
      <c r="A118" s="39"/>
      <c r="Q118" s="39"/>
      <c r="AC118" s="39"/>
      <c r="AE118" s="174"/>
    </row>
    <row r="119" spans="1:35" ht="12.75" customHeight="1">
      <c r="A119" s="39"/>
      <c r="Q119" s="1">
        <v>2018</v>
      </c>
      <c r="R119" s="15" t="s">
        <v>187</v>
      </c>
      <c r="S119" s="15" t="s">
        <v>1065</v>
      </c>
      <c r="T119" s="15" t="s">
        <v>1066</v>
      </c>
      <c r="U119" s="1">
        <v>0</v>
      </c>
      <c r="V119" s="1" t="s">
        <v>1068</v>
      </c>
      <c r="W119" s="172"/>
      <c r="X119" s="15"/>
      <c r="Y119" s="15"/>
      <c r="Z119" s="15"/>
      <c r="AA119" s="15"/>
      <c r="AE119" s="174"/>
      <c r="AG119" s="39" t="s">
        <v>1220</v>
      </c>
      <c r="AI119" s="39" t="s">
        <v>1221</v>
      </c>
    </row>
    <row r="120" spans="1:35" ht="12.75" customHeight="1">
      <c r="A120" s="39"/>
      <c r="Q120" s="1">
        <v>2018</v>
      </c>
      <c r="R120" s="15" t="s">
        <v>58</v>
      </c>
      <c r="S120" s="15" t="s">
        <v>1065</v>
      </c>
      <c r="T120" s="15" t="s">
        <v>1069</v>
      </c>
      <c r="U120" s="1">
        <v>2</v>
      </c>
      <c r="V120" s="15" t="s">
        <v>1068</v>
      </c>
      <c r="W120" s="39"/>
      <c r="X120" s="15"/>
      <c r="Y120" s="15"/>
      <c r="Z120" s="15"/>
      <c r="AA120" s="15"/>
      <c r="AE120" s="174"/>
    </row>
    <row r="121" spans="1:35" ht="12.75" hidden="1" customHeight="1">
      <c r="A121" s="39"/>
      <c r="Q121" s="1">
        <v>2019</v>
      </c>
      <c r="R121" s="15" t="s">
        <v>126</v>
      </c>
      <c r="S121" s="15" t="s">
        <v>1073</v>
      </c>
      <c r="T121" s="15" t="s">
        <v>1072</v>
      </c>
      <c r="U121" s="1">
        <v>1</v>
      </c>
      <c r="V121" s="1" t="s">
        <v>1071</v>
      </c>
      <c r="X121" s="15"/>
      <c r="Y121" s="15"/>
      <c r="Z121" s="15"/>
      <c r="AA121" s="15"/>
      <c r="AE121" s="174"/>
      <c r="AG121" s="165" t="s">
        <v>1206</v>
      </c>
      <c r="AI121" s="39" t="s">
        <v>1222</v>
      </c>
    </row>
    <row r="122" spans="1:35" ht="12.75" hidden="1" customHeight="1">
      <c r="Q122" s="1">
        <v>2019</v>
      </c>
      <c r="R122" s="15" t="s">
        <v>126</v>
      </c>
      <c r="S122" s="15" t="s">
        <v>1065</v>
      </c>
      <c r="T122" s="15" t="s">
        <v>1074</v>
      </c>
      <c r="U122" s="1">
        <v>0</v>
      </c>
      <c r="V122" s="15" t="s">
        <v>1071</v>
      </c>
      <c r="X122" s="15"/>
      <c r="Y122" s="15"/>
      <c r="Z122" s="15"/>
      <c r="AA122" s="15"/>
      <c r="AE122" s="174"/>
      <c r="AG122" s="39" t="s">
        <v>1207</v>
      </c>
      <c r="AI122" s="39" t="s">
        <v>1223</v>
      </c>
    </row>
    <row r="123" spans="1:35" ht="12.75" hidden="1" customHeight="1">
      <c r="A123" s="39"/>
      <c r="Q123" s="1">
        <v>2021</v>
      </c>
      <c r="R123" s="15" t="s">
        <v>260</v>
      </c>
      <c r="S123" s="15" t="s">
        <v>1065</v>
      </c>
      <c r="T123" s="15" t="s">
        <v>1070</v>
      </c>
      <c r="U123" s="1">
        <v>4</v>
      </c>
      <c r="V123" s="1" t="s">
        <v>1071</v>
      </c>
      <c r="W123" s="39"/>
      <c r="AE123" s="174"/>
      <c r="AG123" s="39" t="s">
        <v>190</v>
      </c>
      <c r="AI123" s="39" t="s">
        <v>1224</v>
      </c>
    </row>
    <row r="124" spans="1:35" ht="12.75" customHeight="1">
      <c r="A124" s="39"/>
      <c r="R124" s="1"/>
      <c r="Y124" s="201"/>
      <c r="AE124" s="174"/>
      <c r="AG124" s="39" t="s">
        <v>1208</v>
      </c>
      <c r="AI124" s="165" t="s">
        <v>1225</v>
      </c>
    </row>
    <row r="125" spans="1:35" ht="12.75" customHeight="1">
      <c r="A125" s="39"/>
      <c r="R125" s="39"/>
      <c r="AE125" s="174"/>
      <c r="AF125" s="165"/>
      <c r="AG125" s="39" t="s">
        <v>1209</v>
      </c>
      <c r="AI125" s="39" t="s">
        <v>1226</v>
      </c>
    </row>
    <row r="126" spans="1:35" ht="12.75" customHeight="1">
      <c r="A126" s="39"/>
      <c r="R126" s="39"/>
      <c r="W126" s="39"/>
      <c r="X126" s="15"/>
      <c r="AE126" s="174"/>
      <c r="AF126" s="165"/>
      <c r="AG126" s="39" t="s">
        <v>1210</v>
      </c>
      <c r="AI126" s="39" t="s">
        <v>1227</v>
      </c>
    </row>
    <row r="127" spans="1:35" ht="12.75" hidden="1" customHeight="1">
      <c r="A127" s="39"/>
      <c r="R127" s="39"/>
      <c r="X127" s="200"/>
      <c r="Y127" s="15"/>
      <c r="AC127" s="39"/>
      <c r="AE127" s="174"/>
      <c r="AG127" s="39" t="s">
        <v>1211</v>
      </c>
      <c r="AI127" s="39" t="s">
        <v>1228</v>
      </c>
    </row>
    <row r="128" spans="1:35" ht="12.75" hidden="1" customHeight="1">
      <c r="X128" s="200"/>
      <c r="Y128" s="15"/>
      <c r="AC128" s="39"/>
      <c r="AD128" s="1"/>
      <c r="AE128" s="174"/>
      <c r="AG128" s="39" t="s">
        <v>1212</v>
      </c>
      <c r="AI128" s="165" t="s">
        <v>1212</v>
      </c>
    </row>
    <row r="129" spans="1:35" ht="12.75" hidden="1" customHeight="1">
      <c r="P129" s="39"/>
      <c r="X129" s="172"/>
      <c r="Y129" s="15"/>
      <c r="AC129" s="39"/>
      <c r="AE129" s="174"/>
      <c r="AG129" s="39" t="s">
        <v>1213</v>
      </c>
      <c r="AI129" s="165" t="s">
        <v>1213</v>
      </c>
    </row>
    <row r="130" spans="1:35" ht="12.75" hidden="1" customHeight="1">
      <c r="A130" s="39"/>
      <c r="X130" s="172"/>
      <c r="Y130" s="15"/>
      <c r="Z130" s="15"/>
      <c r="AA130" s="15"/>
      <c r="AB130" s="15"/>
      <c r="AC130" s="39"/>
      <c r="AE130" s="174"/>
      <c r="AG130" s="39" t="s">
        <v>1214</v>
      </c>
      <c r="AI130" s="165" t="s">
        <v>1214</v>
      </c>
    </row>
    <row r="131" spans="1:35" ht="12.75" customHeight="1">
      <c r="X131" s="172"/>
      <c r="AE131" s="174"/>
      <c r="AG131" s="39" t="s">
        <v>1215</v>
      </c>
      <c r="AI131" s="39" t="s">
        <v>1229</v>
      </c>
    </row>
    <row r="132" spans="1:35" ht="12.75" customHeight="1">
      <c r="X132" s="39"/>
      <c r="AE132" s="174"/>
      <c r="AG132" s="39" t="s">
        <v>1216</v>
      </c>
      <c r="AI132" s="165" t="s">
        <v>1216</v>
      </c>
    </row>
    <row r="133" spans="1:35" ht="12.75" customHeight="1">
      <c r="A133" s="39"/>
      <c r="X133" s="165"/>
      <c r="AE133" s="174"/>
      <c r="AG133" s="39" t="s">
        <v>1217</v>
      </c>
      <c r="AI133" s="39" t="s">
        <v>1230</v>
      </c>
    </row>
    <row r="134" spans="1:35" ht="12.75" customHeight="1">
      <c r="A134" s="39"/>
      <c r="X134" s="172"/>
      <c r="AE134" s="174"/>
      <c r="AG134" s="39" t="s">
        <v>1218</v>
      </c>
      <c r="AI134" s="165" t="s">
        <v>1218</v>
      </c>
    </row>
    <row r="135" spans="1:35" ht="12.75" hidden="1" customHeight="1">
      <c r="X135" s="39"/>
      <c r="Y135" s="273"/>
      <c r="Z135" s="273"/>
      <c r="AE135" s="174"/>
      <c r="AG135" s="39" t="s">
        <v>1219</v>
      </c>
      <c r="AI135" s="39" t="s">
        <v>1231</v>
      </c>
    </row>
    <row r="136" spans="1:35" ht="12.75" customHeight="1">
      <c r="X136" s="165"/>
      <c r="Y136" s="15"/>
      <c r="Z136" s="15"/>
      <c r="AE136" s="174"/>
    </row>
    <row r="137" spans="1:35" ht="12.75" hidden="1" customHeight="1">
      <c r="A137" s="39"/>
      <c r="X137" s="172"/>
      <c r="Y137" s="15"/>
      <c r="Z137" s="15"/>
      <c r="AE137" s="174"/>
    </row>
    <row r="138" spans="1:35">
      <c r="A138" s="39"/>
      <c r="Q138" s="39"/>
    </row>
    <row r="139" spans="1:35" ht="12.75" hidden="1" customHeight="1">
      <c r="A139" s="39"/>
      <c r="Q139" s="39"/>
      <c r="W139" s="172"/>
      <c r="AE139" s="174"/>
    </row>
    <row r="140" spans="1:35" ht="12.75" hidden="1" customHeight="1">
      <c r="P140" s="39"/>
      <c r="R140" s="39"/>
      <c r="AE140" s="174"/>
    </row>
    <row r="141" spans="1:35" ht="12.75" hidden="1" customHeight="1">
      <c r="A141" s="39"/>
      <c r="W141" s="39"/>
      <c r="AE141" s="174"/>
    </row>
    <row r="142" spans="1:35" ht="12.75" customHeight="1">
      <c r="A142" s="39"/>
      <c r="Q142" s="39"/>
      <c r="R142" s="66"/>
      <c r="S142" s="15"/>
      <c r="AE142" s="174"/>
    </row>
    <row r="143" spans="1:35" ht="12.75" customHeight="1">
      <c r="A143" s="39"/>
      <c r="P143" s="39"/>
      <c r="R143" s="66"/>
      <c r="S143" s="15"/>
      <c r="W143" s="172"/>
      <c r="AC143" s="1"/>
      <c r="AE143" s="174"/>
    </row>
    <row r="144" spans="1:35" ht="12.75" hidden="1" customHeight="1">
      <c r="A144" s="39"/>
      <c r="R144" s="66"/>
      <c r="S144" s="15" t="s">
        <v>268</v>
      </c>
      <c r="W144" s="39"/>
      <c r="AE144" s="174"/>
    </row>
    <row r="145" spans="1:32" ht="12.75" hidden="1" customHeight="1">
      <c r="A145" s="39"/>
      <c r="R145" s="66"/>
      <c r="S145" s="15"/>
      <c r="W145" s="172"/>
      <c r="AE145" s="174"/>
    </row>
    <row r="146" spans="1:32" ht="12.75" customHeight="1">
      <c r="A146" s="39"/>
      <c r="R146" s="66"/>
      <c r="S146" s="15"/>
      <c r="W146" s="172"/>
      <c r="AE146" s="174"/>
    </row>
    <row r="147" spans="1:32" ht="12.75" hidden="1" customHeight="1">
      <c r="A147" s="39"/>
      <c r="R147" s="1"/>
      <c r="W147" s="39"/>
      <c r="AE147" s="174"/>
    </row>
    <row r="148" spans="1:32" ht="12.75" customHeight="1">
      <c r="A148" s="39"/>
      <c r="W148" s="172"/>
      <c r="AE148" s="174"/>
    </row>
    <row r="149" spans="1:32" ht="12.75" hidden="1" customHeight="1">
      <c r="A149" s="39"/>
      <c r="AE149" s="174"/>
      <c r="AF149" s="172"/>
    </row>
    <row r="150" spans="1:32" ht="12.75" hidden="1" customHeight="1">
      <c r="A150" s="39"/>
      <c r="W150" s="39"/>
      <c r="AE150" s="174"/>
      <c r="AF150" s="165"/>
    </row>
    <row r="151" spans="1:32" ht="12.75" hidden="1" customHeight="1">
      <c r="A151" s="39"/>
      <c r="P151" s="39"/>
      <c r="R151" s="39"/>
      <c r="W151" s="172"/>
      <c r="AE151" s="174"/>
    </row>
    <row r="152" spans="1:32" ht="12.75" hidden="1" customHeight="1">
      <c r="A152" s="39"/>
      <c r="R152" s="39"/>
      <c r="W152" s="172"/>
      <c r="AE152" s="174"/>
    </row>
    <row r="153" spans="1:32" ht="12.75" hidden="1" customHeight="1">
      <c r="A153" s="39"/>
      <c r="R153" s="39"/>
      <c r="W153" s="39"/>
      <c r="AE153" s="174"/>
    </row>
    <row r="154" spans="1:32" ht="12.75" customHeight="1">
      <c r="P154" s="39"/>
      <c r="R154" s="39"/>
      <c r="W154" s="172"/>
      <c r="AE154" s="174"/>
    </row>
    <row r="155" spans="1:32" ht="12.75" customHeight="1">
      <c r="A155" s="39"/>
      <c r="R155" s="39"/>
      <c r="AE155" s="174"/>
    </row>
    <row r="156" spans="1:32" ht="12.75" hidden="1" customHeight="1">
      <c r="A156" s="39"/>
      <c r="R156" s="39"/>
      <c r="W156" s="39"/>
      <c r="AE156" s="174"/>
    </row>
    <row r="157" spans="1:32" ht="12.75" customHeight="1">
      <c r="A157" s="39"/>
      <c r="P157" s="39"/>
      <c r="W157" s="172"/>
      <c r="AE157" s="174"/>
    </row>
    <row r="158" spans="1:32" ht="12.75" customHeight="1">
      <c r="A158" s="39"/>
      <c r="AE158" s="174"/>
    </row>
    <row r="159" spans="1:32" ht="12.75" hidden="1" customHeight="1">
      <c r="A159" s="39"/>
      <c r="W159" s="39"/>
      <c r="AE159" s="174"/>
    </row>
    <row r="160" spans="1:32" ht="12.75" hidden="1" customHeight="1">
      <c r="A160" s="39"/>
      <c r="AE160" s="174"/>
    </row>
    <row r="161" spans="1:31" ht="12.75" customHeight="1">
      <c r="A161" s="39"/>
      <c r="AE161" s="174"/>
    </row>
    <row r="162" spans="1:31" ht="12.75" hidden="1" customHeight="1">
      <c r="A162" s="39"/>
      <c r="P162" s="39"/>
    </row>
    <row r="163" spans="1:31">
      <c r="A163" s="39"/>
    </row>
    <row r="164" spans="1:31">
      <c r="A164" s="39"/>
      <c r="P164" s="39"/>
    </row>
    <row r="165" spans="1:31" ht="12.75" hidden="1" customHeight="1">
      <c r="P165" s="39"/>
    </row>
    <row r="166" spans="1:31" ht="12.75" hidden="1" customHeight="1">
      <c r="A166" s="39"/>
    </row>
    <row r="167" spans="1:31">
      <c r="P167" s="39"/>
    </row>
    <row r="168" spans="1:31">
      <c r="A168" s="39"/>
    </row>
    <row r="169" spans="1:31">
      <c r="P169" s="39"/>
    </row>
    <row r="170" spans="1:31">
      <c r="P170" s="39"/>
    </row>
    <row r="171" spans="1:31">
      <c r="A171" s="39"/>
    </row>
    <row r="172" spans="1:31">
      <c r="P172" s="39"/>
    </row>
    <row r="173" spans="1:31" ht="12.75" hidden="1" customHeight="1">
      <c r="A173" s="39"/>
    </row>
    <row r="174" spans="1:31" ht="12.75" hidden="1" customHeight="1"/>
    <row r="176" spans="1:31" ht="12.75" hidden="1" customHeight="1"/>
    <row r="177" spans="1:9" ht="12.75" hidden="1" customHeight="1"/>
    <row r="178" spans="1:9" ht="12.75" hidden="1" customHeight="1"/>
    <row r="179" spans="1:9" ht="12.75" hidden="1" customHeight="1"/>
    <row r="181" spans="1:9" ht="12.75" hidden="1" customHeight="1"/>
    <row r="182" spans="1:9" ht="12.75" hidden="1" customHeight="1"/>
    <row r="183" spans="1:9" ht="12.75" hidden="1" customHeight="1">
      <c r="A183" s="39"/>
    </row>
    <row r="184" spans="1:9" ht="12.75" hidden="1" customHeight="1"/>
    <row r="185" spans="1:9" ht="12.75" hidden="1" customHeight="1">
      <c r="A185" s="39"/>
    </row>
    <row r="186" spans="1:9" ht="12.75" hidden="1" customHeight="1"/>
    <row r="187" spans="1:9">
      <c r="A187" s="39"/>
    </row>
    <row r="188" spans="1:9" ht="12.75" hidden="1" customHeight="1">
      <c r="A188" s="39"/>
    </row>
    <row r="189" spans="1:9" ht="12.75" hidden="1" customHeight="1"/>
    <row r="190" spans="1:9" ht="12.75" hidden="1" customHeight="1"/>
    <row r="191" spans="1:9" ht="12.75" hidden="1" customHeight="1"/>
    <row r="193" ht="12.75" hidden="1" customHeight="1"/>
    <row r="195" ht="12.75" hidden="1" customHeight="1"/>
    <row r="196" ht="12.75" hidden="1" customHeight="1"/>
    <row r="197" ht="12.75" hidden="1" customHeight="1"/>
    <row r="199" ht="12.75" hidden="1" customHeight="1"/>
    <row r="200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11" ht="12.75" hidden="1" customHeight="1"/>
  </sheetData>
  <autoFilter ref="C3:O93" xr:uid="{00000000-0009-0000-0000-000010000000}"/>
  <sortState xmlns:xlrd2="http://schemas.microsoft.com/office/spreadsheetml/2017/richdata2" ref="C5:O108">
    <sortCondition descending="1" ref="D5:D108"/>
    <sortCondition ref="C5:C108"/>
  </sortState>
  <mergeCells count="7">
    <mergeCell ref="Y135:Z135"/>
    <mergeCell ref="D2:G2"/>
    <mergeCell ref="H2:K2"/>
    <mergeCell ref="L2:O2"/>
    <mergeCell ref="Q4:U4"/>
    <mergeCell ref="Y23:Z23"/>
    <mergeCell ref="Q116:U116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1667-6F73-4E41-AEA4-E2C9BDE07D07}">
  <dimension ref="B2:Z120"/>
  <sheetViews>
    <sheetView topLeftCell="B77" zoomScaleNormal="100" workbookViewId="0">
      <selection activeCell="F100" sqref="F100"/>
    </sheetView>
  </sheetViews>
  <sheetFormatPr baseColWidth="10" defaultRowHeight="12.75"/>
  <cols>
    <col min="2" max="2" width="13.28515625" bestFit="1" customWidth="1"/>
    <col min="3" max="3" width="26" bestFit="1" customWidth="1"/>
    <col min="6" max="6" width="18.7109375" bestFit="1" customWidth="1"/>
    <col min="7" max="7" width="13.85546875" bestFit="1" customWidth="1"/>
    <col min="8" max="8" width="19.85546875" bestFit="1" customWidth="1"/>
    <col min="9" max="9" width="21.42578125" bestFit="1" customWidth="1"/>
    <col min="10" max="10" width="22.28515625" bestFit="1" customWidth="1"/>
    <col min="11" max="11" width="20.7109375" bestFit="1" customWidth="1"/>
    <col min="12" max="12" width="17" bestFit="1" customWidth="1"/>
    <col min="13" max="13" width="19.140625" bestFit="1" customWidth="1"/>
    <col min="14" max="14" width="24.85546875" bestFit="1" customWidth="1"/>
    <col min="15" max="15" width="23.140625" bestFit="1" customWidth="1"/>
    <col min="16" max="16" width="23.85546875" bestFit="1" customWidth="1"/>
    <col min="17" max="17" width="22.85546875" bestFit="1" customWidth="1"/>
    <col min="18" max="18" width="24" bestFit="1" customWidth="1"/>
    <col min="19" max="19" width="22" bestFit="1" customWidth="1"/>
    <col min="20" max="20" width="21.7109375" bestFit="1" customWidth="1"/>
    <col min="21" max="21" width="22.140625" bestFit="1" customWidth="1"/>
    <col min="22" max="22" width="18.7109375" bestFit="1" customWidth="1"/>
    <col min="23" max="23" width="17.140625" bestFit="1" customWidth="1"/>
    <col min="24" max="24" width="26" bestFit="1" customWidth="1"/>
    <col min="25" max="25" width="19.140625" bestFit="1" customWidth="1"/>
    <col min="26" max="26" width="22.85546875" bestFit="1" customWidth="1"/>
  </cols>
  <sheetData>
    <row r="2" spans="2:25" ht="13.5" thickBot="1"/>
    <row r="3" spans="2:25" ht="13.5" thickBot="1">
      <c r="B3" s="42" t="s">
        <v>1049</v>
      </c>
      <c r="C3" s="43" t="s">
        <v>151</v>
      </c>
      <c r="D3" s="162" t="s">
        <v>1497</v>
      </c>
    </row>
    <row r="4" spans="2:25">
      <c r="B4" s="33">
        <v>1</v>
      </c>
      <c r="C4" s="152" t="s">
        <v>7</v>
      </c>
      <c r="D4" s="220">
        <v>80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53"/>
      <c r="V4" s="153"/>
      <c r="W4" s="153"/>
      <c r="X4" s="153"/>
      <c r="Y4" s="153"/>
    </row>
    <row r="5" spans="2:25">
      <c r="B5" s="33">
        <v>2</v>
      </c>
      <c r="C5" s="152" t="s">
        <v>10</v>
      </c>
      <c r="D5" s="220">
        <v>86</v>
      </c>
      <c r="F5" s="39"/>
      <c r="G5" s="39"/>
      <c r="H5" s="39"/>
      <c r="I5" s="39"/>
    </row>
    <row r="6" spans="2:25">
      <c r="B6" s="33">
        <v>3</v>
      </c>
      <c r="C6" s="152" t="s">
        <v>18</v>
      </c>
      <c r="D6" s="220">
        <v>88</v>
      </c>
      <c r="I6" s="39"/>
    </row>
    <row r="7" spans="2:25">
      <c r="B7" s="33">
        <v>4</v>
      </c>
      <c r="C7" s="152" t="s">
        <v>16</v>
      </c>
      <c r="D7" s="220">
        <v>88</v>
      </c>
    </row>
    <row r="8" spans="2:25">
      <c r="B8" s="33">
        <v>5</v>
      </c>
      <c r="C8" s="152" t="s">
        <v>15</v>
      </c>
      <c r="D8" s="220">
        <v>89</v>
      </c>
    </row>
    <row r="9" spans="2:25">
      <c r="B9" s="33">
        <v>6</v>
      </c>
      <c r="C9" s="152" t="s">
        <v>11</v>
      </c>
      <c r="D9" s="220">
        <v>89</v>
      </c>
    </row>
    <row r="10" spans="2:25">
      <c r="B10" s="33">
        <v>7</v>
      </c>
      <c r="C10" s="152" t="s">
        <v>17</v>
      </c>
      <c r="D10" s="220">
        <v>89</v>
      </c>
    </row>
    <row r="11" spans="2:25">
      <c r="B11" s="33">
        <v>8</v>
      </c>
      <c r="C11" s="152" t="s">
        <v>14</v>
      </c>
      <c r="D11" s="220">
        <v>89</v>
      </c>
    </row>
    <row r="12" spans="2:25">
      <c r="B12" s="33">
        <v>9</v>
      </c>
      <c r="C12" s="152" t="s">
        <v>35</v>
      </c>
      <c r="D12" s="220">
        <v>89</v>
      </c>
    </row>
    <row r="13" spans="2:25">
      <c r="B13" s="33">
        <v>10</v>
      </c>
      <c r="C13" s="152" t="s">
        <v>9</v>
      </c>
      <c r="D13" s="220">
        <v>90</v>
      </c>
    </row>
    <row r="14" spans="2:25">
      <c r="B14" s="33">
        <v>11</v>
      </c>
      <c r="C14" s="152" t="s">
        <v>20</v>
      </c>
      <c r="D14" s="220">
        <v>90</v>
      </c>
    </row>
    <row r="15" spans="2:25">
      <c r="B15" s="33">
        <v>12</v>
      </c>
      <c r="C15" s="152" t="s">
        <v>19</v>
      </c>
      <c r="D15" s="220">
        <v>90</v>
      </c>
    </row>
    <row r="16" spans="2:25">
      <c r="B16" s="33">
        <v>13</v>
      </c>
      <c r="C16" s="152" t="s">
        <v>13</v>
      </c>
      <c r="D16" s="220">
        <v>90</v>
      </c>
    </row>
    <row r="17" spans="2:4">
      <c r="B17" s="33">
        <v>14</v>
      </c>
      <c r="C17" s="152" t="s">
        <v>6</v>
      </c>
      <c r="D17" s="220">
        <v>91</v>
      </c>
    </row>
    <row r="18" spans="2:4">
      <c r="B18" s="33">
        <v>15</v>
      </c>
      <c r="C18" s="152" t="s">
        <v>12</v>
      </c>
      <c r="D18" s="220">
        <v>93</v>
      </c>
    </row>
    <row r="19" spans="2:4">
      <c r="B19" s="150">
        <v>16</v>
      </c>
      <c r="C19" s="126" t="s">
        <v>31</v>
      </c>
      <c r="D19" s="220">
        <v>78</v>
      </c>
    </row>
    <row r="20" spans="2:4">
      <c r="B20" s="150">
        <v>17</v>
      </c>
      <c r="C20" s="126" t="s">
        <v>32</v>
      </c>
      <c r="D20" s="220">
        <v>89</v>
      </c>
    </row>
    <row r="21" spans="2:4">
      <c r="B21" s="150">
        <v>18</v>
      </c>
      <c r="C21" s="126" t="s">
        <v>33</v>
      </c>
      <c r="D21" s="220">
        <v>93</v>
      </c>
    </row>
    <row r="22" spans="2:4">
      <c r="B22" s="150">
        <v>19</v>
      </c>
      <c r="C22" s="126" t="s">
        <v>34</v>
      </c>
      <c r="D22" s="220">
        <v>93</v>
      </c>
    </row>
    <row r="23" spans="2:4">
      <c r="B23" s="150">
        <v>20</v>
      </c>
      <c r="C23" s="126" t="s">
        <v>42</v>
      </c>
      <c r="D23" s="220">
        <v>93</v>
      </c>
    </row>
    <row r="24" spans="2:4">
      <c r="B24" s="150">
        <v>21</v>
      </c>
      <c r="C24" s="126" t="s">
        <v>46</v>
      </c>
      <c r="D24" s="220">
        <v>88</v>
      </c>
    </row>
    <row r="25" spans="2:4">
      <c r="B25" s="150">
        <v>22</v>
      </c>
      <c r="C25" s="126" t="s">
        <v>52</v>
      </c>
      <c r="D25" s="220">
        <v>89</v>
      </c>
    </row>
    <row r="26" spans="2:4">
      <c r="B26" s="150">
        <v>23</v>
      </c>
      <c r="C26" s="126" t="s">
        <v>141</v>
      </c>
      <c r="D26" s="220">
        <v>93</v>
      </c>
    </row>
    <row r="27" spans="2:4">
      <c r="B27" s="150">
        <v>24</v>
      </c>
      <c r="C27" s="126" t="s">
        <v>140</v>
      </c>
      <c r="D27" s="220">
        <v>93</v>
      </c>
    </row>
    <row r="28" spans="2:4">
      <c r="B28" s="150">
        <v>25</v>
      </c>
      <c r="C28" s="126" t="s">
        <v>139</v>
      </c>
      <c r="D28" s="220">
        <v>94</v>
      </c>
    </row>
    <row r="29" spans="2:4">
      <c r="B29" s="150">
        <v>26</v>
      </c>
      <c r="C29" s="126" t="s">
        <v>142</v>
      </c>
      <c r="D29" s="220">
        <v>95</v>
      </c>
    </row>
    <row r="30" spans="2:4">
      <c r="B30" s="150">
        <v>27</v>
      </c>
      <c r="C30" s="126" t="s">
        <v>53</v>
      </c>
      <c r="D30" s="220">
        <v>89</v>
      </c>
    </row>
    <row r="31" spans="2:4">
      <c r="B31" s="150">
        <v>28</v>
      </c>
      <c r="C31" s="126" t="s">
        <v>143</v>
      </c>
      <c r="D31" s="220">
        <v>95</v>
      </c>
    </row>
    <row r="32" spans="2:4">
      <c r="B32" s="150">
        <v>29</v>
      </c>
      <c r="C32" s="126" t="s">
        <v>144</v>
      </c>
      <c r="D32" s="220">
        <v>95</v>
      </c>
    </row>
    <row r="33" spans="2:4">
      <c r="B33" s="150">
        <v>30</v>
      </c>
      <c r="C33" s="126" t="s">
        <v>145</v>
      </c>
      <c r="D33" s="220">
        <v>93</v>
      </c>
    </row>
    <row r="34" spans="2:4">
      <c r="B34" s="150">
        <v>31</v>
      </c>
      <c r="C34" s="126" t="s">
        <v>146</v>
      </c>
      <c r="D34" s="220">
        <v>94</v>
      </c>
    </row>
    <row r="35" spans="2:4">
      <c r="B35" s="150">
        <v>32</v>
      </c>
      <c r="C35" s="126" t="s">
        <v>147</v>
      </c>
      <c r="D35" s="220">
        <v>89</v>
      </c>
    </row>
    <row r="36" spans="2:4">
      <c r="B36" s="150">
        <v>33</v>
      </c>
      <c r="C36" s="126" t="s">
        <v>155</v>
      </c>
      <c r="D36" s="209" t="s">
        <v>1357</v>
      </c>
    </row>
    <row r="37" spans="2:4">
      <c r="B37" s="150">
        <v>34</v>
      </c>
      <c r="C37" s="126" t="s">
        <v>607</v>
      </c>
      <c r="D37" s="220">
        <v>94</v>
      </c>
    </row>
    <row r="38" spans="2:4">
      <c r="B38" s="150">
        <v>35</v>
      </c>
      <c r="C38" s="126" t="s">
        <v>160</v>
      </c>
      <c r="D38" s="209" t="s">
        <v>1494</v>
      </c>
    </row>
    <row r="39" spans="2:4">
      <c r="B39" s="150">
        <v>36</v>
      </c>
      <c r="C39" s="126" t="s">
        <v>169</v>
      </c>
      <c r="D39" s="220">
        <v>94</v>
      </c>
    </row>
    <row r="40" spans="2:4">
      <c r="B40" s="150">
        <v>37</v>
      </c>
      <c r="C40" s="126" t="s">
        <v>181</v>
      </c>
      <c r="D40" s="220">
        <v>96</v>
      </c>
    </row>
    <row r="41" spans="2:4">
      <c r="B41" s="150">
        <v>38</v>
      </c>
      <c r="C41" s="126" t="s">
        <v>182</v>
      </c>
      <c r="D41" s="220">
        <v>95</v>
      </c>
    </row>
    <row r="42" spans="2:4">
      <c r="B42" s="150">
        <v>39</v>
      </c>
      <c r="C42" s="126" t="s">
        <v>183</v>
      </c>
      <c r="D42" s="220">
        <v>96</v>
      </c>
    </row>
    <row r="43" spans="2:4">
      <c r="B43" s="150">
        <v>40</v>
      </c>
      <c r="C43" s="126" t="s">
        <v>75</v>
      </c>
      <c r="D43" s="220">
        <v>93</v>
      </c>
    </row>
    <row r="44" spans="2:4">
      <c r="B44" s="150">
        <v>41</v>
      </c>
      <c r="C44" s="126" t="s">
        <v>256</v>
      </c>
      <c r="D44" s="209" t="s">
        <v>1357</v>
      </c>
    </row>
    <row r="45" spans="2:4">
      <c r="B45" s="150">
        <v>42</v>
      </c>
      <c r="C45" s="126" t="s">
        <v>190</v>
      </c>
      <c r="D45" s="220">
        <v>96</v>
      </c>
    </row>
    <row r="46" spans="2:4">
      <c r="B46" s="150">
        <v>43</v>
      </c>
      <c r="C46" s="126" t="s">
        <v>189</v>
      </c>
      <c r="D46" s="220">
        <v>96</v>
      </c>
    </row>
    <row r="47" spans="2:4">
      <c r="B47" s="150">
        <v>44</v>
      </c>
      <c r="C47" s="126" t="s">
        <v>206</v>
      </c>
      <c r="D47" s="220">
        <v>95</v>
      </c>
    </row>
    <row r="48" spans="2:4">
      <c r="B48" s="150">
        <v>45</v>
      </c>
      <c r="C48" s="126" t="s">
        <v>207</v>
      </c>
      <c r="D48" s="220">
        <v>97</v>
      </c>
    </row>
    <row r="49" spans="2:4">
      <c r="B49" s="150">
        <v>46</v>
      </c>
      <c r="C49" s="126" t="s">
        <v>208</v>
      </c>
      <c r="D49" s="220">
        <v>96</v>
      </c>
    </row>
    <row r="50" spans="2:4">
      <c r="B50" s="150">
        <v>47</v>
      </c>
      <c r="C50" s="126" t="s">
        <v>211</v>
      </c>
      <c r="D50" s="220">
        <v>94</v>
      </c>
    </row>
    <row r="51" spans="2:4">
      <c r="B51" s="151">
        <v>48</v>
      </c>
      <c r="C51" s="126" t="s">
        <v>212</v>
      </c>
      <c r="D51" s="220">
        <v>98</v>
      </c>
    </row>
    <row r="52" spans="2:4">
      <c r="B52" s="151">
        <v>49</v>
      </c>
      <c r="C52" s="126" t="s">
        <v>214</v>
      </c>
      <c r="D52" s="220">
        <v>98</v>
      </c>
    </row>
    <row r="53" spans="2:4">
      <c r="B53" s="151">
        <v>50</v>
      </c>
      <c r="C53" s="126" t="s">
        <v>217</v>
      </c>
      <c r="D53" s="220">
        <v>95</v>
      </c>
    </row>
    <row r="54" spans="2:4">
      <c r="B54" s="151">
        <v>51</v>
      </c>
      <c r="C54" s="126" t="s">
        <v>218</v>
      </c>
      <c r="D54" s="220">
        <v>98</v>
      </c>
    </row>
    <row r="55" spans="2:4">
      <c r="B55" s="151">
        <v>52</v>
      </c>
      <c r="C55" s="126" t="s">
        <v>221</v>
      </c>
      <c r="D55" s="220">
        <v>96</v>
      </c>
    </row>
    <row r="56" spans="2:4">
      <c r="B56" s="151">
        <v>53</v>
      </c>
      <c r="C56" s="126" t="s">
        <v>222</v>
      </c>
      <c r="D56" s="220">
        <v>92</v>
      </c>
    </row>
    <row r="57" spans="2:4">
      <c r="B57" s="151">
        <v>54</v>
      </c>
      <c r="C57" s="126" t="s">
        <v>223</v>
      </c>
      <c r="D57" s="220">
        <v>98</v>
      </c>
    </row>
    <row r="58" spans="2:4">
      <c r="B58" s="151">
        <v>55</v>
      </c>
      <c r="C58" s="126" t="s">
        <v>220</v>
      </c>
      <c r="D58" s="209" t="s">
        <v>1493</v>
      </c>
    </row>
    <row r="59" spans="2:4">
      <c r="B59" s="151">
        <v>56</v>
      </c>
      <c r="C59" s="126" t="s">
        <v>230</v>
      </c>
      <c r="D59" s="220">
        <v>99</v>
      </c>
    </row>
    <row r="60" spans="2:4">
      <c r="B60" s="151">
        <v>57</v>
      </c>
      <c r="C60" s="126" t="s">
        <v>233</v>
      </c>
      <c r="D60" s="220">
        <v>99</v>
      </c>
    </row>
    <row r="61" spans="2:4">
      <c r="B61" s="151">
        <v>58</v>
      </c>
      <c r="C61" s="126" t="s">
        <v>231</v>
      </c>
      <c r="D61" s="220">
        <v>99</v>
      </c>
    </row>
    <row r="62" spans="2:4">
      <c r="B62" s="151">
        <v>59</v>
      </c>
      <c r="C62" s="126" t="s">
        <v>234</v>
      </c>
      <c r="D62" s="220">
        <v>99</v>
      </c>
    </row>
    <row r="63" spans="2:4">
      <c r="B63" s="151">
        <v>60</v>
      </c>
      <c r="C63" s="126" t="s">
        <v>236</v>
      </c>
      <c r="D63" s="220">
        <v>99</v>
      </c>
    </row>
    <row r="64" spans="2:4">
      <c r="B64" s="151">
        <v>61</v>
      </c>
      <c r="C64" s="126" t="s">
        <v>164</v>
      </c>
      <c r="D64" s="220">
        <v>91</v>
      </c>
    </row>
    <row r="65" spans="2:4">
      <c r="B65" s="151">
        <v>62</v>
      </c>
      <c r="C65" s="126" t="s">
        <v>247</v>
      </c>
      <c r="D65" s="220">
        <v>89</v>
      </c>
    </row>
    <row r="66" spans="2:4">
      <c r="B66" s="151">
        <v>63</v>
      </c>
      <c r="C66" s="152" t="s">
        <v>1107</v>
      </c>
      <c r="D66" s="220">
        <v>97</v>
      </c>
    </row>
    <row r="67" spans="2:4">
      <c r="B67" s="33">
        <v>64</v>
      </c>
      <c r="C67" s="152" t="s">
        <v>1060</v>
      </c>
      <c r="D67" s="209" t="s">
        <v>1351</v>
      </c>
    </row>
    <row r="68" spans="2:4">
      <c r="B68" s="33">
        <v>65</v>
      </c>
      <c r="C68" s="152" t="s">
        <v>1155</v>
      </c>
      <c r="D68" s="209" t="s">
        <v>1492</v>
      </c>
    </row>
    <row r="69" spans="2:4">
      <c r="B69" s="33">
        <v>66</v>
      </c>
      <c r="C69" s="152" t="s">
        <v>1240</v>
      </c>
      <c r="D69" s="209" t="s">
        <v>1492</v>
      </c>
    </row>
    <row r="70" spans="2:4">
      <c r="B70" s="33">
        <v>67</v>
      </c>
      <c r="C70" s="152" t="s">
        <v>1245</v>
      </c>
      <c r="D70" s="209" t="s">
        <v>1352</v>
      </c>
    </row>
    <row r="71" spans="2:4">
      <c r="B71" s="33">
        <v>68</v>
      </c>
      <c r="C71" s="152" t="s">
        <v>1315</v>
      </c>
      <c r="D71" s="220">
        <v>96</v>
      </c>
    </row>
    <row r="72" spans="2:4">
      <c r="B72" s="33">
        <v>69</v>
      </c>
      <c r="C72" s="152" t="s">
        <v>1314</v>
      </c>
      <c r="D72" s="209" t="s">
        <v>1352</v>
      </c>
    </row>
    <row r="73" spans="2:4">
      <c r="B73" s="33">
        <v>70</v>
      </c>
      <c r="C73" s="152" t="s">
        <v>1324</v>
      </c>
      <c r="D73" s="209" t="s">
        <v>1353</v>
      </c>
    </row>
    <row r="74" spans="2:4">
      <c r="B74" s="33">
        <v>71</v>
      </c>
      <c r="C74" s="152" t="s">
        <v>1320</v>
      </c>
      <c r="D74" s="209" t="s">
        <v>1353</v>
      </c>
    </row>
    <row r="75" spans="2:4">
      <c r="B75" s="33">
        <v>72</v>
      </c>
      <c r="C75" s="152" t="s">
        <v>1340</v>
      </c>
      <c r="D75" s="209" t="s">
        <v>1353</v>
      </c>
    </row>
    <row r="76" spans="2:4">
      <c r="B76" s="33">
        <v>73</v>
      </c>
      <c r="C76" s="152" t="s">
        <v>1329</v>
      </c>
      <c r="D76" s="209" t="s">
        <v>1353</v>
      </c>
    </row>
    <row r="77" spans="2:4">
      <c r="B77" s="33">
        <v>74</v>
      </c>
      <c r="C77" s="152" t="s">
        <v>1344</v>
      </c>
      <c r="D77" s="209" t="s">
        <v>1358</v>
      </c>
    </row>
    <row r="78" spans="2:4">
      <c r="B78" s="33">
        <v>75</v>
      </c>
      <c r="C78" s="152" t="s">
        <v>1402</v>
      </c>
      <c r="D78" s="209" t="s">
        <v>1353</v>
      </c>
    </row>
    <row r="79" spans="2:4">
      <c r="B79" s="33">
        <v>76</v>
      </c>
      <c r="C79" s="152" t="s">
        <v>1403</v>
      </c>
      <c r="D79" s="209" t="s">
        <v>1358</v>
      </c>
    </row>
    <row r="80" spans="2:4">
      <c r="B80" s="33">
        <v>77</v>
      </c>
      <c r="C80" s="152" t="s">
        <v>1415</v>
      </c>
      <c r="D80" s="209" t="s">
        <v>1351</v>
      </c>
    </row>
    <row r="81" spans="2:26">
      <c r="B81" s="33">
        <v>78</v>
      </c>
      <c r="C81" s="152" t="s">
        <v>1438</v>
      </c>
      <c r="D81" s="209" t="s">
        <v>1492</v>
      </c>
    </row>
    <row r="82" spans="2:26">
      <c r="B82" s="33">
        <v>79</v>
      </c>
      <c r="C82" s="152" t="s">
        <v>1429</v>
      </c>
      <c r="D82" s="220">
        <v>99</v>
      </c>
    </row>
    <row r="83" spans="2:26">
      <c r="B83" s="33">
        <v>80</v>
      </c>
      <c r="C83" s="152" t="s">
        <v>1434</v>
      </c>
      <c r="D83" s="209" t="s">
        <v>1353</v>
      </c>
    </row>
    <row r="84" spans="2:26">
      <c r="B84" s="33">
        <v>81</v>
      </c>
      <c r="C84" s="152" t="s">
        <v>1476</v>
      </c>
      <c r="D84" s="220">
        <v>96</v>
      </c>
    </row>
    <row r="85" spans="2:26">
      <c r="B85" s="33">
        <v>82</v>
      </c>
      <c r="C85" s="152" t="s">
        <v>1491</v>
      </c>
      <c r="D85" s="209" t="s">
        <v>1358</v>
      </c>
    </row>
    <row r="86" spans="2:26">
      <c r="B86" s="33">
        <v>83</v>
      </c>
      <c r="C86" s="152" t="s">
        <v>1490</v>
      </c>
      <c r="D86" s="209" t="s">
        <v>1353</v>
      </c>
    </row>
    <row r="87" spans="2:26">
      <c r="B87" s="33">
        <v>84</v>
      </c>
      <c r="C87" s="152" t="s">
        <v>1502</v>
      </c>
      <c r="D87" s="209" t="s">
        <v>1351</v>
      </c>
    </row>
    <row r="88" spans="2:26" ht="13.5" thickBot="1">
      <c r="B88" s="34">
        <v>85</v>
      </c>
      <c r="C88" s="157" t="s">
        <v>1371</v>
      </c>
      <c r="D88" s="221" t="s">
        <v>1353</v>
      </c>
      <c r="F88" s="2">
        <v>78</v>
      </c>
      <c r="G88" s="2">
        <v>80</v>
      </c>
      <c r="H88" s="2">
        <v>86</v>
      </c>
      <c r="I88" s="2">
        <v>88</v>
      </c>
      <c r="J88" s="2">
        <v>89</v>
      </c>
      <c r="K88" s="2">
        <v>90</v>
      </c>
      <c r="L88" s="2">
        <v>91</v>
      </c>
      <c r="M88" s="2">
        <v>92</v>
      </c>
      <c r="N88" s="2">
        <v>93</v>
      </c>
      <c r="O88" s="2">
        <v>94</v>
      </c>
      <c r="P88" s="2">
        <v>95</v>
      </c>
      <c r="Q88" s="2">
        <v>96</v>
      </c>
      <c r="R88" s="2">
        <v>97</v>
      </c>
      <c r="S88" s="153" t="s">
        <v>1359</v>
      </c>
      <c r="T88" s="2">
        <v>99</v>
      </c>
      <c r="U88" s="153" t="s">
        <v>1352</v>
      </c>
      <c r="V88" s="153" t="s">
        <v>1351</v>
      </c>
      <c r="W88" s="153" t="s">
        <v>1492</v>
      </c>
      <c r="X88" s="153" t="s">
        <v>1353</v>
      </c>
      <c r="Y88" s="153" t="s">
        <v>1358</v>
      </c>
      <c r="Z88" s="153" t="s">
        <v>1514</v>
      </c>
    </row>
    <row r="89" spans="2:26">
      <c r="F89" s="39" t="s">
        <v>1495</v>
      </c>
      <c r="G89" s="39" t="s">
        <v>1496</v>
      </c>
      <c r="H89" s="39" t="s">
        <v>10</v>
      </c>
      <c r="I89" s="39" t="s">
        <v>18</v>
      </c>
      <c r="J89" s="39" t="s">
        <v>15</v>
      </c>
      <c r="K89" s="39" t="s">
        <v>9</v>
      </c>
      <c r="L89" s="39" t="s">
        <v>6</v>
      </c>
      <c r="M89" s="45" t="s">
        <v>222</v>
      </c>
      <c r="N89" s="39" t="s">
        <v>12</v>
      </c>
      <c r="O89" s="45" t="s">
        <v>139</v>
      </c>
      <c r="P89" s="45" t="s">
        <v>142</v>
      </c>
      <c r="Q89" s="45" t="s">
        <v>181</v>
      </c>
      <c r="R89" s="45" t="s">
        <v>207</v>
      </c>
      <c r="S89" s="45" t="s">
        <v>212</v>
      </c>
      <c r="T89" s="45" t="s">
        <v>230</v>
      </c>
      <c r="U89" s="39" t="s">
        <v>1245</v>
      </c>
      <c r="V89" s="39" t="s">
        <v>1060</v>
      </c>
      <c r="W89" s="39" t="s">
        <v>1155</v>
      </c>
      <c r="X89" s="39" t="s">
        <v>1324</v>
      </c>
      <c r="Y89" s="39" t="s">
        <v>1344</v>
      </c>
      <c r="Z89" s="39" t="s">
        <v>1510</v>
      </c>
    </row>
    <row r="90" spans="2:26">
      <c r="I90" s="39" t="s">
        <v>16</v>
      </c>
      <c r="J90" s="39" t="s">
        <v>11</v>
      </c>
      <c r="K90" s="39" t="s">
        <v>20</v>
      </c>
      <c r="L90" s="45" t="s">
        <v>164</v>
      </c>
      <c r="M90" s="45" t="s">
        <v>220</v>
      </c>
      <c r="N90" s="45" t="s">
        <v>33</v>
      </c>
      <c r="O90" s="45" t="s">
        <v>146</v>
      </c>
      <c r="P90" s="45" t="s">
        <v>143</v>
      </c>
      <c r="Q90" s="45" t="s">
        <v>183</v>
      </c>
      <c r="R90" s="39" t="s">
        <v>1107</v>
      </c>
      <c r="S90" s="45" t="s">
        <v>214</v>
      </c>
      <c r="T90" s="45" t="s">
        <v>233</v>
      </c>
      <c r="U90" s="39" t="s">
        <v>1314</v>
      </c>
      <c r="V90" s="39" t="s">
        <v>1415</v>
      </c>
      <c r="W90" s="39" t="s">
        <v>1240</v>
      </c>
      <c r="X90" s="39" t="s">
        <v>1320</v>
      </c>
      <c r="Y90" s="39" t="s">
        <v>1403</v>
      </c>
    </row>
    <row r="91" spans="2:26">
      <c r="I91" s="45" t="s">
        <v>46</v>
      </c>
      <c r="J91" s="39" t="s">
        <v>17</v>
      </c>
      <c r="K91" s="39" t="s">
        <v>19</v>
      </c>
      <c r="N91" s="45" t="s">
        <v>34</v>
      </c>
      <c r="O91" s="45" t="s">
        <v>155</v>
      </c>
      <c r="P91" s="45" t="s">
        <v>144</v>
      </c>
      <c r="Q91" s="45" t="s">
        <v>190</v>
      </c>
      <c r="S91" s="45" t="s">
        <v>218</v>
      </c>
      <c r="T91" s="45" t="s">
        <v>231</v>
      </c>
      <c r="V91" s="39" t="s">
        <v>1502</v>
      </c>
      <c r="W91" s="39" t="s">
        <v>1438</v>
      </c>
      <c r="X91" s="39" t="s">
        <v>1340</v>
      </c>
      <c r="Y91" s="39" t="s">
        <v>1491</v>
      </c>
    </row>
    <row r="92" spans="2:26">
      <c r="I92" s="45" t="s">
        <v>160</v>
      </c>
      <c r="J92" s="39" t="s">
        <v>14</v>
      </c>
      <c r="K92" s="39" t="s">
        <v>13</v>
      </c>
      <c r="N92" s="45" t="s">
        <v>42</v>
      </c>
      <c r="O92" s="45" t="s">
        <v>607</v>
      </c>
      <c r="P92" s="45" t="s">
        <v>182</v>
      </c>
      <c r="Q92" s="45" t="s">
        <v>189</v>
      </c>
      <c r="S92" s="45" t="s">
        <v>223</v>
      </c>
      <c r="T92" s="45" t="s">
        <v>234</v>
      </c>
      <c r="X92" s="39" t="s">
        <v>1329</v>
      </c>
      <c r="Y92" s="39" t="s">
        <v>1540</v>
      </c>
    </row>
    <row r="93" spans="2:26">
      <c r="J93" s="39" t="s">
        <v>35</v>
      </c>
      <c r="N93" s="45" t="s">
        <v>141</v>
      </c>
      <c r="O93" s="45" t="s">
        <v>169</v>
      </c>
      <c r="P93" s="45" t="s">
        <v>206</v>
      </c>
      <c r="Q93" s="45" t="s">
        <v>208</v>
      </c>
      <c r="T93" s="45" t="s">
        <v>236</v>
      </c>
      <c r="X93" s="39" t="s">
        <v>1402</v>
      </c>
    </row>
    <row r="94" spans="2:26">
      <c r="J94" s="45" t="s">
        <v>32</v>
      </c>
      <c r="N94" s="45" t="s">
        <v>140</v>
      </c>
      <c r="O94" s="45" t="s">
        <v>256</v>
      </c>
      <c r="P94" s="45" t="s">
        <v>217</v>
      </c>
      <c r="Q94" s="45" t="s">
        <v>221</v>
      </c>
      <c r="T94" s="39" t="s">
        <v>1429</v>
      </c>
      <c r="X94" s="39" t="s">
        <v>1434</v>
      </c>
    </row>
    <row r="95" spans="2:26">
      <c r="J95" s="45" t="s">
        <v>52</v>
      </c>
      <c r="N95" s="45" t="s">
        <v>145</v>
      </c>
      <c r="O95" s="45" t="s">
        <v>211</v>
      </c>
      <c r="Q95" s="39" t="s">
        <v>1315</v>
      </c>
      <c r="T95" s="39" t="s">
        <v>1500</v>
      </c>
      <c r="X95" s="39" t="s">
        <v>1490</v>
      </c>
    </row>
    <row r="96" spans="2:26">
      <c r="J96" s="45" t="s">
        <v>53</v>
      </c>
      <c r="N96" s="45" t="s">
        <v>75</v>
      </c>
      <c r="Q96" s="39" t="s">
        <v>1476</v>
      </c>
      <c r="X96" s="39" t="s">
        <v>1371</v>
      </c>
    </row>
    <row r="97" spans="4:24">
      <c r="J97" s="45" t="s">
        <v>147</v>
      </c>
      <c r="X97" s="39" t="s">
        <v>1339</v>
      </c>
    </row>
    <row r="98" spans="4:24">
      <c r="J98" s="45" t="s">
        <v>247</v>
      </c>
    </row>
    <row r="100" spans="4:24">
      <c r="D100" s="2">
        <v>78</v>
      </c>
      <c r="E100" s="1">
        <v>1</v>
      </c>
    </row>
    <row r="101" spans="4:24">
      <c r="D101" s="2">
        <v>80</v>
      </c>
      <c r="E101" s="1">
        <v>1</v>
      </c>
    </row>
    <row r="102" spans="4:24">
      <c r="D102" s="153" t="s">
        <v>1498</v>
      </c>
      <c r="E102" s="1">
        <v>1</v>
      </c>
    </row>
    <row r="103" spans="4:24">
      <c r="D103" s="2">
        <v>88</v>
      </c>
      <c r="E103" s="1">
        <v>4</v>
      </c>
    </row>
    <row r="104" spans="4:24">
      <c r="D104" s="2">
        <v>89</v>
      </c>
      <c r="E104" s="1">
        <v>10</v>
      </c>
    </row>
    <row r="105" spans="4:24">
      <c r="D105" s="2">
        <v>90</v>
      </c>
      <c r="E105" s="1">
        <v>4</v>
      </c>
    </row>
    <row r="106" spans="4:24">
      <c r="D106" s="2">
        <v>91</v>
      </c>
      <c r="E106" s="1">
        <v>2</v>
      </c>
    </row>
    <row r="107" spans="4:24">
      <c r="D107" s="2">
        <v>92</v>
      </c>
      <c r="E107" s="1">
        <v>2</v>
      </c>
    </row>
    <row r="108" spans="4:24">
      <c r="D108" s="2">
        <v>93</v>
      </c>
      <c r="E108" s="1">
        <v>8</v>
      </c>
    </row>
    <row r="109" spans="4:24">
      <c r="D109" s="2">
        <v>94</v>
      </c>
      <c r="E109" s="1">
        <v>7</v>
      </c>
    </row>
    <row r="110" spans="4:24">
      <c r="D110" s="2">
        <v>95</v>
      </c>
      <c r="E110" s="1">
        <v>6</v>
      </c>
    </row>
    <row r="111" spans="4:24">
      <c r="D111" s="2">
        <v>96</v>
      </c>
      <c r="E111" s="1">
        <v>8</v>
      </c>
    </row>
    <row r="112" spans="4:24">
      <c r="D112" s="2">
        <v>97</v>
      </c>
      <c r="E112" s="1">
        <v>2</v>
      </c>
    </row>
    <row r="113" spans="4:5">
      <c r="D113" s="2">
        <v>98</v>
      </c>
      <c r="E113" s="1">
        <v>4</v>
      </c>
    </row>
    <row r="114" spans="4:5">
      <c r="D114" s="2">
        <v>99</v>
      </c>
      <c r="E114" s="1">
        <v>6</v>
      </c>
    </row>
    <row r="115" spans="4:5">
      <c r="D115" s="153" t="s">
        <v>1352</v>
      </c>
      <c r="E115" s="1">
        <v>2</v>
      </c>
    </row>
    <row r="116" spans="4:5">
      <c r="D116" s="153" t="s">
        <v>1351</v>
      </c>
      <c r="E116" s="1">
        <v>2</v>
      </c>
    </row>
    <row r="117" spans="4:5">
      <c r="D117" s="153" t="s">
        <v>1492</v>
      </c>
      <c r="E117" s="1">
        <v>3</v>
      </c>
    </row>
    <row r="118" spans="4:5">
      <c r="D118" s="153" t="s">
        <v>1353</v>
      </c>
      <c r="E118" s="1">
        <v>7</v>
      </c>
    </row>
    <row r="119" spans="4:5">
      <c r="D119" s="153" t="s">
        <v>1358</v>
      </c>
      <c r="E119" s="1">
        <v>3</v>
      </c>
    </row>
    <row r="120" spans="4:5">
      <c r="D120" s="153" t="s">
        <v>44</v>
      </c>
      <c r="E120" s="1">
        <f>SUM(E100:E119)</f>
        <v>83</v>
      </c>
    </row>
  </sheetData>
  <autoFilter ref="B3:D86" xr:uid="{E4191667-6F73-4E41-AEA4-E2C9BDE07D07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DE4D0F4CECD4787EF611BFC117CD6" ma:contentTypeVersion="13" ma:contentTypeDescription="Crear nuevo documento." ma:contentTypeScope="" ma:versionID="03c38b0d6082a2b3c025ef529364118b">
  <xsd:schema xmlns:xsd="http://www.w3.org/2001/XMLSchema" xmlns:xs="http://www.w3.org/2001/XMLSchema" xmlns:p="http://schemas.microsoft.com/office/2006/metadata/properties" xmlns:ns3="ae5eea3e-f8e2-4b83-a4aa-a185315da842" targetNamespace="http://schemas.microsoft.com/office/2006/metadata/properties" ma:root="true" ma:fieldsID="6e4a0c639331263b03958aa630fcd6b4" ns3:_="">
    <xsd:import namespace="ae5eea3e-f8e2-4b83-a4aa-a185315da84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eea3e-f8e2-4b83-a4aa-a185315da84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5eea3e-f8e2-4b83-a4aa-a185315da8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97E170-F8FD-4503-A7B1-C4DE66341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5eea3e-f8e2-4b83-a4aa-a185315da8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CB62BA-9CBF-4C64-9D9A-0DCA38ACA5B4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ae5eea3e-f8e2-4b83-a4aa-a185315da84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B457051-8BAE-43F4-8063-3F3A79FE89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CAMPAÑA 2014</vt:lpstr>
      <vt:lpstr>CAMPAÑA 2015</vt:lpstr>
      <vt:lpstr>CAMPAÑA 2016</vt:lpstr>
      <vt:lpstr>CAMPAÑA 2017</vt:lpstr>
      <vt:lpstr>CAMPAÑA 2018</vt:lpstr>
      <vt:lpstr>CAMPAÑA 2019</vt:lpstr>
      <vt:lpstr>CAMPAÑA 2021</vt:lpstr>
      <vt:lpstr>CAMPAÑA 2022</vt:lpstr>
      <vt:lpstr>CAMPAÑA 2023</vt:lpstr>
      <vt:lpstr>CAMPAÑA 2024</vt:lpstr>
      <vt:lpstr>CAMPAÑA 2026</vt:lpstr>
      <vt:lpstr> SCORERS 2026</vt:lpstr>
      <vt:lpstr>HISTORIAL </vt:lpstr>
      <vt:lpstr>PRESENCIAS V</vt:lpstr>
      <vt:lpstr>TARJETAS</vt:lpstr>
      <vt:lpstr>RANKING URBA</vt:lpstr>
      <vt:lpstr>SCORERS HISTORICO</vt:lpstr>
      <vt:lpstr>REFEREES</vt:lpstr>
      <vt:lpstr>CAMADAS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Juan Carlos Lista</cp:lastModifiedBy>
  <cp:lastPrinted>2022-03-16T14:24:34Z</cp:lastPrinted>
  <dcterms:created xsi:type="dcterms:W3CDTF">2001-01-25T17:16:16Z</dcterms:created>
  <dcterms:modified xsi:type="dcterms:W3CDTF">2026-08-27T14:15:29Z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0x010100184DE4D0F4CECD4787EF611BFC117CD6</vt:lpwstr>
  </property>
</Properties>
</file>